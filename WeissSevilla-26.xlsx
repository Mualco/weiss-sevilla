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ing Temporada" sheetId="1" r:id="rId5"/>
    <sheet state="visible" name="Ranking mensual" sheetId="2" r:id="rId6"/>
    <sheet state="visible" name="Torneos Recientes" sheetId="3" r:id="rId7"/>
    <sheet state="visible" name="TorneosMayo" sheetId="4" r:id="rId8"/>
    <sheet state="visible" name="Asistencia" sheetId="5" r:id="rId9"/>
    <sheet state="visible" name="Resultados_Individuales" sheetId="6" r:id="rId10"/>
    <sheet state="visible" name="Raw Data" sheetId="7" r:id="rId11"/>
    <sheet state="visible" name="Set_Stats" sheetId="8" r:id="rId12"/>
    <sheet state="visible" name="RAW RESULTS" sheetId="9" r:id="rId13"/>
    <sheet state="hidden" name="Deck Stats" sheetId="10" r:id="rId14"/>
    <sheet state="hidden" name="Hoja 3" sheetId="11" r:id="rId15"/>
    <sheet state="visible" name="Player Refs" sheetId="12" r:id="rId16"/>
    <sheet state="visible" name="Set Refs" sheetId="13" r:id="rId17"/>
    <sheet state="visible" name="Deck Info" sheetId="14" r:id="rId18"/>
  </sheets>
  <definedNames>
    <definedName hidden="1" localSheetId="5" name="_xlnm._FilterDatabase">Resultados_Individuales!$A$15:$J$37</definedName>
    <definedName hidden="1" localSheetId="6" name="_xlnm._FilterDatabase">'Raw Data'!$B$1:$L$123</definedName>
    <definedName hidden="1" localSheetId="8" name="_xlnm._FilterDatabase">'RAW RESULTS'!$A$1:$J$315</definedName>
  </definedNames>
  <calcPr/>
</workbook>
</file>

<file path=xl/sharedStrings.xml><?xml version="1.0" encoding="utf-8"?>
<sst xmlns="http://schemas.openxmlformats.org/spreadsheetml/2006/main" count="5846" uniqueCount="1655">
  <si>
    <t>Deck con mayor Win% de la temporada</t>
  </si>
  <si>
    <t>Mayor asistencia mensual</t>
  </si>
  <si>
    <t>Representacion de sets</t>
  </si>
  <si>
    <t xml:space="preserve">El minimo de partidas para que un deck entre a la lista es 10. Se aplica </t>
  </si>
  <si>
    <t>Set</t>
  </si>
  <si>
    <t>Deck</t>
  </si>
  <si>
    <t>Partidas Jugadas</t>
  </si>
  <si>
    <t>Wilson Score</t>
  </si>
  <si>
    <t>Win %</t>
  </si>
  <si>
    <t>Carta 1</t>
  </si>
  <si>
    <t>Carta 2</t>
  </si>
  <si>
    <t>Carta 3</t>
  </si>
  <si>
    <t>Jugador</t>
  </si>
  <si>
    <t>Partidas</t>
  </si>
  <si>
    <t>Sets diferentes</t>
  </si>
  <si>
    <t xml:space="preserve">Signature </t>
  </si>
  <si>
    <t>Jugadores</t>
  </si>
  <si>
    <t>Imagen</t>
  </si>
  <si>
    <t>Deck con mayor Win% del mes</t>
  </si>
  <si>
    <t>Description</t>
  </si>
  <si>
    <t>Partidas jugadas</t>
  </si>
  <si>
    <t>EMPIRE GAMES (Local)</t>
  </si>
  <si>
    <t>EMPIRE GAMES (WSEC)</t>
  </si>
  <si>
    <t xml:space="preserve">EMPIRE GAMES </t>
  </si>
  <si>
    <t>Img</t>
  </si>
  <si>
    <t>ID</t>
  </si>
  <si>
    <t>Fecha</t>
  </si>
  <si>
    <t>Asistencia Total Mes</t>
  </si>
  <si>
    <t>Jugadores individuales que han participado en el mes actual</t>
  </si>
  <si>
    <t>Participantes Temporada</t>
  </si>
  <si>
    <t>Participantes individuales Temporada</t>
  </si>
  <si>
    <t>Mejor Asistencia del mes</t>
  </si>
  <si>
    <t>Record Temporada</t>
  </si>
  <si>
    <t>JUGADOR</t>
  </si>
  <si>
    <t>Mualco</t>
  </si>
  <si>
    <t xml:space="preserve">PAIRINGS INDIVIDUALES </t>
  </si>
  <si>
    <t>Winrate Temporada</t>
  </si>
  <si>
    <t>Winrate x Set</t>
  </si>
  <si>
    <t>Winrate x (Set+Deck)</t>
  </si>
  <si>
    <t>ID Torneo</t>
  </si>
  <si>
    <t>Ronda</t>
  </si>
  <si>
    <t>ARQ</t>
  </si>
  <si>
    <t>RIVAL</t>
  </si>
  <si>
    <t>Resultado</t>
  </si>
  <si>
    <t>Jugadas</t>
  </si>
  <si>
    <t>Win Totales</t>
  </si>
  <si>
    <t>Losses Totales</t>
  </si>
  <si>
    <t>Win% Temporada</t>
  </si>
  <si>
    <t>Win% x Set</t>
  </si>
  <si>
    <t>Winrate x Rival</t>
  </si>
  <si>
    <t>Wins</t>
  </si>
  <si>
    <t>Losses</t>
  </si>
  <si>
    <t>Win% contra Rival</t>
  </si>
  <si>
    <t>Numero Jugadores</t>
  </si>
  <si>
    <t>FECHA</t>
  </si>
  <si>
    <t>Arquetipo</t>
  </si>
  <si>
    <t>Comentarios</t>
  </si>
  <si>
    <t>ID TORNEO</t>
  </si>
  <si>
    <t>Deck Log</t>
  </si>
  <si>
    <t>Image</t>
  </si>
  <si>
    <t>Rondas</t>
  </si>
  <si>
    <t>WinRate %</t>
  </si>
  <si>
    <t>Sets Jugados</t>
  </si>
  <si>
    <t>Sets jugados</t>
  </si>
  <si>
    <t>YoniTheRobot</t>
  </si>
  <si>
    <t>AYT</t>
  </si>
  <si>
    <t>8 Pants</t>
  </si>
  <si>
    <t>STARK</t>
  </si>
  <si>
    <t>EIS</t>
  </si>
  <si>
    <t>8 Door TD</t>
  </si>
  <si>
    <t>JustFluffy</t>
  </si>
  <si>
    <t>8 Pants Atomic 1+3</t>
  </si>
  <si>
    <t>Will</t>
  </si>
  <si>
    <t>8 Standby</t>
  </si>
  <si>
    <t>Lecna</t>
  </si>
  <si>
    <t>GRI</t>
  </si>
  <si>
    <t xml:space="preserve">Door Pants </t>
  </si>
  <si>
    <t>Kartoffel</t>
  </si>
  <si>
    <t>GCR</t>
  </si>
  <si>
    <t>8 Door</t>
  </si>
  <si>
    <t>Ruto</t>
  </si>
  <si>
    <t>?</t>
  </si>
  <si>
    <t>Doris</t>
  </si>
  <si>
    <t>Kururu</t>
  </si>
  <si>
    <t>PavonShinigami</t>
  </si>
  <si>
    <t>FT</t>
  </si>
  <si>
    <t>Bar Choice</t>
  </si>
  <si>
    <t>Seyer</t>
  </si>
  <si>
    <t>Rehmius</t>
  </si>
  <si>
    <t>Kydan</t>
  </si>
  <si>
    <t>Agus</t>
  </si>
  <si>
    <t>Pinya</t>
  </si>
  <si>
    <t>NIK</t>
  </si>
  <si>
    <t>Door Standby</t>
  </si>
  <si>
    <t>Ostrovsky15</t>
  </si>
  <si>
    <t>OSK</t>
  </si>
  <si>
    <t>Door Pants</t>
  </si>
  <si>
    <t>Calvo Tieso</t>
  </si>
  <si>
    <t>AZL</t>
  </si>
  <si>
    <t>byrondeltcg</t>
  </si>
  <si>
    <t>DDD</t>
  </si>
  <si>
    <t>8 Choice</t>
  </si>
  <si>
    <t>Angladita</t>
  </si>
  <si>
    <t>Charlie</t>
  </si>
  <si>
    <t>Sp3ctrum</t>
  </si>
  <si>
    <t>Nomar</t>
  </si>
  <si>
    <t>Carsol</t>
  </si>
  <si>
    <t>Zeno</t>
  </si>
  <si>
    <t>Gra</t>
  </si>
  <si>
    <t>MKI</t>
  </si>
  <si>
    <t/>
  </si>
  <si>
    <t>SAO</t>
  </si>
  <si>
    <t>8 Bar Yuna</t>
  </si>
  <si>
    <t>HOL</t>
  </si>
  <si>
    <t>Polka Choco</t>
  </si>
  <si>
    <t>8 Bar</t>
  </si>
  <si>
    <t>5HY</t>
  </si>
  <si>
    <t>Nino</t>
  </si>
  <si>
    <t>SoulQualia</t>
  </si>
  <si>
    <t>ARI</t>
  </si>
  <si>
    <t>2Soul Bar</t>
  </si>
  <si>
    <t>DAL</t>
  </si>
  <si>
    <t>SFN</t>
  </si>
  <si>
    <t>Modified TD</t>
  </si>
  <si>
    <t>BTR</t>
  </si>
  <si>
    <t>Door Bar</t>
  </si>
  <si>
    <t>SS</t>
  </si>
  <si>
    <t>Choice Door</t>
  </si>
  <si>
    <t>AC5</t>
  </si>
  <si>
    <t>LRC</t>
  </si>
  <si>
    <t>Fxx</t>
  </si>
  <si>
    <t>StockSoul Bar</t>
  </si>
  <si>
    <t>Jose Sev</t>
  </si>
  <si>
    <t>6 Standby 2 Choice</t>
  </si>
  <si>
    <t>6 Standby 2 Door</t>
  </si>
  <si>
    <t>RKN</t>
  </si>
  <si>
    <t>8 StockSoul</t>
  </si>
  <si>
    <t>Yuu2be</t>
  </si>
  <si>
    <t>Drop</t>
  </si>
  <si>
    <t>CSM</t>
  </si>
  <si>
    <t>BAV</t>
  </si>
  <si>
    <t>Pants Choice</t>
  </si>
  <si>
    <t>StockSoul Standby</t>
  </si>
  <si>
    <t>OVL</t>
  </si>
  <si>
    <t>Standby Pants</t>
  </si>
  <si>
    <t>Pants Bag</t>
  </si>
  <si>
    <t>Izuna Hifumi</t>
  </si>
  <si>
    <t>Velz</t>
  </si>
  <si>
    <t>BD</t>
  </si>
  <si>
    <t>Bar Door</t>
  </si>
  <si>
    <t>5 Door 3 Pants Sortie</t>
  </si>
  <si>
    <t>Pants Door</t>
  </si>
  <si>
    <t>Hachi</t>
  </si>
  <si>
    <t>MM</t>
  </si>
  <si>
    <t>StockSoul Door</t>
  </si>
  <si>
    <t>MDE</t>
  </si>
  <si>
    <t>Link</t>
  </si>
  <si>
    <t>Alcruz23</t>
  </si>
  <si>
    <t>PJS</t>
  </si>
  <si>
    <t>SET</t>
  </si>
  <si>
    <t>Loses</t>
  </si>
  <si>
    <t>Winrate</t>
  </si>
  <si>
    <t>WilsonScore</t>
  </si>
  <si>
    <t>Deck 1</t>
  </si>
  <si>
    <t>Arquetipo 1</t>
  </si>
  <si>
    <t>Rival</t>
  </si>
  <si>
    <t>Deck 2</t>
  </si>
  <si>
    <t>Arquetipo 2</t>
  </si>
  <si>
    <t>W</t>
  </si>
  <si>
    <t>L</t>
  </si>
  <si>
    <t xml:space="preserve">BAV </t>
  </si>
  <si>
    <t xml:space="preserve">Pants Choice </t>
  </si>
  <si>
    <t>Ernesto</t>
  </si>
  <si>
    <t>Door/Pants</t>
  </si>
  <si>
    <t>Bye</t>
  </si>
  <si>
    <t>6 Standby/2 Choice</t>
  </si>
  <si>
    <t>Potato/Bar</t>
  </si>
  <si>
    <t>DROP</t>
  </si>
  <si>
    <t>2 Soul Bar</t>
  </si>
  <si>
    <t>Kuruu</t>
  </si>
  <si>
    <t>Bar Shot</t>
  </si>
  <si>
    <t>Stark</t>
  </si>
  <si>
    <t>Victorias</t>
  </si>
  <si>
    <t>Derrotas</t>
  </si>
  <si>
    <t>Total jugadas</t>
  </si>
  <si>
    <t>Win Rate (%)</t>
  </si>
  <si>
    <t>Exodia</t>
  </si>
  <si>
    <t>Ichika</t>
  </si>
  <si>
    <t>Itsuki - Lvl1 + Set3</t>
  </si>
  <si>
    <t>Miku Total</t>
  </si>
  <si>
    <t>Nino - Double 3 Combo</t>
  </si>
  <si>
    <t>Yotsuba - Set3 Finisher</t>
  </si>
  <si>
    <t>ALL</t>
  </si>
  <si>
    <t>8 Choice No Finisher</t>
  </si>
  <si>
    <t>Bar Bar Door</t>
  </si>
  <si>
    <t>Choice Choice Door</t>
  </si>
  <si>
    <t>Door Standby Door</t>
  </si>
  <si>
    <t>Pants Book</t>
  </si>
  <si>
    <t>Standby Door</t>
  </si>
  <si>
    <t xml:space="preserve">AOH </t>
  </si>
  <si>
    <t>AOT</t>
  </si>
  <si>
    <t>Door StockSoul</t>
  </si>
  <si>
    <t>2 Soul Choice</t>
  </si>
  <si>
    <t>ATLA</t>
  </si>
  <si>
    <t>7 Standby 1 Bar</t>
  </si>
  <si>
    <t>7 Standby 1 Choice</t>
  </si>
  <si>
    <t>8 Bar - Noshiro Shimanto</t>
  </si>
  <si>
    <t>8 Pants - Anchorage Enterprise Total</t>
  </si>
  <si>
    <t>8 Pants - Bremerton Enterprise</t>
  </si>
  <si>
    <t>8 Pants - Pamiat Enterprise</t>
  </si>
  <si>
    <t>Bar Pants Bar</t>
  </si>
  <si>
    <t>Bar Standby Door</t>
  </si>
  <si>
    <t>Pants Bar - Bremerton Shinmanto</t>
  </si>
  <si>
    <t>Standby Bar</t>
  </si>
  <si>
    <t>Bar StockSoul</t>
  </si>
  <si>
    <t>8 Bar - Oblivionis Layer</t>
  </si>
  <si>
    <t>Bar Door - Oblivionis TomoriAnon</t>
  </si>
  <si>
    <t>Bar Door (Post Ban)</t>
  </si>
  <si>
    <t>Bar Pants</t>
  </si>
  <si>
    <t>Choice Pants</t>
  </si>
  <si>
    <t>Door Pants Yukina</t>
  </si>
  <si>
    <t>Glitter Green</t>
  </si>
  <si>
    <t>Kasumi Doloris</t>
  </si>
  <si>
    <t>Michelle Sticker</t>
  </si>
  <si>
    <t>MyGO Exodia</t>
  </si>
  <si>
    <t>Book Pants</t>
  </si>
  <si>
    <t>DBG</t>
  </si>
  <si>
    <t>2Soul Door</t>
  </si>
  <si>
    <t>DDM</t>
  </si>
  <si>
    <t>FGO</t>
  </si>
  <si>
    <t>Door Choice</t>
  </si>
  <si>
    <t>FS</t>
  </si>
  <si>
    <t>FSN</t>
  </si>
  <si>
    <t>Standby Pants Door</t>
  </si>
  <si>
    <t>GGST</t>
  </si>
  <si>
    <t>Pants Bar</t>
  </si>
  <si>
    <t>GIM</t>
  </si>
  <si>
    <t>Door Choice Door</t>
  </si>
  <si>
    <t>Pants Choice Door</t>
  </si>
  <si>
    <t>GU</t>
  </si>
  <si>
    <t>Door Pants - Sing For You</t>
  </si>
  <si>
    <t>HBR</t>
  </si>
  <si>
    <t>8 Wind</t>
  </si>
  <si>
    <t xml:space="preserve">HBR </t>
  </si>
  <si>
    <t>HLL</t>
  </si>
  <si>
    <t>8 Bar Fubuki</t>
  </si>
  <si>
    <t>Calli Gura</t>
  </si>
  <si>
    <t>Calli Kanata Marine</t>
  </si>
  <si>
    <t>Calli Marine</t>
  </si>
  <si>
    <t>Chloe Marine</t>
  </si>
  <si>
    <t>Chloe Mumei</t>
  </si>
  <si>
    <t>Chloe Ollie</t>
  </si>
  <si>
    <t>Kanata Marine</t>
  </si>
  <si>
    <t>Kanata Mumei</t>
  </si>
  <si>
    <t>Kiara Moona</t>
  </si>
  <si>
    <t>Miko Sora</t>
  </si>
  <si>
    <t>Mumei Moona</t>
  </si>
  <si>
    <t>Okayu Fubuki</t>
  </si>
  <si>
    <t>Polka Nene</t>
  </si>
  <si>
    <t>Shion Aqua</t>
  </si>
  <si>
    <t>IAC</t>
  </si>
  <si>
    <t>IM</t>
  </si>
  <si>
    <t>IMC</t>
  </si>
  <si>
    <t>ISC</t>
  </si>
  <si>
    <t>8 Bar - Exodia</t>
  </si>
  <si>
    <t>Choice Bar</t>
  </si>
  <si>
    <t>Choice Bar (SHHis)</t>
  </si>
  <si>
    <t>JJ</t>
  </si>
  <si>
    <t>KC</t>
  </si>
  <si>
    <t>2k1 Bar</t>
  </si>
  <si>
    <t>KGL</t>
  </si>
  <si>
    <t>KJ8 Total</t>
  </si>
  <si>
    <t>KMS Total</t>
  </si>
  <si>
    <t>KS Total</t>
  </si>
  <si>
    <t>KXX Total</t>
  </si>
  <si>
    <t>LHS</t>
  </si>
  <si>
    <t>LNJ</t>
  </si>
  <si>
    <t>8 Pants Karin</t>
  </si>
  <si>
    <t>Rainbow</t>
  </si>
  <si>
    <t>LSP</t>
  </si>
  <si>
    <t>Pants StockSoul Pants</t>
  </si>
  <si>
    <t>LSS</t>
  </si>
  <si>
    <t>MAR</t>
  </si>
  <si>
    <t>8 2-Soul</t>
  </si>
  <si>
    <t>Door Pants Set 3</t>
  </si>
  <si>
    <t>8 Choice Link</t>
  </si>
  <si>
    <t>MRx</t>
  </si>
  <si>
    <t>Shot Bar</t>
  </si>
  <si>
    <t>Trial Deck</t>
  </si>
  <si>
    <t>ONK Total</t>
  </si>
  <si>
    <t>OSK Total</t>
  </si>
  <si>
    <t>8 StandbyNew</t>
  </si>
  <si>
    <t>Restricted - Door Bar</t>
  </si>
  <si>
    <t>P3</t>
  </si>
  <si>
    <t>P5</t>
  </si>
  <si>
    <t>Wind Door</t>
  </si>
  <si>
    <t>Wind Pants</t>
  </si>
  <si>
    <t>8 Bag</t>
  </si>
  <si>
    <t>Bar Bag</t>
  </si>
  <si>
    <t>Choice Door - Saki Toya</t>
  </si>
  <si>
    <t>Choice Pants Mafuyu</t>
  </si>
  <si>
    <t>PRD</t>
  </si>
  <si>
    <t>PXR</t>
  </si>
  <si>
    <t>Dual Laners</t>
  </si>
  <si>
    <t>RG</t>
  </si>
  <si>
    <t>StockSoul Shot</t>
  </si>
  <si>
    <t>RSK</t>
  </si>
  <si>
    <t>RWBY</t>
  </si>
  <si>
    <t>Bar Standby</t>
  </si>
  <si>
    <t>Choice Standby</t>
  </si>
  <si>
    <t>RZ</t>
  </si>
  <si>
    <t>Book StockSoul</t>
  </si>
  <si>
    <t>Bar Book</t>
  </si>
  <si>
    <t>SBY</t>
  </si>
  <si>
    <t>8 Choice - Set 4</t>
  </si>
  <si>
    <t>8 Choice Set 4</t>
  </si>
  <si>
    <t>SDS</t>
  </si>
  <si>
    <t>StockSoul Choice</t>
  </si>
  <si>
    <t>8 Book</t>
  </si>
  <si>
    <t>8 Pants - BP Finisher</t>
  </si>
  <si>
    <t>8 Pants - TD Finisher</t>
  </si>
  <si>
    <t>SG</t>
  </si>
  <si>
    <t>SHS</t>
  </si>
  <si>
    <t>SMP</t>
  </si>
  <si>
    <t>5 Bar 3 Door</t>
  </si>
  <si>
    <t>Bar Door Bar</t>
  </si>
  <si>
    <t>SPY</t>
  </si>
  <si>
    <t>8 Bar - Triple Finisher</t>
  </si>
  <si>
    <t>SY</t>
  </si>
  <si>
    <t>TRV</t>
  </si>
  <si>
    <t>Dual Laner PahChin</t>
  </si>
  <si>
    <t>PahChin</t>
  </si>
  <si>
    <t>TSK</t>
  </si>
  <si>
    <t>Standby Mjurran</t>
  </si>
  <si>
    <t>UMA</t>
  </si>
  <si>
    <t>8 Shot</t>
  </si>
  <si>
    <t>YRC</t>
  </si>
  <si>
    <t>6Bar 2Pants</t>
  </si>
  <si>
    <t>8 Bar TD</t>
  </si>
  <si>
    <t>Lista de Jugadores</t>
  </si>
  <si>
    <t>Nombre</t>
  </si>
  <si>
    <t>Nota</t>
  </si>
  <si>
    <t>https://en.ws-tcg.com/wordpress/wp-content/images/cardimages/ASAO10/S100_E003.png</t>
  </si>
  <si>
    <t>https://en.ws-tcg.com/wordpress/wp-content/images/cardimages/d/dal_w79/DAL_W79_E053.png</t>
  </si>
  <si>
    <t>https://en.ws-tcg.com/wordpress/wp-content/images/cardimages/SPYFAM/S106_E080.png</t>
  </si>
  <si>
    <t>https://en.ws-tcg.com/wordpress/wp-content/images/cardimages/DDD/S118-E101.png</t>
  </si>
  <si>
    <t>https://en.ws-tcg.com/wordpress/wp-content/images/cardimages/AZL/S102_E080.png</t>
  </si>
  <si>
    <t>https://en.ws-tcg.com/wordpress/wp-content/images/cardimages/OVLV2/S99_E028.png</t>
  </si>
  <si>
    <t>https://en.ws-tcg.com/wordpress/wp-content/images/cardimages/EIS/SX07-T14SP.png</t>
  </si>
  <si>
    <t>https://en.ws-tcg.com/wordpress/wp-content/images/cardimages/MKI/W126-E027.png</t>
  </si>
  <si>
    <t>https://en.ws-tcg.com/wordpress/wp-content/images/cardimages/NIK/S117_E021S.png</t>
  </si>
  <si>
    <t>https://en.ws-tcg.com/wordpress/wp-content/images/cardimages/NIK/S117_E065.png</t>
  </si>
  <si>
    <t>https://en.ws-tcg.com/wordpress/wp-content/images/cardimages/GCR/SE48_E42.png</t>
  </si>
  <si>
    <t>https://en.ws-tcg.com/wordpress/wp-content/images/cardimages/NIK/S117_TE21.png</t>
  </si>
  <si>
    <t>https://en.ws-tcg.com/wordpress/wp-content/images/cardimages/FT/S120-E002.png</t>
  </si>
  <si>
    <t>https://en.ws-tcg.com/wordpress/wp-content/images/cardimages/ASAO10/S100_E006.png</t>
  </si>
  <si>
    <t>https://en.ws-tcg.com/wordpress/wp-content/images/cardimages/EIS/SX07-051.png</t>
  </si>
  <si>
    <t>https://en.ws-tcg.com/wordpress/wp-content/images/cardimages/CSM/S96_E029.png</t>
  </si>
  <si>
    <t>https://en.ws-tcg.com/wordpress/wp-content/images/cardimages/SPYFAM/S106_E044.png</t>
  </si>
  <si>
    <t>https://en.ws-tcg.com/wordpress/wp-content/images/cardimages/OSK/S107_E002SP.png</t>
  </si>
  <si>
    <t>https://en.ws-tcg.com/wordpress/wp-content/images/cardimages/DDD/S118-E104.png</t>
  </si>
  <si>
    <t>https://en.ws-tcg.com/wordpress/wp-content/images/cardimages/BDAM/W125_E001.png</t>
  </si>
  <si>
    <t>https://en.ws-tcg.com/wordpress/wp-content/images/cardimages/HOL/BP/HOL_W91_E023.png</t>
  </si>
  <si>
    <t>https://en.ws-tcg.com/wordpress/wp-content/images/cardimages/AYT/W110_E072SP.png</t>
  </si>
  <si>
    <t>https://en.ws-tcg.com/wordpress/wp-content/images/cardimages/5HYM/W101_E089S.png</t>
  </si>
  <si>
    <t>Jose  Sev</t>
  </si>
  <si>
    <t>Codigo</t>
  </si>
  <si>
    <t>https://en.ws-tcg.com/wordpress/wp-content/images/cardimages/EIS/SX07-051S.png</t>
  </si>
  <si>
    <t>https://en.ws-tcg.com/wordpress/wp-content/images/cardimages/BDAM/W125_E063.png</t>
  </si>
  <si>
    <t>https://en.ws-tcg.com/wordpress/wp-content/images/cardimages/OSK/S121-E031.png</t>
  </si>
  <si>
    <t>https://en.ws-tcg.com/wordpress/wp-content/images/cardimages/NIK/S117_E060.png</t>
  </si>
  <si>
    <t>https://en.ws-tcg.com/wordpress/wp-content/images/cardimages/AZL2/S119-E099.png</t>
  </si>
  <si>
    <t>https://en.ws-tcg.com/wordpress/wp-content/images/cardimages/MKI/W126-E077.png</t>
  </si>
  <si>
    <t>https://en.ws-tcg.com/wordpress/wp-content/images/cardimages/updates/PR/CGS_WS01_PE33.png</t>
  </si>
  <si>
    <t>https://en.ws-tcg.com/wordpress/wp-content/images/cardimages/SFN/S108_TE17.png</t>
  </si>
  <si>
    <t>https://en.ws-tcg.com/wordpress/wp-content/images/cardimages/GCR/SE48_E03.png</t>
  </si>
  <si>
    <t>https://en.ws-tcg.com/wordpress/wp-content/images/cardimages/FJM2/W120_E076.png</t>
  </si>
  <si>
    <t>https://en.ws-tcg.com/wordpress/wp-content/images/cardimages/AYT/W110_E072.png</t>
  </si>
  <si>
    <t>https://en.ws-tcg.com/wordpress/wp-content/images/cardimages/HOL/BP/HOL_W91_E057.png</t>
  </si>
  <si>
    <t>https://en.ws-tcg.com/wordpress/wp-content/images/cardimages/SDS2/SDS_SX05_001.png</t>
  </si>
  <si>
    <t>https://en.ws-tcg.com/wordpress/wp-content/images/cardimages/5HYM/W101_E016S.png</t>
  </si>
  <si>
    <t>https://en.ws-tcg.com/wordpress/wp-content/images/cardimages/FT/S120-E054.png</t>
  </si>
  <si>
    <t>https://en.ws-tcg.com/wordpress/wp-content/images/cardimages/Gxx/WS02_E077.png</t>
  </si>
  <si>
    <t>https://en.ws-tcg.com/wordpress/wp-content/images/cardimages/CSM/S96_E086S.png</t>
  </si>
  <si>
    <t>https://en.ws-tcg.com/wordpress/wp-content/images/cardimages/BAV/W112_E110SP.png</t>
  </si>
  <si>
    <t>https://en.ws-tcg.com/wordpress/wp-content/images/cardimages/LRCPB/WE47-E51.png</t>
  </si>
  <si>
    <t>https://en.ws-tcg.com/wordpress/wp-content/images/cardimages/PJS/S91-E032R.png</t>
  </si>
  <si>
    <t>Title</t>
  </si>
  <si>
    <t>Deck Archetype</t>
  </si>
  <si>
    <t>Columna 3</t>
  </si>
  <si>
    <t>Image 1</t>
  </si>
  <si>
    <t>Image 2</t>
  </si>
  <si>
    <t>Image 3</t>
  </si>
  <si>
    <t>https://tcgplayer-cdn.tcgplayer.com/product/280607_in_1000x1000.jpg</t>
  </si>
  <si>
    <t>https://tcgplayer-cdn.tcgplayer.com/product/280623_in_1000x1000.jpg</t>
  </si>
  <si>
    <t>https://tcgplayer-cdn.tcgplayer.com/product/498071_in_1000x1000.jpg</t>
  </si>
  <si>
    <t>Itsuki (Lvl1 / Set2)</t>
  </si>
  <si>
    <t>https://tcgplayer-cdn.tcgplayer.com/product/281161_in_1000x1000.jpg</t>
  </si>
  <si>
    <t>https://tcgplayer-cdn.tcgplayer.com/product/281105_in_1000x1000.jpg</t>
  </si>
  <si>
    <t>https://tcgplayer-cdn.tcgplayer.com/product/281185_in_1000x1000.jpg</t>
  </si>
  <si>
    <t>https://product-images.tcgplayer.com/fit-in/437x437/498184.jpg</t>
  </si>
  <si>
    <t>Itsuki (Lvl2 / Set3)</t>
  </si>
  <si>
    <t>https://product-images.tcgplayer.com/fit-in/437x437/498205.jpg</t>
  </si>
  <si>
    <t>https://product-images.tcgplayer.com/fit-in/437x437/filters:quality(1)/498219.jpg</t>
  </si>
  <si>
    <t>Miku</t>
  </si>
  <si>
    <t>https://product-images.tcgplayer.com/fit-in/376x376/498248.jpg</t>
  </si>
  <si>
    <t>https://img.yuyu-tei.jp/card_image/ws/front/5hypb/10043.jpg</t>
  </si>
  <si>
    <t>https://product-images.tcgplayer.com/fit-in/376x376/498250.jpg</t>
  </si>
  <si>
    <t>https://en.ws-tcg.com/wordpress/wp-content/images/cardimages/5HYPB/WE43_E37.png</t>
  </si>
  <si>
    <t>https://en.ws-tcg.com/wordpress/wp-content/images/cardimages/5HYM/W101_E081.png</t>
  </si>
  <si>
    <t>https://tcgplayer-cdn.tcgplayer.com/product/498180_in_1000x1000.jpg</t>
  </si>
  <si>
    <t>https://tcgplayer-cdn.tcgplayer.com/product/498223_in_1000x1000.jpg</t>
  </si>
  <si>
    <t>https://tcgplayer-cdn.tcgplayer.com/product/281124_in_1000x1000.jpg</t>
  </si>
  <si>
    <t>Restricted - Nino - Double 3 Combo</t>
  </si>
  <si>
    <t>Restricted - Nino - Set2 Finisher</t>
  </si>
  <si>
    <t>https://product-images.tcgplayer.com/fit-in/437x437/filters:quality(1)/498180.jpg</t>
  </si>
  <si>
    <t>https://tcgplayer-cdn.tcgplayer.com/product/498207_in_1000x1000.jpg</t>
  </si>
  <si>
    <t>https://product-images.tcgplayer.com/fit-in/437x437/281124.jpg</t>
  </si>
  <si>
    <t>Restricted - Nino - Set3 Finisher</t>
  </si>
  <si>
    <t>https://product-images.tcgplayer.com/fit-in/437x437/281155.jpg</t>
  </si>
  <si>
    <t>https://tcgplayer-cdn.tcgplayer.com/product/498108_in_1000x1000.jpg</t>
  </si>
  <si>
    <t>https://tcgplayer-cdn.tcgplayer.com/product/498075_in_1000x1000.jpg</t>
  </si>
  <si>
    <t>https://tcgplayer-cdn.tcgplayer.com/product/498128_in_1000x1000.jpg</t>
  </si>
  <si>
    <t>StockSoul Choice Bar</t>
  </si>
  <si>
    <t>Yotsuba - Set2/Set3 Finisher</t>
  </si>
  <si>
    <t>https://product-images.tcgplayer.com/fit-in/437x437/498126.jpg</t>
  </si>
  <si>
    <t>https://tcgplayer-cdn.tcgplayer.com/product/280727_in_1000x1000.jpg</t>
  </si>
  <si>
    <t>Yotsuba - Set2 Finisher</t>
  </si>
  <si>
    <t>https://product-images.tcgplayer.com/fit-in/437x437/498077.jpg</t>
  </si>
  <si>
    <t>https://card.yuyu-tei.jp/ws/front/lily2.0/10085.jpg</t>
  </si>
  <si>
    <t>https://card.yuyu-tei.jp/ws/front/lily/10176.jpg</t>
  </si>
  <si>
    <t>https://card.yuyu-tei.jp/ws/front/lily/10134.jpg</t>
  </si>
  <si>
    <t>https://card.yuyu-tei.jp/ws/front/lily3.0/10002.jpg</t>
  </si>
  <si>
    <t>https://card.yuyu-tei.jp/ws/front/lily2.0/10005.jpg</t>
  </si>
  <si>
    <t>https://card.yuyu-tei.jp/ws/front/lily2.0/10008.jpg</t>
  </si>
  <si>
    <t>https://card.yuyu-tei.jp/ws/front/lily3.0/10007.jpg</t>
  </si>
  <si>
    <t>https://card.yuyu-tei.jp/ws/front/lily3.0/10010.jpg</t>
  </si>
  <si>
    <t>https://card.yuyu-tei.jp/ws/front/lily3.0/10028.jpg</t>
  </si>
  <si>
    <t>https://card.yuyu-tei.jp/ws/front/lily3.0/10052.jpg</t>
  </si>
  <si>
    <t>https://card.yuyu-tei.jp/ws/front/lily3.0/10055.jpg</t>
  </si>
  <si>
    <t>AMG</t>
  </si>
  <si>
    <t>https://card.yuyu-tei.jp/ws/front/amg/10085.jpg</t>
  </si>
  <si>
    <t>https://card.yuyu-tei.jp/ws/front/amg/10107.jpg</t>
  </si>
  <si>
    <t>https://card.yuyu-tei.jp/ws/front/amg/10086.jpg</t>
  </si>
  <si>
    <t>https://card.yuyu-tei.jp/ws/front/amg/10017.jpg</t>
  </si>
  <si>
    <t>https://card.yuyu-tei.jp/ws/front/amg/10018.jpg</t>
  </si>
  <si>
    <t>https://card.yuyu-tei.jp/ws/front/amg/10116.jpg</t>
  </si>
  <si>
    <t>AOH</t>
  </si>
  <si>
    <t>https://card.yuyu-tei.jp/ws/front/aoh/10048.jpg</t>
  </si>
  <si>
    <t>https://card.yuyu-tei.jp/ws/front/aoh/10078.jpg</t>
  </si>
  <si>
    <t>https://card.yuyu-tei.jp/ws/front/aoh/10054.jpg</t>
  </si>
  <si>
    <t>Blue Titan</t>
  </si>
  <si>
    <t>https://tcgplayer-cdn.tcgplayer.com/product/102671_in_1000x1000.jpg</t>
  </si>
  <si>
    <t>https://tcgplayer-cdn.tcgplayer.com/product/102665_in_1000x1000.jpg</t>
  </si>
  <si>
    <t>https://tcgplayer-cdn.tcgplayer.com/product/102677_in_1000x1000.jpg</t>
  </si>
  <si>
    <t>Wind Bar</t>
  </si>
  <si>
    <t>https://tcgplayer-cdn.tcgplayer.com/product/146489_in_1000x1000.jpg</t>
  </si>
  <si>
    <t>https://tcgplayer-cdn.tcgplayer.com/product/102583_in_1000x1000.jpg</t>
  </si>
  <si>
    <t>https://tcgplayer-cdn.tcgplayer.com/product/285292_in_1000x1000.jpg</t>
  </si>
  <si>
    <t>Wind Split Soul</t>
  </si>
  <si>
    <t>https://tcgplayer-cdn.tcgplayer.com/product/146570_in_1000x1000.jpg</t>
  </si>
  <si>
    <t>https://tcgplayer-cdn.tcgplayer.com/product/526684_in_1000x1000.jpg</t>
  </si>
  <si>
    <t>https://tcgplayer-cdn.tcgplayer.com/product/526813_in_1000x1000.jpg</t>
  </si>
  <si>
    <t>https://tcgplayer-cdn.tcgplayer.com/product/526786_in_1000x1000.jpg</t>
  </si>
  <si>
    <t>2Soul Pants</t>
  </si>
  <si>
    <t>https://product-images.tcgplayer.com/fit-in/437x437/527012.jpg</t>
  </si>
  <si>
    <t>https://product-images.tcgplayer.com/fit-in/437x437/filters:quality(1)/527034.jpg</t>
  </si>
  <si>
    <t>https://product-images.tcgplayer.com/fit-in/437x437/527046.jpg</t>
  </si>
  <si>
    <t>AT</t>
  </si>
  <si>
    <t>Standby Choice</t>
  </si>
  <si>
    <t>https://tcgplayer-cdn.tcgplayer.com/product/220333_in_1000x1000.jpg</t>
  </si>
  <si>
    <t>https://tcgplayer-cdn.tcgplayer.com/product/228312_in_1000x1000.jpg</t>
  </si>
  <si>
    <t>https://tcgplayer-cdn.tcgplayer.com/product/223735_in_1000x1000.jpg</t>
  </si>
  <si>
    <t>https://product-images.tcgplayer.com/fit-in/416x416/500672.jpg</t>
  </si>
  <si>
    <t>https://product-images.tcgplayer.com/fit-in/416x416/500683.jpg</t>
  </si>
  <si>
    <t>https://product-images.tcgplayer.com/fit-in/416x416/500648.jpg</t>
  </si>
  <si>
    <t>https://product-images.tcgplayer.com/fit-in/437x437/500606.jpg</t>
  </si>
  <si>
    <t>https://product-images.tcgplayer.com/fit-in/415x415/500546.jpg</t>
  </si>
  <si>
    <t>https://product-images.tcgplayer.com/fit-in/415x415/500538.jpg</t>
  </si>
  <si>
    <t>https://product-images.tcgplayer.com/fit-in/437x437/500650.jpg</t>
  </si>
  <si>
    <t>https://product-images.tcgplayer.com/fit-in/437x437/filters:quality(1)/500555.jpg</t>
  </si>
  <si>
    <t>https://product-images.tcgplayer.com/fit-in/437x437/500571.jpg</t>
  </si>
  <si>
    <t>https://product-images.tcgplayer.com/fit-in/437x437/filters:quality(1)/500619.jpg</t>
  </si>
  <si>
    <t>Pants Standby - Sokka Zuko</t>
  </si>
  <si>
    <t>https://product-images.tcgplayer.com/fit-in/415x415/500731.jpg</t>
  </si>
  <si>
    <t>https://tcgplayer-cdn.tcgplayer.com/product/500676_in_1000x1000.jpg</t>
  </si>
  <si>
    <t>https://product-images.tcgplayer.com/fit-in/415x415/500648.jpg</t>
  </si>
  <si>
    <t>AW</t>
  </si>
  <si>
    <t>https://tcgplayer-cdn.tcgplayer.com/product/562915_in_1000x1000.jpg</t>
  </si>
  <si>
    <t>https://tcgplayer-cdn.tcgplayer.com/product/562929_in_1000x1000.jpg</t>
  </si>
  <si>
    <t>https://tcgplayer-cdn.tcgplayer.com/product/562919_in_1000x1000.jpg</t>
  </si>
  <si>
    <t>https://tcgplayer-cdn.tcgplayer.com/product/562859_in_1000x1000.jpg</t>
  </si>
  <si>
    <t>https://tcgplayer-cdn.tcgplayer.com/product/562877_in_1000x1000.jpg</t>
  </si>
  <si>
    <t>https://tcgplayer-cdn.tcgplayer.com/product/562879_in_1000x1000.jpg</t>
  </si>
  <si>
    <t>https://tcgplayer-cdn.tcgplayer.com/product/562834_in_1000x1000.jpg</t>
  </si>
  <si>
    <t>https://tcgplayer-cdn.tcgplayer.com/product/562823_in_1000x1000.jpg</t>
  </si>
  <si>
    <t>https://tcgplayer-cdn.tcgplayer.com/product/562827_in_1000x1000.jpg</t>
  </si>
  <si>
    <t>https://tcgplayer-cdn.tcgplayer.com/product/562819_in_1000x1000.jpg</t>
  </si>
  <si>
    <t>https://tcgplayer-cdn.tcgplayer.com/product/562902_in_1000x1000.jpg</t>
  </si>
  <si>
    <t>https://tcgplayer-cdn.tcgplayer.com/product/562861_in_1000x1000.jpg</t>
  </si>
  <si>
    <t>Pants Standby</t>
  </si>
  <si>
    <t>Standby Pants Standby</t>
  </si>
  <si>
    <t>Pants Bar - Bremerton Shimanto</t>
  </si>
  <si>
    <t>https://tcgplayer-cdn.tcgplayer.com/product/521260_in_1000x1000.jpg</t>
  </si>
  <si>
    <t>https://tcgplayer-cdn.tcgplayer.com/product/657902_in_1000x1000.jpg</t>
  </si>
  <si>
    <t>https://tcgplayer-cdn.tcgplayer.com/product/658005_in_1000x1000.jpg</t>
  </si>
  <si>
    <t>8 Bar - Ayanami Shimakaze</t>
  </si>
  <si>
    <t>https://tcgplayer-cdn.tcgplayer.com/product/521186_in_1000x1000.jpg</t>
  </si>
  <si>
    <t>https://tcgplayer-cdn.tcgplayer.com/product/521233_in_1000x1000.jpg</t>
  </si>
  <si>
    <t>https://tcgplayer-cdn.tcgplayer.com/product/657907_in_1000x1000.jpg</t>
  </si>
  <si>
    <t>8 Bar - Noshiro Shinano</t>
  </si>
  <si>
    <t>8 Bar - Taihou Akagi</t>
  </si>
  <si>
    <t>8 Pants - Anchorage Enterprise</t>
  </si>
  <si>
    <t>https://tcgplayer-cdn.tcgplayer.com/product/657898_in_1000x1000.jpg</t>
  </si>
  <si>
    <t>https://tcgplayer-cdn.tcgplayer.com/product/658167_in_1000x1000.jpg</t>
  </si>
  <si>
    <t>https://tcgplayer-cdn.tcgplayer.com/product/658135_in_1000x1000.jpg</t>
  </si>
  <si>
    <t>https://tcgplayer-cdn.tcgplayer.com/product/657986_in_1000x1000.jpg</t>
  </si>
  <si>
    <t>https://tcgplayer-cdn.tcgplayer.com/product/658022_in_1000x1000.jpg</t>
  </si>
  <si>
    <t>https://tcgplayer-cdn.tcgplayer.com/product/521368_in_1000x1000.jpg</t>
  </si>
  <si>
    <t>Standby Standby Door</t>
  </si>
  <si>
    <t>https://tcgplayer-cdn.tcgplayer.com/product/521198_in_1000x1000.jpg</t>
  </si>
  <si>
    <t>8 Bar - Shimakaze</t>
  </si>
  <si>
    <t>https://product-images.tcgplayer.com/fit-in/437x437/521175.jpg</t>
  </si>
  <si>
    <t>https://tcgplayer-cdn.tcgplayer.com/product/521107_in_1000x1000.jpg</t>
  </si>
  <si>
    <t>https://product-images.tcgplayer.com/fit-in/437x437/521111.jpg</t>
  </si>
  <si>
    <t>8 Bar - Taihou</t>
  </si>
  <si>
    <t>https://product-images.tcgplayer.com/fit-in/437x437/521113.jpg</t>
  </si>
  <si>
    <t>https://tcgplayer-cdn.tcgplayer.com/product/520999_in_1000x1000.jpg</t>
  </si>
  <si>
    <t>https://tcgplayer-cdn.tcgplayer.com/product/520976_in_1000x1000.jpg</t>
  </si>
  <si>
    <t>https://tcgplayer-cdn.tcgplayer.com/product/521006_in_1000x1000.jpg</t>
  </si>
  <si>
    <t>https://product-images.tcgplayer.com/fit-in/437x437/filters:quality(1)/521260.jpg</t>
  </si>
  <si>
    <t>https://product-images.tcgplayer.com/fit-in/437x437/521264.jpg</t>
  </si>
  <si>
    <t>https://product-images.tcgplayer.com/fit-in/437x437/filters:quality(1)/521113.jpg</t>
  </si>
  <si>
    <t>https://product-images.tcgplayer.com/fit-in/437x437/521321.jpg</t>
  </si>
  <si>
    <t>https://product-images.tcgplayer.com/fit-in/437x437/521097.jpg</t>
  </si>
  <si>
    <t>https://card.yuyu-tei.jp/ws/front/bav2.0/10004.jpg</t>
  </si>
  <si>
    <t>https://card.yuyu-tei.jp/ws/front/bav2.0/10016.jpg</t>
  </si>
  <si>
    <t>https://card.yuyu-tei.jp/ws/front/bav2.0/10007.jpg</t>
  </si>
  <si>
    <t>Izuna Wakamo</t>
  </si>
  <si>
    <t>https://tcgplayer-cdn.tcgplayer.com/product/618432_in_1000x1000.jpg</t>
  </si>
  <si>
    <t>https://tcgplayer-cdn.tcgplayer.com/product/618436_in_1000x1000.jpg</t>
  </si>
  <si>
    <t>https://tcgplayer-cdn.tcgplayer.com/product/618438_in_1000x1000.jpg</t>
  </si>
  <si>
    <t>https://en.ws-tcg.com/wordpress/wp-content/images/cardimages/BAV/W112_E040.png</t>
  </si>
  <si>
    <t>https://en.ws-tcg.com/wordpress/wp-content/images/cardimages/BAV/W112_E004.png</t>
  </si>
  <si>
    <t>Azusa Hoshino</t>
  </si>
  <si>
    <t>https://tcgplayer-cdn.tcgplayer.com/product/618360_in_1000x1000.jpg</t>
  </si>
  <si>
    <t>https://tcgplayer-cdn.tcgplayer.com/product/618362_in_1000x1000.jpg</t>
  </si>
  <si>
    <t>https://tcgplayer-cdn.tcgplayer.com/product/618576_in_1000x1000.jpg</t>
  </si>
  <si>
    <t>https://tcgplayer-cdn.tcgplayer.com/product/618472_in_1000x1000.jpg</t>
  </si>
  <si>
    <t>https://tcgplayer-cdn.tcgplayer.com/product/618452_in_1000x1000.jpg</t>
  </si>
  <si>
    <t>https://card.yuyu-tei.jp/ws/front/bav2.0/10043.jpg</t>
  </si>
  <si>
    <t>https://tcgplayer-cdn.tcgplayer.com/product/618672_in_1000x1000.jpg</t>
  </si>
  <si>
    <t>https://tcgplayer-cdn.tcgplayer.com/product/618364_in_1000x1000.jpg</t>
  </si>
  <si>
    <t>Pants Choice Pants</t>
  </si>
  <si>
    <t>Mutsuki Saori</t>
  </si>
  <si>
    <t>https://card.yuyu-tei.jp/ws/front/bav/10099.jpg</t>
  </si>
  <si>
    <t>https://card.yuyu-tei.jp/ws/front/bav/10089.jpg</t>
  </si>
  <si>
    <t>https://card.yuyu-tei.jp/ws/front/bav/10045.jpg</t>
  </si>
  <si>
    <t>https://card.yuyu-tei.jp/ws/front/bav/10044.jpg</t>
  </si>
  <si>
    <t>https://card.yuyu-tei.jp/ws/front/bav2.0/10047.jpg</t>
  </si>
  <si>
    <t>https://card.yuyu-tei.jp/ws/front/bav2.0/10082.jpg</t>
  </si>
  <si>
    <t>https://card.yuyu-tei.jp/ws/front/bav/10119.jpg</t>
  </si>
  <si>
    <t>Restricted - 8 Bar - Oblivionis Layer</t>
  </si>
  <si>
    <t>https://tcgplayer-cdn.tcgplayer.com/product/643965_in_1000x1000.jpg</t>
  </si>
  <si>
    <t>https://tcgplayer-cdn.tcgplayer.com/product/643987_in_1000x1000.jpg</t>
  </si>
  <si>
    <t>https://tcgplayer-cdn.tcgplayer.com/product/260112_in_1000x1000.jpg</t>
  </si>
  <si>
    <t>Restricted - 8 Pants - Taki Tomori Birdcage</t>
  </si>
  <si>
    <t>https://tcgplayer-cdn.tcgplayer.com/product/644131_in_1000x1000.jpg</t>
  </si>
  <si>
    <t>https://tcgplayer-cdn.tcgplayer.com/product/644134_in_1000x1000.jpg</t>
  </si>
  <si>
    <t>https://tcgplayer-cdn.tcgplayer.com/product/173281_in_1000x1000.jpg</t>
  </si>
  <si>
    <t>Restricted - Bar Pants - Oblivionis Tomori</t>
  </si>
  <si>
    <t>https://tcgplayer-cdn.tcgplayer.com/product/173271_in_1000x1000.jpg</t>
  </si>
  <si>
    <t>https://img.yuyu-tei.jp/card_image/ws/front/bd5.0/10126.jpg</t>
  </si>
  <si>
    <t>Restricted - Bar Door - Oblivionis TomoriAnon</t>
  </si>
  <si>
    <t>https://tcgplayer-cdn.tcgplayer.com/product/644055_in_1000x1000.jpg</t>
  </si>
  <si>
    <t>https://tcgplayer-cdn.tcgplayer.com/product/644162_in_1000x1000.jpg</t>
  </si>
  <si>
    <t>Restricted - Bar Door</t>
  </si>
  <si>
    <t>https://tcgplayer-cdn.tcgplayer.com/product/644031_in_1000x1000.jpg</t>
  </si>
  <si>
    <t>8 2Soul</t>
  </si>
  <si>
    <t>https://tcgplayer-cdn.tcgplayer.com/product/491004_in_1000x1000.jpg</t>
  </si>
  <si>
    <t>https://tcgplayer-cdn.tcgplayer.com/product/491175_in_1000x1000.jpg</t>
  </si>
  <si>
    <t>8 Pants - Taki Tomori Birdcage</t>
  </si>
  <si>
    <t>MyGO TD</t>
  </si>
  <si>
    <t>Bar Pants - Oblivionis Lisa</t>
  </si>
  <si>
    <t>https://tcgplayer-cdn.tcgplayer.com/product/260394_in_1000x1000.jpg</t>
  </si>
  <si>
    <t>https://tcgplayer-cdn.tcgplayer.com/product/260354_in_1000x1000.jpg</t>
  </si>
  <si>
    <t>https://tcgplayer-cdn.tcgplayer.com/product/644225_in_1000x1000.jpg</t>
  </si>
  <si>
    <t>https://tcgplayer-cdn.tcgplayer.com/product/644227_in_1000x1000.jpg</t>
  </si>
  <si>
    <t>https://tcgplayer-cdn.tcgplayer.com/product/644253_in_1000x1000.jpg</t>
  </si>
  <si>
    <t>Bar Pants - Oblivionis Tomori</t>
  </si>
  <si>
    <t>https://tcgplayer-cdn.tcgplayer.com/product/644028_in_1000x1000.jpg</t>
  </si>
  <si>
    <t>Bar Pants - Oblivionis Birdcage</t>
  </si>
  <si>
    <t>https://tcgplayer-cdn.tcgplayer.com/product/490899_in_1000x1000.jpg</t>
  </si>
  <si>
    <t>8 Choice (Anni / BD2)</t>
  </si>
  <si>
    <t>https://product-images.tcgplayer.com/fit-in/585x585/490749.jpg</t>
  </si>
  <si>
    <t>https://product-images.tcgplayer.com/fit-in/585x585/490742.jpg</t>
  </si>
  <si>
    <t>https://tcgplayer-cdn.tcgplayer.com/product/216766_in_1000x1000.jpg</t>
  </si>
  <si>
    <t>8 Pants - Birdcage</t>
  </si>
  <si>
    <t>https://product-images.tcgplayer.com/fit-in/416x416/217116.jpg</t>
  </si>
  <si>
    <t>https://product-images.tcgplayer.com/fit-in/585x585/filters:quality(1)/491104.jpg</t>
  </si>
  <si>
    <t>8 Pants - MyGO</t>
  </si>
  <si>
    <t>https://img.yuyu-tei.jp/card_image/ws/front/bd5.0/10125.jpg</t>
  </si>
  <si>
    <t>https://img.yuyu-tei.jp/card_image/ws/front/bd5.0/10114.jpg</t>
  </si>
  <si>
    <t>Choice Door (Anni / BD2)</t>
  </si>
  <si>
    <t>https://tcgplayer-cdn.tcgplayer.com/product/490742_in_1000x1000.jpg</t>
  </si>
  <si>
    <t>https://tcgplayer-cdn.tcgplayer.com/product/173270_in_1000x1000.jpg</t>
  </si>
  <si>
    <t>https://tcgplayer-cdn.tcgplayer.com/product/217145_in_1000x1000.jpg</t>
  </si>
  <si>
    <t>https://product-images.tcgplayer.com/fit-in/585x585/490987.jpg</t>
  </si>
  <si>
    <t>Door Book</t>
  </si>
  <si>
    <t>Kasumi Lisa</t>
  </si>
  <si>
    <t>https://product-images.tcgplayer.com/fit-in/656x656/547479.jpg</t>
  </si>
  <si>
    <t>https://product-images.tcgplayer.com/fit-in/804x804/173271.jpg</t>
  </si>
  <si>
    <t>https://product-images.tcgplayer.com/fit-in/656x656/547587.jpg</t>
  </si>
  <si>
    <t>Kokoro Sayo Ako</t>
  </si>
  <si>
    <t>Lisa Sayo</t>
  </si>
  <si>
    <t>https://tcgplayer-cdn.tcgplayer.com/product/547522_in_1000x1000.jpg</t>
  </si>
  <si>
    <t>https://en.ws-tcg.com/wp/wp-content/images/cardimages/b/bd_w54/BD_W54_E073.png</t>
  </si>
  <si>
    <t>https://en.ws-tcg.com/wp/wp-content/images/cardimages/GBP21/PPR/WE35_E35.png</t>
  </si>
  <si>
    <t>Roselia - Door Birdcage</t>
  </si>
  <si>
    <t>https://tcgplayer-cdn.tcgplayer.com/product/491168_in_1000x1000.jpg</t>
  </si>
  <si>
    <t>https://tcgplayer-cdn.tcgplayer.com/product/171519_in_1000x1000.jpg</t>
  </si>
  <si>
    <t>Saya Lisa</t>
  </si>
  <si>
    <t>https://product-images.tcgplayer.com/fit-in/804x804/173260.jpg</t>
  </si>
  <si>
    <t>https://en.ws-tcg.com/wp/wp-content/images/cardimages/b/bd_w47/BD_W47_E035.png</t>
  </si>
  <si>
    <t>https://product-images.tcgplayer.com/fit-in/804x804/260354.jpg</t>
  </si>
  <si>
    <t>Sayo YukinaRan</t>
  </si>
  <si>
    <t>https://tcgplayer-cdn.tcgplayer.com/product/217116_in_1000x1000.jpg</t>
  </si>
  <si>
    <t>https://tcgplayer-cdn.tcgplayer.com/product/490987_in_1000x1000.jpg</t>
  </si>
  <si>
    <t>https://tcgplayer-cdn.tcgplayer.com/product/490812_in_1000x1000.jpg</t>
  </si>
  <si>
    <t>SplitSoul Bar</t>
  </si>
  <si>
    <t>https://tcgplayer-cdn.tcgplayer.com/product/173194_in_1000x1000.jpg</t>
  </si>
  <si>
    <t>https://tcgplayer-cdn.tcgplayer.com/product/490823_in_1000x1000.jpg</t>
  </si>
  <si>
    <t>https://tcgplayer-cdn.tcgplayer.com/product/198348_in_1000x1000.jpg</t>
  </si>
  <si>
    <t>https://card.yuyu-tei.jp/ws/front/bd5.0/10138.jpg</t>
  </si>
  <si>
    <t>https://card.yuyu-tei.jp/ws/front/bd5.0/10139.jpg</t>
  </si>
  <si>
    <t>https://card.yuyu-tei.jp/ws/front/bd5.0/10101.jpg</t>
  </si>
  <si>
    <t>BFR</t>
  </si>
  <si>
    <t>2Soul Pants Door</t>
  </si>
  <si>
    <t>https://tcgplayer-cdn.tcgplayer.com/product/238867_in_1000x1000.jpg</t>
  </si>
  <si>
    <t>https://tcgplayer-cdn.tcgplayer.com/product/238981_in_1000x1000.jpg</t>
  </si>
  <si>
    <t>https://tcgplayer-cdn.tcgplayer.com/product/237669_in_1000x1000.jpg</t>
  </si>
  <si>
    <t>2Soul SalvageSoul</t>
  </si>
  <si>
    <t>https://tcgplayer-cdn.tcgplayer.com/product/238744_in_1000x1000.jpg</t>
  </si>
  <si>
    <t>https://tcgplayer-cdn.tcgplayer.com/product/238918_in_1000x1000.jpg</t>
  </si>
  <si>
    <t>https://tcgplayer-cdn.tcgplayer.com/product/239011_in_1000x1000.jpg</t>
  </si>
  <si>
    <t>https://tcgplayer-cdn.tcgplayer.com/product/238869_in_1000x1000.jpg</t>
  </si>
  <si>
    <t>https://tcgplayer-cdn.tcgplayer.com/product/237683_in_1000x1000.jpg</t>
  </si>
  <si>
    <t>https://tcgplayer-cdn.tcgplayer.com/product/239072_in_1000x1000.jpg</t>
  </si>
  <si>
    <t>Book SalvageSoul</t>
  </si>
  <si>
    <t>BNJ</t>
  </si>
  <si>
    <t>https://tcgplayer-cdn.tcgplayer.com/product/554131_in_1000x1000.jpg</t>
  </si>
  <si>
    <t>https://tcgplayer-cdn.tcgplayer.com/product/553948_in_1000x1000.jpg</t>
  </si>
  <si>
    <t>https://tcgplayer-cdn.tcgplayer.com/product/553932_in_1000x1000.jpg</t>
  </si>
  <si>
    <t>https://tcgplayer-cdn.tcgplayer.com/product/554047_in_1000x1000.jpg</t>
  </si>
  <si>
    <t>https://tcgplayer-cdn.tcgplayer.com/product/554102_in_1000x1000.jpg</t>
  </si>
  <si>
    <t>https://tcgplayer-cdn.tcgplayer.com/product/554051_in_1000x1000.jpg</t>
  </si>
  <si>
    <t>https://img.yuyu-tei.jp/card_image/ws/front/btr/10118.jpg</t>
  </si>
  <si>
    <t>https://img.yuyu-tei.jp/card_image/ws/front/btr/10086.jpg</t>
  </si>
  <si>
    <t>https://img.yuyu-tei.jp/card_image/ws/front/btr/10119.jpg</t>
  </si>
  <si>
    <t>Choice Choice Bar</t>
  </si>
  <si>
    <t>https://product-images.tcgplayer.com/fit-in/415x415/553916.jpg</t>
  </si>
  <si>
    <t>https://product-images.tcgplayer.com/fit-in/415x415/553948.jpg</t>
  </si>
  <si>
    <t>https://product-images.tcgplayer.com/fit-in/656x656/553987.jpg</t>
  </si>
  <si>
    <t>https://tcgplayer-cdn.tcgplayer.com/product/553997_in_1000x1000.jpg</t>
  </si>
  <si>
    <t>https://tcgplayer-cdn.tcgplayer.com/product/554063_in_1000x1000.jpg</t>
  </si>
  <si>
    <t>https://product-images.tcgplayer.com/fit-in/656x656/554047.jpg</t>
  </si>
  <si>
    <t>https://product-images.tcgplayer.com/fit-in/656x656/554095.jpg</t>
  </si>
  <si>
    <t>Door Bar Bar</t>
  </si>
  <si>
    <t>https://product-images.tcgplayer.com/fit-in/656x656/554015.jpg</t>
  </si>
  <si>
    <t>CHA</t>
  </si>
  <si>
    <t>https://card.yuyu-tei.jp/ws/front/key20th/10095.jpg</t>
  </si>
  <si>
    <t>https://card.yuyu-tei.jp/ws/front/charlotte1.0/10077.jpg</t>
  </si>
  <si>
    <t>https://card.yuyu-tei.jp/ws/front/charlotte1.0/10102.jpg</t>
  </si>
  <si>
    <t>https://product-images.tcgplayer.com/fit-in/437x437/534352.jpg</t>
  </si>
  <si>
    <t>https://tcgplayer-cdn.tcgplayer.com/product/534267_in_1000x1000.jpg</t>
  </si>
  <si>
    <t>https://product-images.tcgplayer.com/fit-in/585x585/534255.jpg</t>
  </si>
  <si>
    <t>https://tcgplayer-cdn.tcgplayer.com/product/534218_in_1000x1000.jpg</t>
  </si>
  <si>
    <t>https://tcgplayer-cdn.tcgplayer.com/product/534212_in_1000x1000.jpg</t>
  </si>
  <si>
    <t>https://tcgplayer-cdn.tcgplayer.com/product/534216_in_1000x1000.jpg</t>
  </si>
  <si>
    <t>Choice Door Choice</t>
  </si>
  <si>
    <t>https://tcgplayer-cdn.tcgplayer.com/product/534295_in_1000x1000.jpg</t>
  </si>
  <si>
    <t>https://tcgplayer-cdn.tcgplayer.com/product/534397_in_1000x1000.jpg</t>
  </si>
  <si>
    <t>https://tcgplayer-cdn.tcgplayer.com/product/534408_in_1000x1000.jpg</t>
  </si>
  <si>
    <t>https://tcgplayer-cdn.tcgplayer.com/product/534406_in_1000x1000.jpg</t>
  </si>
  <si>
    <t>https://product-images.tcgplayer.com/fit-in/437x437/534339.jpg</t>
  </si>
  <si>
    <t>https://tcgplayer-cdn.tcgplayer.com/product/534339_in_1000x1000.jpg</t>
  </si>
  <si>
    <t>https://tcgplayer-cdn.tcgplayer.com/product/534293_in_1000x1000.jpg</t>
  </si>
  <si>
    <t>StockSoul Pants</t>
  </si>
  <si>
    <t>https://en.ws-tcg.com/wordpress/wp-content/images/cardimages/CSM/S96_E086.png</t>
  </si>
  <si>
    <t>https://en.ws-tcg.com/wordpress/wp-content/images/cardimages/CSM/S96_E004.png</t>
  </si>
  <si>
    <t>https://en.ws-tcg.com/wordpress/wp-content/images/cardimages/CSM/S96_E007.png</t>
  </si>
  <si>
    <t>https://card.yuyu-tei.jp/ws/front/dal3.0/10036.jpg</t>
  </si>
  <si>
    <t>https://card.yuyu-tei.jp/ws/front/dal3.0/10037.jpg</t>
  </si>
  <si>
    <t>https://card.yuyu-tei.jp/ws/front/dal/10081.jpg</t>
  </si>
  <si>
    <t>https://card.yuyu-tei.jp/ws/front/dal3.0/10067.jpg</t>
  </si>
  <si>
    <t>Kotori Origami</t>
  </si>
  <si>
    <t>https://tcgplayer-cdn.tcgplayer.com/product/234496_in_1000x1000.jpg</t>
  </si>
  <si>
    <t>Kotori Tohka (Set 2)</t>
  </si>
  <si>
    <t>https://tcgplayer-cdn.tcgplayer.com/product/487629_in_1000x1000.jpg</t>
  </si>
  <si>
    <t>https://media.discordapp.net/attachments/1053836222046412820/1468096182872965301/DAL_W79_E077.png?ex=6982c69d&amp;is=6981751d&amp;hm=d99d8c79e05836d148474e8ae04d78d8c1e5ee680b85886fc2713bfdd7b47104&amp;=&amp;format=webp&amp;quality=lossless&amp;width=800&amp;height=1116</t>
  </si>
  <si>
    <t>https://media.discordapp.net/attachments/1053836222046412820/1468096183535931574/Fdl_W65_E099.png?ex=6982c69e&amp;is=6981751e&amp;hm=d5af5827a4cf658bec182da0b830a957fa294d777c6417d9a210266e44ecc38e&amp;=&amp;format=webp&amp;quality=lossless&amp;width=800&amp;height=1116</t>
  </si>
  <si>
    <t>https://media.discordapp.net/attachments/1053836222046412820/1468096183191867412/DAL_W79_E083.png?ex=6982c69d&amp;is=6981751d&amp;hm=f45b60b793643fb40813ecf7a115f7409a34f2e195f1ee14260e5608dec7816c&amp;=&amp;format=webp&amp;quality=lossless&amp;width=800&amp;height=1116</t>
  </si>
  <si>
    <t>https://card.yuyu-tei.jp/ws/front/dbg/10051.jpg</t>
  </si>
  <si>
    <t>https://card.yuyu-tei.jp/ws/front/dbg/10056.jpg</t>
  </si>
  <si>
    <t>https://card.yuyu-tei.jp/ws/front/dbg/10078.jpg</t>
  </si>
  <si>
    <t>DC</t>
  </si>
  <si>
    <t>https://card.yuyu-tei.jp/ws/front/dc20thext/10047.jpg</t>
  </si>
  <si>
    <t>https://card.yuyu-tei.jp/ws/front/dc20th/10084.jpg</t>
  </si>
  <si>
    <t>https://img.yuyu-tei.jp/card_image/ws/front/dc20thext/10016.jpg</t>
  </si>
  <si>
    <t>https://img.yuyu-tei.jp/card_image/ws/front/dc20th/10008.jpg</t>
  </si>
  <si>
    <t>https://img.yuyu-tei.jp/card_image/ws/front/dc20thext/10018.jpg</t>
  </si>
  <si>
    <t>DCT</t>
  </si>
  <si>
    <t>https://card.yuyu-tei.jp/ws/front/dct/10115.jpg</t>
  </si>
  <si>
    <t>https://card.yuyu-tei.jp/ws/front/dct/10015.jpg</t>
  </si>
  <si>
    <t>https://card.yuyu-tei.jp/ws/front/dct/10118.jpg</t>
  </si>
  <si>
    <t>https://img.yuyu-tei.jp/card_image/ws/front/ddd/10014.jpg</t>
  </si>
  <si>
    <t>https://img.yuyu-tei.jp/card_image/ws/front/ddd/10007.jpg</t>
  </si>
  <si>
    <t>https://img.yuyu-tei.jp/card_image/ws/front/ddd/10009.jpg</t>
  </si>
  <si>
    <t>https://tcgplayer-cdn.tcgplayer.com/product/674096_in_1000x1000.jpg</t>
  </si>
  <si>
    <t>https://tcgplayer-cdn.tcgplayer.com/product/674079_in_1000x1000.jpg</t>
  </si>
  <si>
    <t>https://tcgplayer-cdn.tcgplayer.com/product/674097_in_1000x1000.jpg</t>
  </si>
  <si>
    <t>https://tcgplayer-cdn.tcgplayer.com/product/674093_in_1000x1000.jpg</t>
  </si>
  <si>
    <t>https://tcgplayer-cdn.tcgplayer.com/product/674072_in_1000x1000.jpg</t>
  </si>
  <si>
    <t>https://tcgplayer-cdn.tcgplayer.com/product/674094_in_1000x1000.jpg</t>
  </si>
  <si>
    <t>https://tcgplayer-cdn.tcgplayer.com/product/277461_in_1000x1000.jpg</t>
  </si>
  <si>
    <t>https://tcgplayer-cdn.tcgplayer.com/product/277492_in_1000x1000.jpg</t>
  </si>
  <si>
    <t>https://tcgplayer-cdn.tcgplayer.com/product/277527_in_1000x1000.jpg</t>
  </si>
  <si>
    <t>DG</t>
  </si>
  <si>
    <t>8 Pants Atomic All</t>
  </si>
  <si>
    <t>https://en.ws-tcg.com/wordpress/wp-content/images/cardimages/EIS/SX07-081.png</t>
  </si>
  <si>
    <t>https://en.ws-tcg.com/wordpress/wp-content/images/cardimages/EIS/SX07-085.png</t>
  </si>
  <si>
    <t>https://en.ws-tcg.com/wordpress/wp-content/images/cardimages/EIS/SX07-068.png</t>
  </si>
  <si>
    <t>https://en.ws-tcg.com/wordpress/wp-content/images/cardimages/EIS/SX07-092.png</t>
  </si>
  <si>
    <t>8 Pants Sortie</t>
  </si>
  <si>
    <t>https://en.ws-tcg.com/wordpress/wp-content/images/cardimages/EIS/SX07-088.png</t>
  </si>
  <si>
    <t>https://en.ws-tcg.com/wordpress/wp-content/images/cardimages/EIS/SX07-087S.png</t>
  </si>
  <si>
    <t>https://en.ws-tcg.com/wordpress/wp-content/images/cardimages/EIS/SX07-089.png</t>
  </si>
  <si>
    <t>https://en.ws-tcg.com/wordpress/wp-content/images/cardimages/EIS/SX07-T04.png</t>
  </si>
  <si>
    <t>https://en.ws-tcg.com/wordpress/wp-content/images/cardimages/EIS/SX07-054.png</t>
  </si>
  <si>
    <t>https://en.ws-tcg.com/wordpress/wp-content/images/cardimages/EIS/SX07-041.png</t>
  </si>
  <si>
    <t>6 Standby 2 Pants</t>
  </si>
  <si>
    <t>https://en.ws-tcg.com/wordpress/wp-content/images/cardimages/EIS/SX07-053.png</t>
  </si>
  <si>
    <t>8 Bar - Nitocris</t>
  </si>
  <si>
    <t>https://tcgplayer-cdn.tcgplayer.com/product/274893_in_1000x1000.jpg</t>
  </si>
  <si>
    <t>https://tcgplayer-cdn.tcgplayer.com/product/274895_in_1000x1000.jpg</t>
  </si>
  <si>
    <t>https://tcgplayer-cdn.tcgplayer.com/product/274879_in_1000x1000.jpg</t>
  </si>
  <si>
    <t>https://product-images.tcgplayer.com/fit-in/437x437/274978.jpg</t>
  </si>
  <si>
    <t>https://product-images.tcgplayer.com/fit-in/818x818/274847.jpg</t>
  </si>
  <si>
    <t>https://product-images.tcgplayer.com/fit-in/818x818/275015.jpg</t>
  </si>
  <si>
    <t>Bar Door - Laser</t>
  </si>
  <si>
    <t>https://card.yuyu-tei.jp/ws/front/fs/10065.jpg</t>
  </si>
  <si>
    <t>https://card.yuyu-tei.jp/ws/front/fs/10082.jpg</t>
  </si>
  <si>
    <t>https://card.yuyu-tei.jp/ws/front/fshf2.0/10043.jpg</t>
  </si>
  <si>
    <t>https://card.yuyu-tei.jp/ws/front/ft2.0/10028.jpg</t>
  </si>
  <si>
    <t>https://card.yuyu-tei.jp/ws/front/ft2.0/10031.jpg</t>
  </si>
  <si>
    <t>https://card.yuyu-tei.jp/ws/front/ft2.0/10032.jpg</t>
  </si>
  <si>
    <t>https://tcgplayer-cdn.tcgplayer.com/product/682604_in_1000x1000.jpg</t>
  </si>
  <si>
    <t>https://tcgplayer-cdn.tcgplayer.com/product/682663_in_1000x1000.jpg</t>
  </si>
  <si>
    <t>https://img.yuyu-tei.jp/card_image/ws/front/fujimif2.0/10120.jpg</t>
  </si>
  <si>
    <t>https://img.yuyu-tei.jp/card_image/ws/front/fujimif2.0/10156.jpg</t>
  </si>
  <si>
    <t>https://img.yuyu-tei.jp/card_image/ws/front/fujimif2.0/10158.jpg</t>
  </si>
  <si>
    <t>https://en.ws-tcg.com/wordpress/wp-content/images/cardimages/FJM2/W120_E085.png</t>
  </si>
  <si>
    <t>https://en.ws-tcg.com/wordpress/wp-content/images/cardimages/FJM2/W120_E107.png</t>
  </si>
  <si>
    <t>Choice SalvageSoul</t>
  </si>
  <si>
    <t>https://img.yuyu-tei.jp/card_image/ws/front/fujimif2.0/10045.jpg</t>
  </si>
  <si>
    <t>https://img.yuyu-tei.jp/card_image/ws/front/fujimif2.0/10182.jpg</t>
  </si>
  <si>
    <t>https://img.yuyu-tei.jp/card_image/ws/front/fujimif2.0/10166.jpg</t>
  </si>
  <si>
    <t>https://img.yuyu-tei.jp/card_image/ws/front/fujimif2.0/10127.jpg</t>
  </si>
  <si>
    <t>Pants Standby SalvageSoul</t>
  </si>
  <si>
    <t>https://img.yuyu-tei.jp/card_image/ws/front/fujimif2.0/10018.jpg</t>
  </si>
  <si>
    <t>https://img.yuyu-tei.jp/card_image/ws/front/fujimif2.0/10047.jpg</t>
  </si>
  <si>
    <t>https://img.yuyu-tei.jp/card_image/ws/front/fujimif2.0/10099.jpg</t>
  </si>
  <si>
    <t>https://img.yuyu-tei.jp/card_image/ws/front/fujimif2.0/10082.jpg</t>
  </si>
  <si>
    <t>StockSoul Bar - Aliceliese Teresa</t>
  </si>
  <si>
    <t>8 Door (TD / Nina)</t>
  </si>
  <si>
    <t>https://img.yuyu-tei.jp/card_image/ws/front/gcrpb/10168.jpg</t>
  </si>
  <si>
    <t>https://img.yuyu-tei.jp/card_image/ws/front/gcrpb/10043.jpg</t>
  </si>
  <si>
    <t>https://img.yuyu-tei.jp/card_image/ws/front/gcrpb/10042.jpg</t>
  </si>
  <si>
    <t>https://img.yuyu-tei.jp/card_image/ws/front/gcrpb/10059.jpg</t>
  </si>
  <si>
    <t>Pants Door Pants</t>
  </si>
  <si>
    <t>https://img.yuyu-tei.jp/card_image/ws/front/gcrpb/10032.jpg</t>
  </si>
  <si>
    <t>https://img.yuyu-tei.jp/card_image/ws/front/gcrpb/10066.jpg</t>
  </si>
  <si>
    <t>https://tcgplayer-cdn.tcgplayer.com/product/673231_in_1000x1000.jpg</t>
  </si>
  <si>
    <t>https://card.yuyu-tei.jp/ws/front/gcrpb/10038.jpg</t>
  </si>
  <si>
    <t>https://card.yuyu-tei.jp/ws/front/gcrpb/10011.jpg</t>
  </si>
  <si>
    <t>GGO</t>
  </si>
  <si>
    <t>https://img.yuyu-tei.jp/card_image/ws/front/ggoext/10004.jpg</t>
  </si>
  <si>
    <t>https://img.yuyu-tei.jp/card_image/ws/front/ggoext/10042.jpg</t>
  </si>
  <si>
    <t>https://img.yuyu-tei.jp/card_image/ws/front/ggoext/10022.jpg</t>
  </si>
  <si>
    <t>https://img.yuyu-tei.jp/card_image/ws/front/ggoext/10041.jpg</t>
  </si>
  <si>
    <t>https://img.yuyu-tei.jp/card_image/ws/front/ggo/10125.jpg</t>
  </si>
  <si>
    <t>https://img.yuyu-tei.jp/card_image/ws/front/ggoext/10047.jpg</t>
  </si>
  <si>
    <t>https://img.yuyu-tei.jp/card_image/ws/front/ggoext/10026.jpg</t>
  </si>
  <si>
    <t>https://tcgplayer-cdn.tcgplayer.com/product/528805_in_1000x1000.jpg</t>
  </si>
  <si>
    <t>https://tcgplayer-cdn.tcgplayer.com/product/529382_in_1000x1000.jpg</t>
  </si>
  <si>
    <t>https://tcgplayer-cdn.tcgplayer.com/product/529102_in_1000x1000.jpg</t>
  </si>
  <si>
    <t>https://tcgplayer-cdn.tcgplayer.com/product/529006_in_1000x1000.jpg</t>
  </si>
  <si>
    <t>https://tcgplayer-cdn.tcgplayer.com/product/529647_in_1000x1000.jpg</t>
  </si>
  <si>
    <t>https://tcgplayer-cdn.tcgplayer.com/product/529080_in_1000x1000.jpg</t>
  </si>
  <si>
    <t>https://product-images.tcgplayer.com/fit-in/818x818/529182.jpg</t>
  </si>
  <si>
    <t>https://tcgplayer-cdn.tcgplayer.com/product/529199_in_1000x1000.jpg</t>
  </si>
  <si>
    <t>https://product-images.tcgplayer.com/fit-in/437x437/529040.jpg</t>
  </si>
  <si>
    <t>https://product-images.tcgplayer.com/fit-in/818x818/529201.jpg</t>
  </si>
  <si>
    <t>https://product-images.tcgplayer.com/fit-in/818x818/528814.jpg</t>
  </si>
  <si>
    <t>Pants Shot</t>
  </si>
  <si>
    <t>Pants Shot Bar</t>
  </si>
  <si>
    <t>https://product-images.tcgplayer.com/fit-in/437x437/529182.jpg</t>
  </si>
  <si>
    <t>https://product-images.tcgplayer.com/fit-in/437x437/filters:quality(1)/528842.jpg</t>
  </si>
  <si>
    <t>https://tcgplayer-cdn.tcgplayer.com/product/528842_in_1000x1000.jpg</t>
  </si>
  <si>
    <t>https://tcgplayer-cdn.tcgplayer.com/product/529040_in_1000x1000.jpg</t>
  </si>
  <si>
    <t>https://tcgplayer-cdn.tcgplayer.com/product/529047_in_1000x1000.jpg</t>
  </si>
  <si>
    <t>https://tcgplayer-cdn.tcgplayer.com/product/529078_in_1000x1000.jpg</t>
  </si>
  <si>
    <t>Standby Door - Ino</t>
  </si>
  <si>
    <t>https://product-images.tcgplayer.com/fit-in/376x376/529163.jpg</t>
  </si>
  <si>
    <t>https://product-images.tcgplayer.com/fit-in/437x437/529382.jpg</t>
  </si>
  <si>
    <t>https://product-images.tcgplayer.com/fit-in/585x585/529102.jpg</t>
  </si>
  <si>
    <t>https://img.yuyu-tei.jp/card_image/ws/front/gim/10084.jpg</t>
  </si>
  <si>
    <t>https://card.yuyu-tei.jp/ws/front/gim/10047.jpg</t>
  </si>
  <si>
    <t>https://img.yuyu-tei.jp/card_image/ws/front/gim/10086.jpg</t>
  </si>
  <si>
    <t>https://card.yuyu-tei.jp/ws/front/gim/10120.jpg</t>
  </si>
  <si>
    <t>https://img.yuyu-tei.jp/card_image/ws/front/gim/10045.jpg</t>
  </si>
  <si>
    <t>https://img.yuyu-tei.jp/card_image/ws/front/gim/10093.jpg</t>
  </si>
  <si>
    <t>https://img.yuyu-tei.jp/card_image/ws/front/gim/10094.jpg</t>
  </si>
  <si>
    <t>Restricted - Door Pants</t>
  </si>
  <si>
    <t>https://img.yuyu-tei.jp/card_image/ws/front/gim/10124.jpg</t>
  </si>
  <si>
    <t>https://img.yuyu-tei.jp/card_image/ws/front/gim/10080.jpg</t>
  </si>
  <si>
    <t>https://card.yuyu-tei.jp/ws/front/gim/10133.jpg</t>
  </si>
  <si>
    <t>https://card.yuyu-tei.jp/ws/front/gim/10058.jpg</t>
  </si>
  <si>
    <t>Level 0 Deck</t>
  </si>
  <si>
    <t>https://img.yuyu-tei.jp/card_image/ws/front/gim/10128.jpg</t>
  </si>
  <si>
    <t>https://img.yuyu-tei.jp/card_image/ws/front/gim/10051.jpg</t>
  </si>
  <si>
    <t>https://img.yuyu-tei.jp/card_image/ws/front/gim/10049.jpg</t>
  </si>
  <si>
    <t>GL</t>
  </si>
  <si>
    <t>Anti-Spiral</t>
  </si>
  <si>
    <t>https://product-images.tcgplayer.com/fit-in/376x376/169917.jpg</t>
  </si>
  <si>
    <t>https://product-images.tcgplayer.com/fit-in/376x376/169918.jpg</t>
  </si>
  <si>
    <t>https://product-images.tcgplayer.com/fit-in/376x376/169916.jpg</t>
  </si>
  <si>
    <t>https://img.yuyu-tei.jp/card_image/ws/front/gri3.0/10044.jpg</t>
  </si>
  <si>
    <t>https://img.yuyu-tei.jp/card_image/ws/front/gri2.0/10002.jpg</t>
  </si>
  <si>
    <t>https://img.yuyu-tei.jp/card_image/ws/front/gri3.0/10018.jpg</t>
  </si>
  <si>
    <t>https://product-images.tcgplayer.com/fit-in/818x818/496647.jpg</t>
  </si>
  <si>
    <t>https://product-images.tcgplayer.com/fit-in/818x818/496589.jpg</t>
  </si>
  <si>
    <t>https://product-images.tcgplayer.com/fit-in/818x818/496700.jpg</t>
  </si>
  <si>
    <t>https://img.yuyu-tei.jp/card_image/ws/front/gri2.0/10115.jpg</t>
  </si>
  <si>
    <t>https://img.yuyu-tei.jp/card_image/ws/front/gri2.0/10116.jpg</t>
  </si>
  <si>
    <t>https://img.yuyu-tei.jp/card_image/ws/front/gri2.0/10103.jpg</t>
  </si>
  <si>
    <t>https://img.yuyu-tei.jp/card_image/ws/front/gri3.0/10055.jpg</t>
  </si>
  <si>
    <t>https://img.yuyu-tei.jp/card_image/ws/front/gri3.0/10040.jpg</t>
  </si>
  <si>
    <t>https://img.yuyu-tei.jp/card_image/ws/front/gri3.0/10017.jpg</t>
  </si>
  <si>
    <t>https://img.yuyu-tei.jp/card_image/ws/front/gochiusabloom/10077.jpg</t>
  </si>
  <si>
    <t>https://img.yuyu-tei.jp/card_image/ws/front/gochiusabloom/10079.jpg</t>
  </si>
  <si>
    <t>https://img.yuyu-tei.jp/card_image/ws/front/gochiusabloom/10081.jpg</t>
  </si>
  <si>
    <t>Best Shot</t>
  </si>
  <si>
    <t>https://img.yuyu-tei.jp/card_image/ws/front/gochiusapb/10004.jpg</t>
  </si>
  <si>
    <t>https://img.yuyu-tei.jp/card_image/ws/front/gochiusapb/10003.jpg</t>
  </si>
  <si>
    <t>https://img.yuyu-tei.jp/card_image/ws/front/gochiusapb/10013.jpg</t>
  </si>
  <si>
    <t>Choice Pants - Aoyama</t>
  </si>
  <si>
    <t>Door Pants - Aoyama</t>
  </si>
  <si>
    <t>https://img.yuyu-tei.jp/card_image/ws/front/gochiusapb/10023.jpg</t>
  </si>
  <si>
    <t>https://img.yuyu-tei.jp/card_image/ws/front/gochiusare/10071.jpg</t>
  </si>
  <si>
    <t>https://img.yuyu-tei.jp/card_image/ws/front/gochiusare/10072.jpg</t>
  </si>
  <si>
    <t>Gxx</t>
  </si>
  <si>
    <t>https://tcgplayer-cdn.tcgplayer.com/product/585685_in_1000x1000.jpg</t>
  </si>
  <si>
    <t>https://tcgplayer-cdn.tcgplayer.com/product/585661_in_1000x1000.jpg</t>
  </si>
  <si>
    <t>https://tcgplayer-cdn.tcgplayer.com/product/585819_in_1000x1000.jpg</t>
  </si>
  <si>
    <t>https://tcgplayer-cdn.tcgplayer.com/product/585958_in_1000x1000.jpg</t>
  </si>
  <si>
    <t>https://tcgplayer-cdn.tcgplayer.com/product/585817_in_1000x1000.jpg</t>
  </si>
  <si>
    <t>https://tcgplayer-cdn.tcgplayer.com/product/585583_in_1000x1000.jpg</t>
  </si>
  <si>
    <t>GZL</t>
  </si>
  <si>
    <t>https://img.yuyu-tei.jp/card_image/ws/front/godzillaext1.0/10037.jpg</t>
  </si>
  <si>
    <t>https://img.yuyu-tei.jp/card_image/ws/front/godzillaext1.0/10029.jpg</t>
  </si>
  <si>
    <t>https://img.yuyu-tei.jp/card_image/ws/front/godzillaext1.0/10025.jpg</t>
  </si>
  <si>
    <t>https://img.yuyu-tei.jp/card_image/ws/front/hbr/10059.jpg</t>
  </si>
  <si>
    <t>https://img.yuyu-tei.jp/card_image/ws/front/hbr/10053.jpg</t>
  </si>
  <si>
    <t>https://img.yuyu-tei.jp/card_image/ws/front/hbr/10056.jpg</t>
  </si>
  <si>
    <t>Bar Wind Bar</t>
  </si>
  <si>
    <t>https://img.yuyu-tei.jp/card_image/ws/front/hbr2.0/10046.jpg</t>
  </si>
  <si>
    <t>https://img.yuyu-tei.jp/card_image/ws/front/hbr2.0/10045.jpg</t>
  </si>
  <si>
    <t>StockSoul Wind</t>
  </si>
  <si>
    <t>https://img.yuyu-tei.jp/card_image/ws/front/hbr2.0/10093.jpg</t>
  </si>
  <si>
    <t>https://img.yuyu-tei.jp/card_image/ws/front/hbr/10061.jpg</t>
  </si>
  <si>
    <t>https://tcgplayer-cdn.tcgplayer.com/product/509045_in_1000x1000.jpg</t>
  </si>
  <si>
    <t>https://tcgplayer-cdn.tcgplayer.com/product/267283_in_1000x1000.jpg</t>
  </si>
  <si>
    <t>https://tcgplayer-cdn.tcgplayer.com/product/267187_in_1000x1000.jpg</t>
  </si>
  <si>
    <t>Aqua</t>
  </si>
  <si>
    <t>Ayame Marine</t>
  </si>
  <si>
    <t>https://tcgplayer-cdn.tcgplayer.com/product/267437_in_1000x1000.jpg</t>
  </si>
  <si>
    <t>https://tcgplayer-cdn.tcgplayer.com/product/267443_in_1000x1000.jpg</t>
  </si>
  <si>
    <t>https://tcgplayer-cdn.tcgplayer.com/product/267225_in_1000x1000.jpg</t>
  </si>
  <si>
    <t>Ayame Mumei</t>
  </si>
  <si>
    <t>AZKi Gura</t>
  </si>
  <si>
    <t>https://tcgplayer-cdn.tcgplayer.com/product/509114_in_1000x1000.jpg</t>
  </si>
  <si>
    <t>https://tcgplayer-cdn.tcgplayer.com/product/508869_in_1000x1000.jpg</t>
  </si>
  <si>
    <t>https://tcgplayer-cdn.tcgplayer.com/product/508724_in_1000x1000.jpg</t>
  </si>
  <si>
    <t>AZKi Korone</t>
  </si>
  <si>
    <t>https://tcgplayer-cdn.tcgplayer.com/product/267486_in_1000x1000.jpg</t>
  </si>
  <si>
    <t>https://tcgplayer-cdn.tcgplayer.com/product/267113_in_1000x1000.jpg</t>
  </si>
  <si>
    <t>AZKi Mumei</t>
  </si>
  <si>
    <t>https://tcgplayer-cdn.tcgplayer.com/product/508849_in_1000x1000.jpg</t>
  </si>
  <si>
    <t>https://tcgplayer-cdn.tcgplayer.com/product/564458_in_1000x1000.jpg</t>
  </si>
  <si>
    <t>AZKi Roboco</t>
  </si>
  <si>
    <t>https://tcgplayer-cdn.tcgplayer.com/product/267391_in_1000x1000.jpg</t>
  </si>
  <si>
    <t>https://tcgplayer-cdn.tcgplayer.com/product/267395_in_1000x1000.jpg</t>
  </si>
  <si>
    <t>AZKi Rushia</t>
  </si>
  <si>
    <t>https://product-images.tcgplayer.com/fit-in/585x585/filters:quality(1)/267526.jpg</t>
  </si>
  <si>
    <t>https://product-images.tcgplayer.com/fit-in/585x585/filters:quality(1)/267548.jpg</t>
  </si>
  <si>
    <t>AZKi Choco</t>
  </si>
  <si>
    <t>https://tcgplayer-cdn.tcgplayer.com/product/267263_in_1000x1000.jpg</t>
  </si>
  <si>
    <t>AZKi Sora</t>
  </si>
  <si>
    <t>https://tcgplayer-cdn.tcgplayer.com/product/267161_in_1000x1000.jpg</t>
  </si>
  <si>
    <t>https://tcgplayer-cdn.tcgplayer.com/product/267147_in_1000x1000.jpg</t>
  </si>
  <si>
    <t>Bae Marine</t>
  </si>
  <si>
    <t>https://product-images.tcgplayer.com/fit-in/376x376/filters:quality(1)/508971.jpg</t>
  </si>
  <si>
    <t>https://product-images.tcgplayer.com/fit-in/437x437/267091.jpg</t>
  </si>
  <si>
    <t>https://product-images.tcgplayer.com/fit-in/585x585/267225.jpg</t>
  </si>
  <si>
    <t>Bae Ollie</t>
  </si>
  <si>
    <t>https://product-images.tcgplayer.com/fit-in/437x437/286787.jpg</t>
  </si>
  <si>
    <t>https://product-images.tcgplayer.com/fit-in/376x376/509063.jpg</t>
  </si>
  <si>
    <t>Calli Coco</t>
  </si>
  <si>
    <t>https://product-images.tcgplayer.com/fit-in/376x376/filters:quality(1)/508822.jpg</t>
  </si>
  <si>
    <t>https://product-images.tcgplayer.com/fit-in/437x437/508699.jpg</t>
  </si>
  <si>
    <t>https://tcgplayer-cdn.tcgplayer.com/product/267081_in_1000x1000.jpg</t>
  </si>
  <si>
    <t>https://product-images.tcgplayer.com/fit-in/437x437/filters:quality(1)/508724.jpg</t>
  </si>
  <si>
    <t>https://tcgplayer-cdn.tcgplayer.com/product/267670_in_1000x1000.jpg</t>
  </si>
  <si>
    <t>Chloe La+ Marine</t>
  </si>
  <si>
    <t>https://product-images.tcgplayer.com/fit-in/585x585/509053.jpg</t>
  </si>
  <si>
    <t>https://product-images.tcgplayer.com/fit-in/585x585/filters:quality(1)/508718.jpg</t>
  </si>
  <si>
    <t>https://tcgplayer-cdn.tcgplayer.com/product/509063_in_1000x1000.jpg</t>
  </si>
  <si>
    <t>https://tcgplayer-cdn.tcgplayer.com/product/267417_in_1000x1000.jpg</t>
  </si>
  <si>
    <t>Chloe Nene</t>
  </si>
  <si>
    <t>https://tcgplayer-cdn.tcgplayer.com/product/509149_in_1000x1000.jpg</t>
  </si>
  <si>
    <t>https://tcgplayer-cdn.tcgplayer.com/product/267241_in_1000x1000.jpg</t>
  </si>
  <si>
    <t>Flare Rushia</t>
  </si>
  <si>
    <t>https://product-images.tcgplayer.com/fit-in/585x585/267524.jpg</t>
  </si>
  <si>
    <t>Fubuki Korone</t>
  </si>
  <si>
    <t>https://tcgplayer-cdn.tcgplayer.com/product/267425_in_1000x1000.jpg</t>
  </si>
  <si>
    <t>https://tcgplayer-cdn.tcgplayer.com/product/267212_in_1000x1000.jpg</t>
  </si>
  <si>
    <t>Fubuki Ollie Fubuki</t>
  </si>
  <si>
    <t>https://tcgplayer-cdn.tcgplayer.com/product/508990_in_1000x1000.jpg</t>
  </si>
  <si>
    <t>Fubuki Marine</t>
  </si>
  <si>
    <t>https://product-images.tcgplayer.com/fit-in/437x437/267422.jpg</t>
  </si>
  <si>
    <t>https://product-images.tcgplayer.com/fit-in/437x437/267425.jpg</t>
  </si>
  <si>
    <t>https://product-images.tcgplayer.com/fit-in/437x437/267225.jpg</t>
  </si>
  <si>
    <t>https://tcgplayer-cdn.tcgplayer.com/product/267667_in_1000x1000.jpg</t>
  </si>
  <si>
    <t>Kiara Marine</t>
  </si>
  <si>
    <t>https://tcgplayer-cdn.tcgplayer.com/product/560569_in_1000x1000.jpg</t>
  </si>
  <si>
    <t>Korone Suisei</t>
  </si>
  <si>
    <t>https://tcgplayer-cdn.tcgplayer.com/product/508965_in_1000x1000.jpg</t>
  </si>
  <si>
    <t>https://tcgplayer-cdn.tcgplayer.com/product/508864_in_1000x1000.jpg</t>
  </si>
  <si>
    <t>Luna Marine</t>
  </si>
  <si>
    <t>https://tcgplayer-cdn.tcgplayer.com/product/267562_in_1000x1000.jpg</t>
  </si>
  <si>
    <t>https://tcgplayer-cdn.tcgplayer.com/product/267662_in_1000x1000.jpg</t>
  </si>
  <si>
    <t>Luna Roboco</t>
  </si>
  <si>
    <t>Mumei Rushia</t>
  </si>
  <si>
    <t>https://tcgplayer-cdn.tcgplayer.com/product/508847_in_1000x1000.jpg</t>
  </si>
  <si>
    <t>https://tcgplayer-cdn.tcgplayer.com/product/267548_in_1000x1000.jpg</t>
  </si>
  <si>
    <t>Mumei Suisei</t>
  </si>
  <si>
    <t>https://product-images.tcgplayer.com/fit-in/437x437/508865.jpg</t>
  </si>
  <si>
    <t>https://product-images.tcgplayer.com/fit-in/376x376/267145.jpg</t>
  </si>
  <si>
    <t>https://product-images.tcgplayer.com/fit-in/376x376/508990.jpg</t>
  </si>
  <si>
    <t>Okayu Marine</t>
  </si>
  <si>
    <t>https://product-images.tcgplayer.com/fit-in/585x585/filters:quality(1)/267145.jpg</t>
  </si>
  <si>
    <t>https://product-images.tcgplayer.com/fit-in/585x585/267163.jpg</t>
  </si>
  <si>
    <t>https://product-images.tcgplayer.com/fit-in/585x585/filters:quality(1)/267225.jpg</t>
  </si>
  <si>
    <t>Okayu Towa (Gen 4 Event)</t>
  </si>
  <si>
    <t>https://tcgplayer-cdn.tcgplayer.com/product/267578_in_1000x1000.jpg</t>
  </si>
  <si>
    <t>https://tcgplayer-cdn.tcgplayer.com/product/267185_in_1000x1000.jpg</t>
  </si>
  <si>
    <t>Pants StockSoul</t>
  </si>
  <si>
    <t>https://tcgplayer-cdn.tcgplayer.com/product/509134_in_1000x1000.jpg</t>
  </si>
  <si>
    <t>https://tcgplayer-cdn.tcgplayer.com/product/267327_in_1000x1000.jpg</t>
  </si>
  <si>
    <t>https://img.yuyu-tei.jp/card_image/ws/front/holpb2.0/10048.jpg</t>
  </si>
  <si>
    <t>https://tcgplayer-cdn.tcgplayer.com/product/267303_in_1000x1000.jpg</t>
  </si>
  <si>
    <t>Subaru Nene</t>
  </si>
  <si>
    <t>https://tcgplayer-cdn.tcgplayer.com/product/508712_in_1000x1000.jpg</t>
  </si>
  <si>
    <t>Watame Marine</t>
  </si>
  <si>
    <t>https://product-images.tcgplayer.com/fit-in/437x437/267079.jpg</t>
  </si>
  <si>
    <t>Watame Mumei</t>
  </si>
  <si>
    <t>8 Door - Mayu Uzuki Shiki</t>
  </si>
  <si>
    <t>https://card.yuyu-tei.jp/ws/front/imc3.0/10191.jpg</t>
  </si>
  <si>
    <t>https://card.yuyu-tei.jp/ws/front/imcpb/10042.jpg</t>
  </si>
  <si>
    <t>https://card.yuyu-tei.jp/ws/front/imcpb/10041.jpg</t>
  </si>
  <si>
    <t>8 Pants - Hayate Rin</t>
  </si>
  <si>
    <t>https://img.yuyu-tei.jp/card_image/ws/front/imc3.0/10031.jpg</t>
  </si>
  <si>
    <t>https://img.yuyu-tei.jp/card_image/ws/front/imc3.0/10236.jpg</t>
  </si>
  <si>
    <t>https://card.yuyu-tei.jp/ws/front/imcpb/10065.jpg</t>
  </si>
  <si>
    <t>https://card.yuyu-tei.jp/ws/front/imcpb/10034.jpg</t>
  </si>
  <si>
    <t>8 Door - Mayu Shiki</t>
  </si>
  <si>
    <t>https://card.yuyu-tei.jp/ws/front/imcpb/10067.jpg</t>
  </si>
  <si>
    <t>Pants Door - Asuka Shiki</t>
  </si>
  <si>
    <t>https://card.yuyu-tei.jp/ws/front/imcpb/10051.jpg</t>
  </si>
  <si>
    <t>https://tcgplayer-cdn.tcgplayer.com/product/115603_in_1000x1000.jpg</t>
  </si>
  <si>
    <t>https://tcgplayer-cdn.tcgplayer.com/product/115614_in_1000x1000.jpg</t>
  </si>
  <si>
    <t>https://tcgplayer-cdn.tcgplayer.com/product/115605_in_1000x1000.jpg</t>
  </si>
  <si>
    <t>https://img.yuyu-tei.jp/card_image/ws/front/imc3.0/10238.jpg</t>
  </si>
  <si>
    <t>IMS</t>
  </si>
  <si>
    <t>https://card.yuyu-tei.jp/ws/front/impb/10032.jpg</t>
  </si>
  <si>
    <t>https://card.yuyu-tei.jp/ws/front/impb/10055.jpg</t>
  </si>
  <si>
    <t>https://card.yuyu-tei.jp/ws/front/ims2.0/10047.jpg</t>
  </si>
  <si>
    <t>https://card.yuyu-tei.jp/ws/front/iscpb/10034.jpg</t>
  </si>
  <si>
    <t>https://card.yuyu-tei.jp/ws/front/isc2.0/10038.jpg</t>
  </si>
  <si>
    <t>https://card.yuyu-tei.jp/ws/front/isc/10014.jpg</t>
  </si>
  <si>
    <t>https://card.yuyu-tei.jp/ws/front/iscpb/10030.jpg</t>
  </si>
  <si>
    <t>https://card.yuyu-tei.jp/ws/front/isc2.0/10137.jpg</t>
  </si>
  <si>
    <t>https://img.yuyu-tei.jp/card_image/ws/front/isc2.0/10045.jpg</t>
  </si>
  <si>
    <t>https://img.yuyu-tei.jp/card_image/ws/front/isc2.0/10097.jpg</t>
  </si>
  <si>
    <t>https://img.yuyu-tei.jp/card_image/ws/front/isc2.0/10105.jpg</t>
  </si>
  <si>
    <t>Exodia (Asahi/Chiyoko)</t>
  </si>
  <si>
    <t>Madoka Amana/Tenka</t>
  </si>
  <si>
    <t>https://card.yuyu-tei.jp/ws/front/isc2.0/10065.jpg</t>
  </si>
  <si>
    <t>https://card.yuyu-tei.jp/ws/front/isc2.0/10301.jpg</t>
  </si>
  <si>
    <t>https://card.yuyu-tei.jp/ws/front/isc2.0/10147.jpg</t>
  </si>
  <si>
    <t>Rinze Amana/Tenka</t>
  </si>
  <si>
    <t>Rinze Chiyoko</t>
  </si>
  <si>
    <t>https://img.yuyu-tei.jp/card_image/ws/front/isc/10038.jpg</t>
  </si>
  <si>
    <t>https://img.yuyu-tei.jp/card_image/ws/front/isc2.0/10066.jpg</t>
  </si>
  <si>
    <t>https://img.yuyu-tei.jp/card_image/ws/front/isc2.0/10076.jpg</t>
  </si>
  <si>
    <t>https://card.yuyu-tei.jp/ws/front/isctd/10053.jpg</t>
  </si>
  <si>
    <t>https://card.yuyu-tei.jp/ws/front/isc2.0/10076.jpg</t>
  </si>
  <si>
    <t>https://card.yuyu-tei.jp/ws/front/isc2.0/10075.jpg</t>
  </si>
  <si>
    <t>https://tcgplayer-cdn.tcgplayer.com/product/211147_in_1000x1000.jpg</t>
  </si>
  <si>
    <t>https://tcgplayer-cdn.tcgplayer.com/product/211175_in_1000x1000.jpg</t>
  </si>
  <si>
    <t>https://tcgplayer-cdn.tcgplayer.com/product/580090_in_1000x1000.jpg</t>
  </si>
  <si>
    <t>https://tcgplayer-cdn.tcgplayer.com/product/580217_in_1000x1000.jpg</t>
  </si>
  <si>
    <t>https://tcgplayer-cdn.tcgplayer.com/product/580295_in_1000x1000.jpg</t>
  </si>
  <si>
    <t>https://tcgplayer-cdn.tcgplayer.com/product/580299_in_1000x1000.jpg</t>
  </si>
  <si>
    <t>https://tcgplayer-cdn.tcgplayer.com/product/580069_in_1000x1000.jpg</t>
  </si>
  <si>
    <t>https://img.yuyu-tei.jp/card_image/ws/front/jjpbso/10055.jpg</t>
  </si>
  <si>
    <t>https://img.yuyu-tei.jp/card_image/ws/front/jjpbsdc/10017.jpg</t>
  </si>
  <si>
    <t>https://img.yuyu-tei.jp/card_image/ws/front/jjpbso/10044.jpg</t>
  </si>
  <si>
    <t>https://img.yuyu-tei.jp/card_image/ws/front/jjpbso/10052.jpg</t>
  </si>
  <si>
    <t>https://img.yuyu-tei.jp/card_image/ws/front/jjpbso/10054.jpg</t>
  </si>
  <si>
    <t>Key</t>
  </si>
  <si>
    <t>https://card.yuyu-tei.jp/ws/front/keypb/10009.jpg</t>
  </si>
  <si>
    <t>https://card.yuyu-tei.jp/ws/front/key20th/10118.jpg</t>
  </si>
  <si>
    <t>https://card.yuyu-tei.jp/ws/front/keypb/10013.jpg</t>
  </si>
  <si>
    <t>https://media.discordapp.net/attachments/1053836222046412820/1468095680445812766/kka_w102_005.png?ex=6982c626&amp;is=698174a6&amp;hm=05b19509f99210277b6861e9528987a046c961142bbdc40bde91752f4649a736&amp;=&amp;format=webp&amp;quality=lossless&amp;width=800&amp;height=1114</t>
  </si>
  <si>
    <t>https://media.discordapp.net/attachments/1053836222046412820/1468095680735346821/key_we50_30.png?ex=6982c626&amp;is=698174a6&amp;hm=300d9433d378e700e7ddb75c32460611ce7b0b6d2058022f6bc2e878088e8629&amp;=&amp;format=webp&amp;quality=lossless&amp;width=856&amp;height=1192</t>
  </si>
  <si>
    <t>https://media.discordapp.net/attachments/1053836222046412820/1468095681041404065/kcl_w78_043.png?ex=6982c626&amp;is=698174a6&amp;hm=78a1b0f1e6ff24d75859079f0b5fd0919c5eb68f535a55e5141f3d179ad5026e&amp;=&amp;format=webp&amp;quality=lossless&amp;width=800&amp;height=1118</t>
  </si>
  <si>
    <t>https://product-images.tcgplayer.com/fit-in/437x437/482824.jpg</t>
  </si>
  <si>
    <t>https://product-images.tcgplayer.com/fit-in/437x437/filters:quality(1)/482615.jpg</t>
  </si>
  <si>
    <t>https://product-images.tcgplayer.com/fit-in/437x437/482826.jpg</t>
  </si>
  <si>
    <t>https://tcgplayer-cdn.tcgplayer.com/product/482824_in_1000x1000.jpg</t>
  </si>
  <si>
    <t>https://tcgplayer-cdn.tcgplayer.com/product/482854_in_1000x1000.jpg</t>
  </si>
  <si>
    <t>https://tcgplayer-cdn.tcgplayer.com/product/240370_in_1000x1000.jpg</t>
  </si>
  <si>
    <t>KGY</t>
  </si>
  <si>
    <t>https://product-images.tcgplayer.com/fit-in/437x437/482615.jpg</t>
  </si>
  <si>
    <t>https://product-images.tcgplayer.com/fit-in/437x437/482578.jpg</t>
  </si>
  <si>
    <t>Waifu - Miko</t>
  </si>
  <si>
    <t>https://tcgplayer-cdn.tcgplayer.com/product/482776_in_1000x1000.jpg</t>
  </si>
  <si>
    <t>https://tcgplayer-cdn.tcgplayer.com/product/482813_in_1000x1000.jpg</t>
  </si>
  <si>
    <t>https://tcgplayer-cdn.tcgplayer.com/product/482736_in_1000x1000.jpg</t>
  </si>
  <si>
    <t>KJ8</t>
  </si>
  <si>
    <t>https://card.yuyu-tei.jp/ws/front/kj8/10111.jpg</t>
  </si>
  <si>
    <t>https://card.yuyu-tei.jp/ws/front/kj8/10113.jpg</t>
  </si>
  <si>
    <t>https://card.yuyu-tei.jp/ws/front/kj8/10119.jpg</t>
  </si>
  <si>
    <t>KMD</t>
  </si>
  <si>
    <t>KMN</t>
  </si>
  <si>
    <t>2Soul StockSoul</t>
  </si>
  <si>
    <t>https://img.yuyu-tei.jp/card_image/ws/front/kmn/10048.jpg</t>
  </si>
  <si>
    <t>https://img.yuyu-tei.jp/card_image/ws/front/kmn/10033.jpg</t>
  </si>
  <si>
    <t>https://img.yuyu-tei.jp/card_image/ws/front/kmn/10029.jpg</t>
  </si>
  <si>
    <t>KMS</t>
  </si>
  <si>
    <t>https://card.yuyu-tei.jp/ws/front/kms/10048.jpg</t>
  </si>
  <si>
    <t>https://card.yuyu-tei.jp/ws/front/kms/10050.jpg</t>
  </si>
  <si>
    <t>https://card.yuyu-tei.jp/ws/front/kms/10051.jpg</t>
  </si>
  <si>
    <t>KNK</t>
  </si>
  <si>
    <t>https://card.yuyu-tei.jp/ws/front/knk2.0/10019.jpg</t>
  </si>
  <si>
    <t>https://card.yuyu-tei.jp/ws/front/knk2.0/10017.jpg</t>
  </si>
  <si>
    <t>https://card.yuyu-tei.jp/ws/front/knk2.0/10018.jpg</t>
  </si>
  <si>
    <t>https://product-images.tcgplayer.com/fit-in/437x437/261984.jpg</t>
  </si>
  <si>
    <t>https://product-images.tcgplayer.com/fit-in/437x437/filters:quality(1)/262018.jpg</t>
  </si>
  <si>
    <t>https://product-images.tcgplayer.com/fit-in/437x437/filters:quality(1)/261987.jpg</t>
  </si>
  <si>
    <t>https://product-images.tcgplayer.com/fit-in/585x585/262030.jpg</t>
  </si>
  <si>
    <t>https://product-images.tcgplayer.com/fit-in/585x585/262070.jpg</t>
  </si>
  <si>
    <t>https://product-images.tcgplayer.com/fit-in/585x585/262068.jpg</t>
  </si>
  <si>
    <t>KS</t>
  </si>
  <si>
    <t>https://tcgplayer-cdn.tcgplayer.com/product/181045_in_1000x1000.jpg</t>
  </si>
  <si>
    <t>https://tcgplayer-cdn.tcgplayer.com/product/141865_in_1000x1000.jpg</t>
  </si>
  <si>
    <t>https://tcgplayer-cdn.tcgplayer.com/product/141848_in_1000x1000.jpg</t>
  </si>
  <si>
    <t>Book Door</t>
  </si>
  <si>
    <t>https://tcgplayer-cdn.tcgplayer.com/product/224738_in_1000x1000.jpg</t>
  </si>
  <si>
    <t>https://tcgplayer-cdn.tcgplayer.com/product/224181_in_1000x1000.jpg</t>
  </si>
  <si>
    <t>https://tcgplayer-cdn.tcgplayer.com/product/224180_in_1000x1000.jpg</t>
  </si>
  <si>
    <t>https://tcgplayer-cdn.tcgplayer.com/product/663491_in_1000x1000.jpg</t>
  </si>
  <si>
    <t>https://tcgplayer-cdn.tcgplayer.com/product/181082_in_1000x1000.jpg</t>
  </si>
  <si>
    <t>Door Door Pants</t>
  </si>
  <si>
    <t>https://tcgplayer-cdn.tcgplayer.com/product/224777_in_1000x1000.jpg</t>
  </si>
  <si>
    <t>https://tcgplayer-cdn.tcgplayer.com/product/141897_in_1000x1000.jpg</t>
  </si>
  <si>
    <t>Pants Door (Bunko 2)</t>
  </si>
  <si>
    <t>https://img.yuyu-tei.jp/card_image/ws/front/kadokawas2.0/10145.jpg</t>
  </si>
  <si>
    <t>https://img.yuyu-tei.jp/card_image/ws/front/kadokawas2.0/10050.jpg</t>
  </si>
  <si>
    <t>https://img.yuyu-tei.jp/card_image/ws/front/kadokawas2.0/10133.jpg</t>
  </si>
  <si>
    <t>Pants StockSoul (Bunko 2 / Explosion)</t>
  </si>
  <si>
    <t>https://tcgplayer-cdn.tcgplayer.com/product/224806_in_1000x1000.jpg</t>
  </si>
  <si>
    <t>SplitSoul Pants (Chris / Bunko 2)</t>
  </si>
  <si>
    <t>https://tcgplayer-cdn.tcgplayer.com/product/181090_in_1000x1000.jpg</t>
  </si>
  <si>
    <t>https://img.yuyu-tei.jp/card_image/ws/front/kadokawas2.0/10142.jpg</t>
  </si>
  <si>
    <t>Wind Choice</t>
  </si>
  <si>
    <t>https://product-images.tcgplayer.com/fit-in/437x437/filters:quality(1)/224749.jpg</t>
  </si>
  <si>
    <t>https://product-images.tcgplayer.com/fit-in/437x437/224374.jpg</t>
  </si>
  <si>
    <t>https://product-images.tcgplayer.com/fit-in/437x437/224745.jpg</t>
  </si>
  <si>
    <t>Wind StockSoul</t>
  </si>
  <si>
    <t>KXX</t>
  </si>
  <si>
    <t>https://card.yuyu-tei.jp/ws/front/key2.0/10005.jpg</t>
  </si>
  <si>
    <t>https://card.yuyu-tei.jp/ws/front/keypb/10030.jpg</t>
  </si>
  <si>
    <t>https://card.yuyu-tei.jp/ws/front/key20th/10043.jpg</t>
  </si>
  <si>
    <t>LH</t>
  </si>
  <si>
    <t>Restricted - 8 Standby</t>
  </si>
  <si>
    <t>https://img.yuyu-tei.jp/card_image/ws/front/lhs/10060.jpg</t>
  </si>
  <si>
    <t>https://img.yuyu-tei.jp/card_image/ws/front/lhs/10098.jpg</t>
  </si>
  <si>
    <t>https://img.yuyu-tei.jp/card_image/ws/front/lhs/10082.jpg</t>
  </si>
  <si>
    <t>https://img.yuyu-tei.jp/card_image/ws/front/lhs/10063.jpg</t>
  </si>
  <si>
    <t>https://img.yuyu-tei.jp/card_image/ws/front/lhs/10128.jpg</t>
  </si>
  <si>
    <t>https://img.yuyu-tei.jp/card_image/ws/front/lhs/10119.jpg</t>
  </si>
  <si>
    <t>https://img.yuyu-tei.jp/card_image/ws/front/lhs/10083.jpg</t>
  </si>
  <si>
    <t>LL</t>
  </si>
  <si>
    <t>Waifu - Umi</t>
  </si>
  <si>
    <t>https://img.yuyu-tei.jp/card_image/ws/front/lovelivesif3.0/10053.jpg</t>
  </si>
  <si>
    <t>https://img.yuyu-tei.jp/card_image/ws/front/lovelivesif3.0/10062.jpg</t>
  </si>
  <si>
    <t>https://img.yuyu-tei.jp/card_image/ws/front/lovelivesif2.0/10076.jpg</t>
  </si>
  <si>
    <t>https://card.yuyu-tei.jp/ws/front/lovelivenj/10082.jpg</t>
  </si>
  <si>
    <t>https://card.yuyu-tei.jp/ws/front/lsf/10003.jpg</t>
  </si>
  <si>
    <t>https://img.yuyu-tei.jp/card_image/ws/front/lovelivenjsifpblnj/10015.jpg</t>
  </si>
  <si>
    <t>https://img.yuyu-tei.jp/card_image/ws/front/lovelivenj/10082.jpg</t>
  </si>
  <si>
    <t>https://img.yuyu-tei.jp/card_image/ws/front/lovelivenj/10076.jpg</t>
  </si>
  <si>
    <t>https://img.yuyu-tei.jp/card_image/ws/front/lovelivenj/10043.jpg</t>
  </si>
  <si>
    <t>https://img.yuyu-tei.jp/card_image/ws/front/lovelivenj2.0/10033.jpg</t>
  </si>
  <si>
    <t>https://img.yuyu-tei.jp/card_image/ws/front/lovelivenj/10038.jpg</t>
  </si>
  <si>
    <t>Door Choice - Lanzhu Rina (EN)</t>
  </si>
  <si>
    <t>https://tcgplayer-cdn.tcgplayer.com/product/572333_in_1000x1000.jpg</t>
  </si>
  <si>
    <t>https://tcgplayer-cdn.tcgplayer.com/product/591474_in_1000x1000.jpg</t>
  </si>
  <si>
    <t>https://tcgplayer-cdn.tcgplayer.com/product/572059_in_1000x1000.jpg</t>
  </si>
  <si>
    <t>https://card.yuyu-tei.jp/ws/front/lovelivenj/10039.jpg</t>
  </si>
  <si>
    <t>https://card.yuyu-tei.jp/ws/front/lovelivenj2.0/10071.jpg</t>
  </si>
  <si>
    <t>https://img.yuyu-tei.jp/card_image/ws/front/lovelivenj2.0/10042.jpg</t>
  </si>
  <si>
    <t>https://card.yuyu-tei.jp/ws/front/lovelivenj2.0/10046.jpg</t>
  </si>
  <si>
    <t>https://card.yuyu-tei.jp/ws/front/lovelivenj2.0/10031.jpg</t>
  </si>
  <si>
    <t>https://card.yuyu-tei.jp/ws/front/lovelivenj2.0/10034.jpg</t>
  </si>
  <si>
    <t>https://card.yuyu-tei.jp/ws/front/lovelivenj2.0/10070.jpg</t>
  </si>
  <si>
    <t>https://card.yuyu-tei.jp/ws/front/lovelivenj/10106.jpg</t>
  </si>
  <si>
    <t>https://card.yuyu-tei.jp/ws/front/lovelivenj2.0/10097.jpg</t>
  </si>
  <si>
    <t>8 Pants (Lvl1 / TD)</t>
  </si>
  <si>
    <t>https://tcgplayer-cdn.tcgplayer.com/product/639489_in_1000x1000.jpg</t>
  </si>
  <si>
    <t>https://tcgplayer-cdn.tcgplayer.com/product/538956_in_1000x1000.jpg</t>
  </si>
  <si>
    <t>https://tcgplayer-cdn.tcgplayer.com/product/539047_in_1000x1000.jpg</t>
  </si>
  <si>
    <t>https://product-images.tcgplayer.com/fit-in/804x804/538958.jpg</t>
  </si>
  <si>
    <t>https://product-images.tcgplayer.com/fit-in/804x804/538910.jpg</t>
  </si>
  <si>
    <t>https://tcgplayer-cdn.tcgplayer.com/product/538981_in_1000x1000.jpg</t>
  </si>
  <si>
    <t>https://product-images.tcgplayer.com/fit-in/804x804/filters:quality(1)/538956.jpg</t>
  </si>
  <si>
    <t>LSF</t>
  </si>
  <si>
    <t>Door Pants - Lanzhu Keke</t>
  </si>
  <si>
    <t>https://tcgplayer-cdn.tcgplayer.com/product/591392_in_1000x1000.jpg</t>
  </si>
  <si>
    <t>https://tcgplayer-cdn.tcgplayer.com/product/591540_in_1000x1000.jpg</t>
  </si>
  <si>
    <t>Bar Pants (Honoka Keke)</t>
  </si>
  <si>
    <t>https://tcgplayer-cdn.tcgplayer.com/product/591408_in_1000x1000.jpg</t>
  </si>
  <si>
    <t>https://tcgplayer-cdn.tcgplayer.com/product/591420_in_1000x1000.jpg</t>
  </si>
  <si>
    <t>https://card.yuyu-tei.jp/ws/front/lovelivesp/10030.jpg</t>
  </si>
  <si>
    <t>https://card.yuyu-tei.jp/ws/front/lovelivesp/10075.jpg</t>
  </si>
  <si>
    <t>https://card.yuyu-tei.jp/ws/front/lovelivesp/10034.jpg</t>
  </si>
  <si>
    <t>https://card.yuyu-tei.jp/ws/front/lovelivesp/10109.jpg</t>
  </si>
  <si>
    <t>https://card.yuyu-tei.jp/ws/front/lovelivesp/10041.jpg</t>
  </si>
  <si>
    <t>https://card.yuyu-tei.jp/ws/front/lsf/10100.jpg</t>
  </si>
  <si>
    <t>Choice StockSoul Pants</t>
  </si>
  <si>
    <t>https://card.yuyu-tei.jp/ws/front/lovelivesp/10101.jpg</t>
  </si>
  <si>
    <t>https://card.yuyu-tei.jp/ws/front/lovelivesp/10076.jpg</t>
  </si>
  <si>
    <t>https://tcgplayer-cdn.tcgplayer.com/product/591340_in_1000x1000.jpg</t>
  </si>
  <si>
    <t>https://tcgplayer-cdn.tcgplayer.com/product/591346_in_1000x1000.jpg</t>
  </si>
  <si>
    <t>https://tcgplayer-cdn.tcgplayer.com/product/591350_in_1000x1000.jpg</t>
  </si>
  <si>
    <t>StockSoul EmptyDoor</t>
  </si>
  <si>
    <t>https://tcgplayer-cdn.tcgplayer.com/product/128721_in_1000x1000.jpg</t>
  </si>
  <si>
    <t>https://tcgplayer-cdn.tcgplayer.com/product/167159_in_1000x1000.jpg</t>
  </si>
  <si>
    <t>https://tcgplayer-cdn.tcgplayer.com/product/167160_in_1000x1000.jpg</t>
  </si>
  <si>
    <t>Waifu - Yoshiko</t>
  </si>
  <si>
    <t>https://img.yuyu-tei.jp/card_image/ws/front/mar/10061.jpg</t>
  </si>
  <si>
    <t>https://img.yuyu-tei.jp/card_image/ws/front/mar2.0/10058.jpg</t>
  </si>
  <si>
    <t>https://img.yuyu-tei.jp/card_image/ws/front/mar/10103.jpg</t>
  </si>
  <si>
    <t>https://card.yuyu-tei.jp/ws/front/mar3.0/10058.jpg</t>
  </si>
  <si>
    <t>https://card.yuyu-tei.jp/ws/front/mar/10095.jpg</t>
  </si>
  <si>
    <t>https://card.yuyu-tei.jp/ws/front/mar3.0/10086.jpg</t>
  </si>
  <si>
    <t>https://en.ws-tcg.com/wordpress/wp-content/images/cardimages/MAR/S89_E040.png</t>
  </si>
  <si>
    <t>https://en.ws-tcg.com/wordpress/wp-content/images/cardimages/MAR/S89_E034.png</t>
  </si>
  <si>
    <t>https://tcgplayer-cdn.tcgplayer.com/product/601693_in_1000x1000.jpg</t>
  </si>
  <si>
    <t>https://tcgplayer-cdn.tcgplayer.com/product/601704_in_1000x1000.jpg</t>
  </si>
  <si>
    <t>https://tcgplayer-cdn.tcgplayer.com/product/601716_in_1000x1000.jpg</t>
  </si>
  <si>
    <t>https://tcgplayer-cdn.tcgplayer.com/product/601769_in_1000x1000.jpg</t>
  </si>
  <si>
    <t>https://img.yuyu-tei.jp/card_image/ws/front/mdepb/10029.jpg</t>
  </si>
  <si>
    <t>https://img.yuyu-tei.jp/card_image/ws/front/mdepb/10059.jpg</t>
  </si>
  <si>
    <t>https://img.yuyu-tei.jp/card_image/ws/front/mdepb/10018.jpg</t>
  </si>
  <si>
    <t>https://tcgplayer-cdn.tcgplayer.com/product/678280_in_1000x1000.jpg</t>
  </si>
  <si>
    <t>https://tcgplayer-cdn.tcgplayer.com/product/678270_in_1000x1000.jpg</t>
  </si>
  <si>
    <t>https://tcgplayer-cdn.tcgplayer.com/product/678263_in_1000x1000.jpg</t>
  </si>
  <si>
    <t>https://en.ws-tcg.com/wordpress/wp-content/images/cardimages/MKI/W126-E059.png</t>
  </si>
  <si>
    <t>https://en.ws-tcg.com/wordpress/wp-content/images/cardimages/MKI/W126-E081.png</t>
  </si>
  <si>
    <t>https://en.ws-tcg.com/wordpress/wp-content/images/cardimages/MKI/W126-E053.png</t>
  </si>
  <si>
    <t>https://en.ws-tcg.com/wordpress/wp-content/images/cardimages/MKI/W126-E054.png</t>
  </si>
  <si>
    <t>https://en.ws-tcg.com/wordpress/wp-content/images/cardimages/MKI/W126-E061.png</t>
  </si>
  <si>
    <t>https://tcgplayer-cdn.tcgplayer.com/product/678385_in_1000x1000.jpg</t>
  </si>
  <si>
    <t>https://tcgplayer-cdn.tcgplayer.com/product/678424_in_1000x1000.jpg</t>
  </si>
  <si>
    <t>https://tcgplayer-cdn.tcgplayer.com/product/678389_in_1000x1000.jpg</t>
  </si>
  <si>
    <t>MOB</t>
  </si>
  <si>
    <t>https://product-images.tcgplayer.com/fit-in/437x437/224154.jpg</t>
  </si>
  <si>
    <t>https://product-images.tcgplayer.com/fit-in/437x437/222879.jpg</t>
  </si>
  <si>
    <t>https://product-images.tcgplayer.com/fit-in/437x437/filters:quality(1)/222876.jpg</t>
  </si>
  <si>
    <t>MTI</t>
  </si>
  <si>
    <t>https://product-images.tcgplayer.com/fit-in/585x585/265068.jpg</t>
  </si>
  <si>
    <t>https://product-images.tcgplayer.com/fit-in/585x585/265125.jpg</t>
  </si>
  <si>
    <t>https://product-images.tcgplayer.com/fit-in/585x585/265096.jpg</t>
  </si>
  <si>
    <t>Standby Door Standby</t>
  </si>
  <si>
    <t>https://tcgplayer-cdn.tcgplayer.com/product/265068_in_1000x1000.jpg</t>
  </si>
  <si>
    <t>https://tcgplayer-cdn.tcgplayer.com/product/265136_in_1000x1000.jpg</t>
  </si>
  <si>
    <t>https://tcgplayer-cdn.tcgplayer.com/product/265096_in_1000x1000.jpg</t>
  </si>
  <si>
    <t>N/A</t>
  </si>
  <si>
    <t>https://tcgplayer-cdn.tcgplayer.com/product/110497_in_1000x1000.jpg</t>
  </si>
  <si>
    <t>6Standby 2Bar</t>
  </si>
  <si>
    <t>https://img.yuyu-tei.jp/card_image/ws/front/nik/10110.jpg</t>
  </si>
  <si>
    <t>https://tcgplayer-cdn.tcgplayer.com/product/626200_in_1000x1000.jpg</t>
  </si>
  <si>
    <t>https://tcgplayer-cdn.tcgplayer.com/product/626184_in_1000x1000.jpg</t>
  </si>
  <si>
    <t>7Shot 1Bar</t>
  </si>
  <si>
    <t>https://tcgplayer-cdn.tcgplayer.com/product/626118_in_1000x1000.jpg</t>
  </si>
  <si>
    <t>https://tcgplayer-cdn.tcgplayer.com/product/626177_in_1000x1000.jpg</t>
  </si>
  <si>
    <t>https://tcgplayer-cdn.tcgplayer.com/product/626198_in_1000x1000.jpg</t>
  </si>
  <si>
    <t>https://tcgplayer-cdn.tcgplayer.com/product/626108_in_1000x1000.jpg</t>
  </si>
  <si>
    <t>https://tcgplayer-cdn.tcgplayer.com/product/626112_in_1000x1000.jpg</t>
  </si>
  <si>
    <t>https://tcgplayer-cdn.tcgplayer.com/product/626149_in_1000x1000.jpg</t>
  </si>
  <si>
    <t>https://tcgplayer-cdn.tcgplayer.com/product/626250_in_1000x1000.jpg</t>
  </si>
  <si>
    <t>https://img.yuyu-tei.jp/card_image/ws/front/nik/10141.jpg</t>
  </si>
  <si>
    <t>https://tcgplayer-cdn.tcgplayer.com/product/626271_in_1000x1000.jpg</t>
  </si>
  <si>
    <t>https://tcgplayer-cdn.tcgplayer.com/product/626340_in_1000x1000.jpg</t>
  </si>
  <si>
    <t>https://tcgplayer-cdn.tcgplayer.com/product/626317_in_1000x1000.jpg</t>
  </si>
  <si>
    <t>https://tcgplayer-cdn.tcgplayer.com/product/626320_in_1000x1000.jpg</t>
  </si>
  <si>
    <t>https://tcgplayer-cdn.tcgplayer.com/product/626427_in_1000x1000.jpg</t>
  </si>
  <si>
    <t>Door Shot</t>
  </si>
  <si>
    <t>https://tcgplayer-cdn.tcgplayer.com/product/626446_in_1000x1000.jpg</t>
  </si>
  <si>
    <t>https://tcgplayer-cdn.tcgplayer.com/product/626432_in_1000x1000.jpg</t>
  </si>
  <si>
    <t>https://tcgplayer-cdn.tcgplayer.com/product/626132_in_1000x1000.jpg</t>
  </si>
  <si>
    <t>https://tcgplayer-cdn.tcgplayer.com/product/626254_in_1000x1000.jpg</t>
  </si>
  <si>
    <t>https://tcgplayer-cdn.tcgplayer.com/product/626273_in_1000x1000.jpg</t>
  </si>
  <si>
    <t>https://tcgplayer-cdn.tcgplayer.com/product/626454_in_1000x1000.jpg</t>
  </si>
  <si>
    <t>Pants Pants Door</t>
  </si>
  <si>
    <t>https://tcgplayer-cdn.tcgplayer.com/product/626339_in_1000x1000.jpg</t>
  </si>
  <si>
    <t>Shot Pants</t>
  </si>
  <si>
    <t>NK</t>
  </si>
  <si>
    <t>OS02</t>
  </si>
  <si>
    <t>https://tcgplayer-cdn.tcgplayer.com/product/685772_in_1000x1000.jpg</t>
  </si>
  <si>
    <t>https://tcgplayer-cdn.tcgplayer.com/product/685755_in_1000x1000.jpg</t>
  </si>
  <si>
    <t>https://tcgplayer-cdn.tcgplayer.com/product/578675_in_1000x1000.jpg</t>
  </si>
  <si>
    <t>https://tcgplayer-cdn.tcgplayer.com/product/578591_in_1000x1000.jpg</t>
  </si>
  <si>
    <t>https://tcgplayer-cdn.tcgplayer.com/product/578621_in_1000x1000.jpg</t>
  </si>
  <si>
    <t>https://tcgplayer-cdn.tcgplayer.com/product/578595_in_1000x1000.jpg</t>
  </si>
  <si>
    <t>8 Choice MEMcho Ruby</t>
  </si>
  <si>
    <t>https://tcgplayer-cdn.tcgplayer.com/product/685694_in_1000x1000.jpg</t>
  </si>
  <si>
    <t>https://tcgplayer-cdn.tcgplayer.com/product/578645_in_1000x1000.jpg</t>
  </si>
  <si>
    <t>https://tcgplayer-cdn.tcgplayer.com/product/685697_in_1000x1000.jpg</t>
  </si>
  <si>
    <t>Door Choice (Lvl2)</t>
  </si>
  <si>
    <t>https://tcgplayer-cdn.tcgplayer.com/product/578677_in_1000x1000.jpg</t>
  </si>
  <si>
    <t>https://en.ws-tcg.com/wordpress/wp-content/images/cardimages/OSK/S121-E028.png</t>
  </si>
  <si>
    <t>https://en.ws-tcg.com/wordpress/wp-content/images/cardimages/OSK/S121-E067.png</t>
  </si>
  <si>
    <t>https://tcgplayer-cdn.tcgplayer.com/product/578199_in_1000x1000.jpg</t>
  </si>
  <si>
    <t>https://tcgplayer-cdn.tcgplayer.com/product/578227_in_1000x1000.jpg</t>
  </si>
  <si>
    <t>https://tcgplayer-cdn.tcgplayer.com/product/578209_in_1000x1000.jpg</t>
  </si>
  <si>
    <t>https://tcgplayer-cdn.tcgplayer.com/product/578721_in_1000x1000.jpg</t>
  </si>
  <si>
    <t>https://tcgplayer-cdn.tcgplayer.com/product/578709_in_1000x1000.jpg</t>
  </si>
  <si>
    <t>https://tcgplayer-cdn.tcgplayer.com/product/578659_in_1000x1000.jpg</t>
  </si>
  <si>
    <t>https://tcgplayer-cdn.tcgplayer.com/product/513587_in_1000x1000.jpg</t>
  </si>
  <si>
    <t>https://tcgplayer-cdn.tcgplayer.com/product/223568_in_1000x1000.jpg</t>
  </si>
  <si>
    <t>https://en.ws-tcg.com/wordpress/wp-content/images/cardimages/OVL/SE51-E48.png</t>
  </si>
  <si>
    <t>https://en.ws-tcg.com/wordpress/wp-content/images/cardimages/OVL/SE51-E56.png</t>
  </si>
  <si>
    <t>https://en.ws-tcg.com/wordpress/wp-content/images/cardimages/OVL/SE51-E50H.png</t>
  </si>
  <si>
    <t>https://tcgplayer-cdn.tcgplayer.com/product/513548_in_1000x1000.jpg</t>
  </si>
  <si>
    <t>https://tcgplayer-cdn.tcgplayer.com/product/513645_in_1000x1000.jpg</t>
  </si>
  <si>
    <t>https://tcgplayer-cdn.tcgplayer.com/product/513499_in_1000x1000.jpg</t>
  </si>
  <si>
    <t>https://card.yuyu-tei.jp/ws/front/ovlpb/10042.jpg</t>
  </si>
  <si>
    <t>https://card.yuyu-tei.jp/ws/front/ovl/10134.jpg</t>
  </si>
  <si>
    <t>https://card.yuyu-tei.jp/ws/front/ovlpb/10044.jpg</t>
  </si>
  <si>
    <t>https://product-images.tcgplayer.com/fit-in/585x585/513496.jpg</t>
  </si>
  <si>
    <t>https://product-images.tcgplayer.com/fit-in/585x585/513518.jpg</t>
  </si>
  <si>
    <t>https://product-images.tcgplayer.com/fit-in/585x585/513481.jpg</t>
  </si>
  <si>
    <t>https://tcgplayer-cdn.tcgplayer.com/product/622873_in_1000x1000.jpg</t>
  </si>
  <si>
    <t>https://tcgplayer-cdn.tcgplayer.com/product/622889_in_1000x1000.jpg</t>
  </si>
  <si>
    <t>https://tcgplayer-cdn.tcgplayer.com/product/622825_in_1000x1000.jpg</t>
  </si>
  <si>
    <t>https://tcgplayer-cdn.tcgplayer.com/product/622834_in_1000x1000.jpg</t>
  </si>
  <si>
    <t>https://tcgplayer-cdn.tcgplayer.com/product/622838_in_1000x1000.jpg</t>
  </si>
  <si>
    <t>https://tcgplayer-cdn.tcgplayer.com/product/158869_in_1000x1000.jpg</t>
  </si>
  <si>
    <t>https://tcgplayer-cdn.tcgplayer.com/product/158933_in_1000x1000.jpg</t>
  </si>
  <si>
    <t>https://tcgplayer-cdn.tcgplayer.com/product/158859_in_1000x1000.jpg</t>
  </si>
  <si>
    <t>PD</t>
  </si>
  <si>
    <t>DrawSoul Bar</t>
  </si>
  <si>
    <t>https://tcgplayer-cdn.tcgplayer.com/product/106978_in_1000x1000.jpg</t>
  </si>
  <si>
    <t>https://tcgplayer-cdn.tcgplayer.com/product/103440_in_1000x1000.jpg</t>
  </si>
  <si>
    <t>https://tcgplayer-cdn.tcgplayer.com/product/106389_in_1000x1000.jpg</t>
  </si>
  <si>
    <t>Shot Wind</t>
  </si>
  <si>
    <t>https://tcgplayer-cdn.tcgplayer.com/product/639056_in_1000x1000.jpg</t>
  </si>
  <si>
    <t>https://tcgplayer-cdn.tcgplayer.com/product/639017_in_1000x1000.jpg</t>
  </si>
  <si>
    <t>https://tcgplayer-cdn.tcgplayer.com/product/639245_in_1000x1000.jpg</t>
  </si>
  <si>
    <t>https://card.yuyu-tei.jp/ws/front/pjs3.0/10005.jpg</t>
  </si>
  <si>
    <t>https://card.yuyu-tei.jp/ws/front/pjs2.0/10103.jpg</t>
  </si>
  <si>
    <t>https://card.yuyu-tei.jp/ws/front/pjs2.0/10060.jpg</t>
  </si>
  <si>
    <t>8 Pants - Kanade Ena</t>
  </si>
  <si>
    <t>https://card.yuyu-tei.jp/ws/front/pjs3.0/10087.jpg</t>
  </si>
  <si>
    <t>https://card.yuyu-tei.jp/ws/front/pjs3.0/10095.jpg</t>
  </si>
  <si>
    <t>https://card.yuyu-tei.jp/ws/front/pjs2.0/10087.jpg</t>
  </si>
  <si>
    <t>Choice Pants - Saki Ichika</t>
  </si>
  <si>
    <t>https://card.yuyu-tei.jp/ws/front/pjs3.0/10088.jpg</t>
  </si>
  <si>
    <t>https://card.yuyu-tei.jp/ws/front/pjs3.0/10065.jpg</t>
  </si>
  <si>
    <t>https://card.yuyu-tei.jp/ws/front/pjs3.0/10071.jpg</t>
  </si>
  <si>
    <t>https://card.yuyu-tei.jp/ws/front/pjs3.0/10001.jpg</t>
  </si>
  <si>
    <t>https://card.yuyu-tei.jp/ws/front/pjs3.0/10014.jpg</t>
  </si>
  <si>
    <t>https://card.yuyu-tei.jp/ws/front/pjs3.0/10009.jpg</t>
  </si>
  <si>
    <t>https://img.yuyu-tei.jp/card_image/ws/front/pjs/10153.jpg</t>
  </si>
  <si>
    <t>https://card.yuyu-tei.jp/ws/front/pjs2.0/10030.jpg</t>
  </si>
  <si>
    <t>https://card.yuyu-tei.jp/ws/front/pjs3.0/10033.jpg</t>
  </si>
  <si>
    <t>https://card.yuyu-tei.jp/ws/front/pjs3.0/10035.jpg</t>
  </si>
  <si>
    <t>https://card.yuyu-tei.jp/ws/front/pjs3.0/10044.jpg</t>
  </si>
  <si>
    <t>https://img.yuyu-tei.jp/card_image/ws/front/pjs/10147.jpg</t>
  </si>
  <si>
    <t>https://img.yuyu-tei.jp/card_image/ws/front/pjs/10341.jpg</t>
  </si>
  <si>
    <t>8 Choice - Emu</t>
  </si>
  <si>
    <t>https://img.yuyu-tei.jp/card_image/ws/front/pjs2.0/10001.jpg</t>
  </si>
  <si>
    <t>https://img.yuyu-tei.jp/card_image/ws/front/pjs2.0/10004.jpg</t>
  </si>
  <si>
    <t>https://img.yuyu-tei.jp/card_image/ws/front/pjs2.0/10002.jpg</t>
  </si>
  <si>
    <t>8 Choice - Tsukasa</t>
  </si>
  <si>
    <t>https://img.yuyu-tei.jp/card_image/ws/front/pjs/10119.jpg</t>
  </si>
  <si>
    <t>https://img.yuyu-tei.jp/card_image/ws/front/pjs/10173.jpg</t>
  </si>
  <si>
    <t>https://img.yuyu-tei.jp/card_image/ws/front/pjs/10217.jpg</t>
  </si>
  <si>
    <t>https://img.yuyu-tei.jp/card_image/ws/front/pjs/10172.jpg</t>
  </si>
  <si>
    <t>https://img.yuyu-tei.jp/card_image/ws/front/pjs/10058.jpg</t>
  </si>
  <si>
    <t>https://img.yuyu-tei.jp/card_image/ws/front/pjs2.0/10060.jpg</t>
  </si>
  <si>
    <t>Restricted - Choice Door</t>
  </si>
  <si>
    <t>https://card.yuyu-tei.jp/ws/front/prd/10062.jpg</t>
  </si>
  <si>
    <t>https://card.yuyu-tei.jp/ws/front/prd/10069.jpg</t>
  </si>
  <si>
    <t>https://card.yuyu-tei.jp/ws/front/prd2.0/10002.jpg</t>
  </si>
  <si>
    <t>https://card.yuyu-tei.jp/ws/front/pxr2.0/10015.jpg</t>
  </si>
  <si>
    <t>https://card.yuyu-tei.jp/ws/front/pxr2.0/10071.jpg</t>
  </si>
  <si>
    <t>https://card.yuyu-tei.jp/ws/front/pxr2.0/10039.jpg</t>
  </si>
  <si>
    <t>8 Door Events</t>
  </si>
  <si>
    <t>https://card.yuyu-tei.jp/ws/front/pxr2.0/10070.jpg</t>
  </si>
  <si>
    <t>https://card.yuyu-tei.jp/ws/front/pxr/10155.jpg</t>
  </si>
  <si>
    <t>PY</t>
  </si>
  <si>
    <t>Red Puyo</t>
  </si>
  <si>
    <t>https://img.yuyu-tei.jp/card_image/ws/front/puyopuyo/10102.jpg</t>
  </si>
  <si>
    <t>https://card.yuyu-tei.jp/ws/front/puyopuyo/10088.jpg</t>
  </si>
  <si>
    <t>https://card.yuyu-tei.jp/ws/front/puyopuyo/10027.jpg</t>
  </si>
  <si>
    <t>https://tcgplayer-cdn.tcgplayer.com/product/634809_in_1000x1000.jpg</t>
  </si>
  <si>
    <t>https://tcgplayer-cdn.tcgplayer.com/product/634823_in_1000x1000.jpg</t>
  </si>
  <si>
    <t>https://tcgplayer-cdn.tcgplayer.com/product/634812_in_1000x1000.jpg</t>
  </si>
  <si>
    <t>Choice StockSoul</t>
  </si>
  <si>
    <t>https://tcgplayer-cdn.tcgplayer.com/product/634687_in_1000x1000.jpg</t>
  </si>
  <si>
    <t>https://tcgplayer-cdn.tcgplayer.com/product/634880_in_1000x1000.jpg</t>
  </si>
  <si>
    <t>https://tcgplayer-cdn.tcgplayer.com/product/634716_in_1000x1000.jpg</t>
  </si>
  <si>
    <t>https://tcgplayer-cdn.tcgplayer.com/product/634741_in_1000x1000.jpg</t>
  </si>
  <si>
    <t>https://tcgplayer-cdn.tcgplayer.com/product/634746_in_1000x1000.jpg</t>
  </si>
  <si>
    <t>https://tcgplayer-cdn.tcgplayer.com/product/634748_in_1000x1000.jpg</t>
  </si>
  <si>
    <t>RSL</t>
  </si>
  <si>
    <t>Pants Wind</t>
  </si>
  <si>
    <t>6Standby 2Choice</t>
  </si>
  <si>
    <t>https://tcgplayer-cdn.tcgplayer.com/product/514457_in_1000x1000.jpg</t>
  </si>
  <si>
    <t>https://tcgplayer-cdn.tcgplayer.com/product/190847_in_1000x1000.jpg</t>
  </si>
  <si>
    <t>https://tcgplayer-cdn.tcgplayer.com/product/514473_in_1000x1000.jpg</t>
  </si>
  <si>
    <t>https://tcgplayer-cdn.tcgplayer.com/product/514925_in_1000x1000.jpg</t>
  </si>
  <si>
    <t>https://tcgplayer-cdn.tcgplayer.com/product/514911_in_1000x1000.jpg</t>
  </si>
  <si>
    <t>https://product-images.tcgplayer.com/fit-in/585x585/501952.jpg</t>
  </si>
  <si>
    <t>https://tcgplayer-cdn.tcgplayer.com/product/514469_in_1000x1000.jpg</t>
  </si>
  <si>
    <t>https://tcgplayer-cdn.tcgplayer.com/product/514539_in_1000x1000.jpg</t>
  </si>
  <si>
    <t>https://tcgplayer-cdn.tcgplayer.com/product/514929_in_1000x1000.jpg</t>
  </si>
  <si>
    <t>https://product-images.tcgplayer.com/fit-in/804x804/514914.jpg</t>
  </si>
  <si>
    <t>Choice Pants - Akira</t>
  </si>
  <si>
    <t>https://tcgplayer-cdn.tcgplayer.com/product/515100_in_1000x1000.jpg</t>
  </si>
  <si>
    <t>https://tcgplayer-cdn.tcgplayer.com/product/501970_in_1000x1000.jpg</t>
  </si>
  <si>
    <t>Mahiru Waifu</t>
  </si>
  <si>
    <t>https://tcgplayer-cdn.tcgplayer.com/product/192140_in_1000x1000.jpg</t>
  </si>
  <si>
    <t>https://tcgplayer-cdn.tcgplayer.com/product/501956_in_1000x1000.jpg</t>
  </si>
  <si>
    <t>Choice Shot</t>
  </si>
  <si>
    <t>Futaba Mahiru Maya</t>
  </si>
  <si>
    <t>https://product-images.tcgplayer.com/fit-in/585x585/514999.jpg</t>
  </si>
  <si>
    <t>https://product-images.tcgplayer.com/fit-in/804x804/514996.jpg</t>
  </si>
  <si>
    <t>Pants Standby Door</t>
  </si>
  <si>
    <t>https://product-images.tcgplayer.com/fit-in/804x804/501952.jpg</t>
  </si>
  <si>
    <t>https://tcgplayer-cdn.tcgplayer.com/product/514914_in_1000x1000.jpg</t>
  </si>
  <si>
    <t>Wind Standby Shot Shot</t>
  </si>
  <si>
    <t>https://product-images.tcgplayer.com/fit-in/780x780/501793.jpg</t>
  </si>
  <si>
    <t>https://product-images.tcgplayer.com/fit-in/585x585/501852.jpg</t>
  </si>
  <si>
    <t>https://product-images.tcgplayer.com/fit-in/585x585/filters:quality(1)/501795.jpg</t>
  </si>
  <si>
    <t>https://tcgplayer-cdn.tcgplayer.com/product/256861_in_1000x1000.jpg</t>
  </si>
  <si>
    <t>https://tcgplayer-cdn.tcgplayer.com/product/256886_in_1000x1000.jpg</t>
  </si>
  <si>
    <t>https://tcgplayer-cdn.tcgplayer.com/product/256853_in_1000x1000.jpg</t>
  </si>
  <si>
    <t>https://product-images.tcgplayer.com/fit-in/656x656/555383.jpg</t>
  </si>
  <si>
    <t>https://product-images.tcgplayer.com/fit-in/656x656/256877.jpg</t>
  </si>
  <si>
    <t>https://product-images.tcgplayer.com/fit-in/437x437/256855.jpg</t>
  </si>
  <si>
    <t>https://tcgplayer-cdn.tcgplayer.com/product/256826_in_1000x1000.jpg</t>
  </si>
  <si>
    <t>https://tcgplayer-cdn.tcgplayer.com/product/256913_in_1000x1000.jpg</t>
  </si>
  <si>
    <t>https://tcgplayer-cdn.tcgplayer.com/product/256927_in_1000x1000.jpg</t>
  </si>
  <si>
    <t>https://product-images.tcgplayer.com/fit-in/437x437/filters:quality(1)/256849.jpg</t>
  </si>
  <si>
    <t>https://en.ws-tcg.com/wordpress/wp-content/images/cardimages/RWBY/WXE01_20.png</t>
  </si>
  <si>
    <t>Bar Standby Standby</t>
  </si>
  <si>
    <t>https://tcgplayer-cdn.tcgplayer.com/product/555340_in_1000x1000.jpg</t>
  </si>
  <si>
    <t>https://product-images.tcgplayer.com/fit-in/585x585/filters:quality(1)/256877.jpg</t>
  </si>
  <si>
    <t>https://product-images.tcgplayer.com/fit-in/585x585/filters:quality(1)/256796.jpg</t>
  </si>
  <si>
    <t>https://product-images.tcgplayer.com/fit-in/585x585/555393.jpg</t>
  </si>
  <si>
    <t>https://product-images.tcgplayer.com/fit-in/585x585/filters:quality(1)/256855.jpg</t>
  </si>
  <si>
    <t>Choice Standby Standby</t>
  </si>
  <si>
    <t>https://product-images.tcgplayer.com/fit-in/585x585/256796.jpg</t>
  </si>
  <si>
    <t>https://tcgplayer-cdn.tcgplayer.com/product/256849_in_1000x1000.jpg</t>
  </si>
  <si>
    <t>https://tcgplayer-cdn.tcgplayer.com/product/255997_in_1000x1000.jpg</t>
  </si>
  <si>
    <t>https://tcgplayer-cdn.tcgplayer.com/product/256855_in_1000x1000.jpg</t>
  </si>
  <si>
    <t>Highlander</t>
  </si>
  <si>
    <t>Jean Pyrrha</t>
  </si>
  <si>
    <t>Book Pants (Memory Snow)</t>
  </si>
  <si>
    <t>https://product-images.tcgplayer.com/fit-in/585x585/221281.jpg</t>
  </si>
  <si>
    <t>https://product-images.tcgplayer.com/fit-in/585x585/221210.jpg</t>
  </si>
  <si>
    <t>https://product-images.tcgplayer.com/fit-in/585x585/filters:quality(1)/220646.jpg</t>
  </si>
  <si>
    <t>Pants Door (Memory Snow)</t>
  </si>
  <si>
    <t>https://tcgplayer-cdn.tcgplayer.com/product/221281_in_1000x1000.jpg</t>
  </si>
  <si>
    <t>https://tcgplayer-cdn.tcgplayer.com/product/221270_in_1000x1000.jpg</t>
  </si>
  <si>
    <t>https://tcgplayer-cdn.tcgplayer.com/product/220847_in_1000x1000.jpg</t>
  </si>
  <si>
    <t>https://card.yuyu-tei.jp/ws/front/rz4.0/10082.jpg</t>
  </si>
  <si>
    <t>https://card.yuyu-tei.jp/ws/front/rz4.0/10048.jpg</t>
  </si>
  <si>
    <t>https://card.yuyu-tei.jp/ws/front/rz4.0/10049.jpg</t>
  </si>
  <si>
    <t>Shot StockSoul</t>
  </si>
  <si>
    <t>Mito Yuuki</t>
  </si>
  <si>
    <t>https://card.yuyu-tei.jp/ws/front/sao10th2.0/10038.jpg</t>
  </si>
  <si>
    <t>https://card.yuyu-tei.jp/ws/front/sao10th2.0/10033.jpg</t>
  </si>
  <si>
    <t>https://card.yuyu-tei.jp/ws/front/sao10th/10038.jpg</t>
  </si>
  <si>
    <t>Choice Door - Alice Silica</t>
  </si>
  <si>
    <t>6 Pants 2 StockSoul</t>
  </si>
  <si>
    <t>8 Door - Administrator</t>
  </si>
  <si>
    <t>8 Pants - Eugeo Kirito</t>
  </si>
  <si>
    <t>https://product-images.tcgplayer.com/fit-in/818x818/252385.jpg</t>
  </si>
  <si>
    <t>https://product-images.tcgplayer.com/fit-in/818x818/252381.jpg</t>
  </si>
  <si>
    <t>https://product-images.tcgplayer.com/fit-in/818x818/493148.jpg</t>
  </si>
  <si>
    <t>8 Pants - Sinon Kirito</t>
  </si>
  <si>
    <t>https://product-images.tcgplayer.com/fit-in/585x585/493166.jpg</t>
  </si>
  <si>
    <t>https://product-images.tcgplayer.com/fit-in/585x585/493146.jpg</t>
  </si>
  <si>
    <t>https://tcgplayer-cdn.tcgplayer.com/product/493148_in_1000x1000.jpg</t>
  </si>
  <si>
    <t>https://tcgplayer-cdn.tcgplayer.com/product/493023_in_1000x1000.jpg</t>
  </si>
  <si>
    <t>https://tcgplayer-cdn.tcgplayer.com/product/493037_in_1000x1000.jpg</t>
  </si>
  <si>
    <t>https://tcgplayer-cdn.tcgplayer.com/product/492923_in_1000x1000.jpg</t>
  </si>
  <si>
    <t>https://product-images.tcgplayer.com/fit-in/437x437/130798.jpg</t>
  </si>
  <si>
    <t>https://product-images.tcgplayer.com/fit-in/437x437/155334.jpg</t>
  </si>
  <si>
    <t>https://product-images.tcgplayer.com/fit-in/437x437/492923.jpg</t>
  </si>
  <si>
    <t>https://product-images.tcgplayer.com/fit-in/780x780/493148.jpg</t>
  </si>
  <si>
    <t>https://tcgplayer-cdn.tcgplayer.com/product/155317_in_1000x1000.jpg</t>
  </si>
  <si>
    <t>https://tcgplayer-cdn.tcgplayer.com/product/493134_in_1000x1000.jpg</t>
  </si>
  <si>
    <t>https://tcgplayer-cdn.tcgplayer.com/product/493112_in_1000x1000.jpg</t>
  </si>
  <si>
    <t>https://product-images.tcgplayer.com/fit-in/437x437/155317.jpg</t>
  </si>
  <si>
    <t>https://tcgplayer-cdn.tcgplayer.com/product/155334_in_1000x1000.jpg</t>
  </si>
  <si>
    <t>https://tcgplayer-cdn.tcgplayer.com/product/155336_in_1000x1000.jpg</t>
  </si>
  <si>
    <t>StockSoul Bar - Yuuki Yuna</t>
  </si>
  <si>
    <t>https://product-images.tcgplayer.com/fit-in/585x585/118537.jpg</t>
  </si>
  <si>
    <t>StockSoul Bar (Anni)</t>
  </si>
  <si>
    <t>https://product-images.tcgplayer.com/fit-in/585x585/252377.jpg</t>
  </si>
  <si>
    <t>https://product-images.tcgplayer.com/fit-in/585x585/252388.jpg</t>
  </si>
  <si>
    <t>https://product-images.tcgplayer.com/fit-in/585x585/209810.jpg</t>
  </si>
  <si>
    <t>StockSoul Pants (Christmas / Night-Sky)</t>
  </si>
  <si>
    <t>https://en.ws-tcg.com/wp/wp-content/images/cardimages/ASAO10/S100_E030.png</t>
  </si>
  <si>
    <t>https://tcgplayer-cdn.tcgplayer.com/product/493191_in_1000x1000.jpg</t>
  </si>
  <si>
    <t>StockSoul Door (Christmas / Silica)</t>
  </si>
  <si>
    <t>Pants Choice Pants (Sinon Alice Kirito)</t>
  </si>
  <si>
    <t>https://tcgplayer-cdn.tcgplayer.com/product/492915_in_1000x1000.jpg</t>
  </si>
  <si>
    <t>Yuuki Argo (Anni)</t>
  </si>
  <si>
    <t>https://tcgplayer-cdn.tcgplayer.com/product/492926_in_1000x1000.jpg</t>
  </si>
  <si>
    <t>Yuuki Asuna (Anni)</t>
  </si>
  <si>
    <t>Yuuki Sinon</t>
  </si>
  <si>
    <t>https://product-images.tcgplayer.com/fit-in/585x585/155334.jpg</t>
  </si>
  <si>
    <t>https://product-images.tcgplayer.com/fit-in/585x585/103340.jpg</t>
  </si>
  <si>
    <t>Yuuki Yuna</t>
  </si>
  <si>
    <t>Bar Choice (Alice)</t>
  </si>
  <si>
    <t>https://tcgplayer-cdn.tcgplayer.com/product/251930_in_1000x1000.jpg</t>
  </si>
  <si>
    <t>Bar Choice (Anniversary)</t>
  </si>
  <si>
    <t>https://img.yuyu-tei.jp/card_image/ws/front/sao10th/10003.jpg</t>
  </si>
  <si>
    <t>Pants Door - Kirito Silica</t>
  </si>
  <si>
    <t>8 Choice - Uzuki Mai Kaede</t>
  </si>
  <si>
    <t>https://card.yuyu-tei.jp/ws/front/sby4.0/10002.jpg</t>
  </si>
  <si>
    <t>https://card.yuyu-tei.jp/ws/front/sby4.0/10020.jpg</t>
  </si>
  <si>
    <t>https://card.yuyu-tei.jp/ws/front/sby3.0/10006.jpg</t>
  </si>
  <si>
    <t>8 Choice Nodoka</t>
  </si>
  <si>
    <t>https://card.yuyu-tei.jp/ws/front/sby4.0/10008.jpg</t>
  </si>
  <si>
    <t>https://card.yuyu-tei.jp/ws/front/sby4.0/10003.jpg</t>
  </si>
  <si>
    <t>https://tcgplayer-cdn.tcgplayer.com/product/625373_in_1000x1000.jpg</t>
  </si>
  <si>
    <t>https://tcgplayer-cdn.tcgplayer.com/product/625413_in_1000x1000.jpg</t>
  </si>
  <si>
    <t>https://tcgplayer-cdn.tcgplayer.com/product/625362_in_1000x1000.jpg</t>
  </si>
  <si>
    <t>Restricted - 8 Door</t>
  </si>
  <si>
    <t>https://tcgplayer-cdn.tcgplayer.com/product/625451_in_1000x1000.jpg</t>
  </si>
  <si>
    <t>https://tcgplayer-cdn.tcgplayer.com/product/625454_in_1000x1000.jpg</t>
  </si>
  <si>
    <t>https://tcgplayer-cdn.tcgplayer.com/product/625456_in_1000x1000.jpg</t>
  </si>
  <si>
    <t>Book Bar</t>
  </si>
  <si>
    <t>https://tcgplayer-cdn.tcgplayer.com/product/237470_in_1000x1000.jpg</t>
  </si>
  <si>
    <t>https://tcgplayer-cdn.tcgplayer.com/product/456501_in_1000x1000.jpg</t>
  </si>
  <si>
    <t>https://tcgplayer-cdn.tcgplayer.com/product/237469_in_1000x1000.jpg</t>
  </si>
  <si>
    <t>Restricted - StockSoul Pants</t>
  </si>
  <si>
    <t>https://product-images.tcgplayer.com/fit-in/585x585/456338.jpg</t>
  </si>
  <si>
    <t>https://product-images.tcgplayer.com/fit-in/585x585/filters:quality(1)/456347.jpg</t>
  </si>
  <si>
    <t>https://product-images.tcgplayer.com/fit-in/585x585/237555.jpg</t>
  </si>
  <si>
    <t>https://tcgplayer-cdn.tcgplayer.com/product/456338_in_1000x1000.jpg</t>
  </si>
  <si>
    <t>https://tcgplayer-cdn.tcgplayer.com/product/456347_in_1000x1000.jpg</t>
  </si>
  <si>
    <t>https://tcgplayer-cdn.tcgplayer.com/product/456354_in_1000x1000.jpg</t>
  </si>
  <si>
    <t>Door Pants - TD Finisher</t>
  </si>
  <si>
    <t>Choice Pants - TD Finisher</t>
  </si>
  <si>
    <t>https://tcgplayer-cdn.tcgplayer.com/product/595191_in_1000x1000.jpg</t>
  </si>
  <si>
    <t>https://tcgplayer-cdn.tcgplayer.com/product/595148_in_1000x1000.jpg</t>
  </si>
  <si>
    <t>https://tcgplayer-cdn.tcgplayer.com/product/595215_in_1000x1000.jpg</t>
  </si>
  <si>
    <t>https://tcgplayer-cdn.tcgplayer.com/product/595102_in_1000x1000.jpg</t>
  </si>
  <si>
    <t>https://tcgplayer-cdn.tcgplayer.com/product/595132_in_1000x1000.jpg</t>
  </si>
  <si>
    <t>https://tcgplayer-cdn.tcgplayer.com/product/595100_in_1000x1000.jpg</t>
  </si>
  <si>
    <t>https://tcgplayer-cdn.tcgplayer.com/product/595199_in_1000x1000.jpg</t>
  </si>
  <si>
    <t>https://tcgplayer-cdn.tcgplayer.com/product/595207_in_1000x1000.jpg</t>
  </si>
  <si>
    <t>https://tcgplayer-cdn.tcgplayer.com/product/595280_in_1000x1000.jpg</t>
  </si>
  <si>
    <t>https://tcgplayer-cdn.tcgplayer.com/product/595082_in_1000x1000.jpg</t>
  </si>
  <si>
    <t>https://tcgplayer-cdn.tcgplayer.com/product/595054_in_1000x1000.jpg</t>
  </si>
  <si>
    <t>8 Choice (Himmel)</t>
  </si>
  <si>
    <t>https://tcgplayer-cdn.tcgplayer.com/product/595066_in_1000x1000.jpg</t>
  </si>
  <si>
    <t>https://tcgplayer-cdn.tcgplayer.com/product/595195_in_1000x1000.jpg</t>
  </si>
  <si>
    <t>https://tcgplayer-cdn.tcgplayer.com/product/595257_in_1000x1000.jpg</t>
  </si>
  <si>
    <t>https://tcgplayer-cdn.tcgplayer.com/product/595197_in_1000x1000.jpg</t>
  </si>
  <si>
    <t>https://tcgplayer-cdn.tcgplayer.com/product/595306_in_1000x1000.jpg</t>
  </si>
  <si>
    <t>Choice Standby (Frieren Stark)</t>
  </si>
  <si>
    <t>https://tcgplayer-cdn.tcgplayer.com/product/595274_in_1000x1000.jpg</t>
  </si>
  <si>
    <t>https://card.yuyu-tei.jp/ws/front/symphogearxv/10002.jpg</t>
  </si>
  <si>
    <t>https://card.yuyu-tei.jp/ws/front/symphogearxv/10027.jpg</t>
  </si>
  <si>
    <t>https://card.yuyu-tei.jp/ws/front/symphogearxv/10028.jpg</t>
  </si>
  <si>
    <t>https://product-images.tcgplayer.com/fit-in/437x437/449676.jpg</t>
  </si>
  <si>
    <t>https://product-images.tcgplayer.com/fit-in/437x437/493957.jpg</t>
  </si>
  <si>
    <t>https://product-images.tcgplayer.com/fit-in/437x437/494067.jpg</t>
  </si>
  <si>
    <t>https://tcgplayer-cdn.tcgplayer.com/product/544105_in_1000x1000.jpg</t>
  </si>
  <si>
    <t>https://tcgplayer-cdn.tcgplayer.com/product/544116_in_1000x1000.jpg</t>
  </si>
  <si>
    <t>https://tcgplayer-cdn.tcgplayer.com/product/544027_in_1000x1000.jpg</t>
  </si>
  <si>
    <t>SIx</t>
  </si>
  <si>
    <t>https://tcgplayer-cdn.tcgplayer.com/product/591452_in_1000x1000.jpg</t>
  </si>
  <si>
    <t>https://tcgplayer-cdn.tcgplayer.com/product/591536_in_1000x1000.jpg</t>
  </si>
  <si>
    <t>https://tcgplayer-cdn.tcgplayer.com/product/591449_in_1000x1000.jpg</t>
  </si>
  <si>
    <t>https://tcgplayer-cdn.tcgplayer.com/product/532248_in_1000x1000.jpg</t>
  </si>
  <si>
    <t>https://card.yuyu-tei.jp/ws/front/spy/10074.jpg</t>
  </si>
  <si>
    <t>https://tcgplayer-cdn.tcgplayer.com/product/532486_in_1000x1000.jpg</t>
  </si>
  <si>
    <t>https://product-images.tcgplayer.com/fit-in/818x818/532248.jpg</t>
  </si>
  <si>
    <t>https://product-images.tcgplayer.com/fit-in/818x818/532133.jpg</t>
  </si>
  <si>
    <t>https://product-images.tcgplayer.com/fit-in/818x818/532191.jpg</t>
  </si>
  <si>
    <t>https://product-images.tcgplayer.com/fit-in/804x804/filters:quality(1)/532248.jpg</t>
  </si>
  <si>
    <t>https://product-images.tcgplayer.com/fit-in/804x804/filters:quality(1)/532133.jpg</t>
  </si>
  <si>
    <t>https://product-images.tcgplayer.com/fit-in/1078x1078/532403.jpg</t>
  </si>
  <si>
    <t>https://product-images.tcgplayer.com/fit-in/585x585/filters:quality(1)/532248.jpg</t>
  </si>
  <si>
    <t>https://product-images.tcgplayer.com/fit-in/585x585/filters:quality(1)/532133.jpg</t>
  </si>
  <si>
    <t>https://product-images.tcgplayer.com/fit-in/585x585/filters:quality(1)/532256.jpg</t>
  </si>
  <si>
    <t>https://tcgplayer-cdn.tcgplayer.com/product/532508_in_1000x1000.jpg</t>
  </si>
  <si>
    <t>TD</t>
  </si>
  <si>
    <t>https://product-images.tcgplayer.com/fit-in/376x376/532400.jpg</t>
  </si>
  <si>
    <t>https://product-images.tcgplayer.com/fit-in/376x376/532481.jpg</t>
  </si>
  <si>
    <t>https://product-images.tcgplayer.com/fit-in/376x376/532403.jpg</t>
  </si>
  <si>
    <t>https://en.ws-tcg.com/wordpress/wp-content/images/cardimages/SS/WE41_E04.png</t>
  </si>
  <si>
    <t>https://tcgplayer-cdn.tcgplayer.com/product/559367_in_1000x1000.jpg</t>
  </si>
  <si>
    <t>https://img.yuyu-tei.jp/card_image/ws/front/sspb/10005.jpg</t>
  </si>
  <si>
    <t>https://img.yuyu-tei.jp/card_image/ws/front/sspb/10034.jpg</t>
  </si>
  <si>
    <t>https://img.yuyu-tei.jp/card_image/ws/front/sspb/10016.jpg</t>
  </si>
  <si>
    <t>Choice Door Door</t>
  </si>
  <si>
    <t>https://img.yuyu-tei.jp/card_image/ws/front/dengeki/10159.jpg</t>
  </si>
  <si>
    <t>Sxx</t>
  </si>
  <si>
    <t>Standby Choice Door</t>
  </si>
  <si>
    <t>https://img.yuyu-tei.jp/card_image/ws/front/kadokawas2.0/10105.jpg</t>
  </si>
  <si>
    <t>https://img.yuyu-tei.jp/card_image/ws/front/kadokawas2.0/10042.jpg</t>
  </si>
  <si>
    <t>https://img.yuyu-tei.jp/card_image/ws/front/kadokawas2.0/10114.jpg</t>
  </si>
  <si>
    <t>8 Standby (Bunko 2)</t>
  </si>
  <si>
    <t>https://img.yuyu-tei.jp/card_image/ws/front/sh/10064.jpg</t>
  </si>
  <si>
    <t>https://img.yuyu-tei.jp/card_image/ws/front/kadokawas2.0/10103.jpg</t>
  </si>
  <si>
    <t>https://card.yuyu-tei.jp/ws/front/kadokawas2.0/10105.jpg</t>
  </si>
  <si>
    <t>https://card.yuyu-tei.jp/ws/front/kadokawas2.0/10047.jpg</t>
  </si>
  <si>
    <t>https://card.yuyu-tei.jp/ws/front/kadokawas2.0/10103.jpg</t>
  </si>
  <si>
    <t>TAL</t>
  </si>
  <si>
    <t>6 Chance 2 Bar 3 Combo</t>
  </si>
  <si>
    <t>https://ws-tcg.com/wordpress/wp-content/images/cardlist/t/tal_s126/tal_s126_060.png</t>
  </si>
  <si>
    <t>https://ws-tcg.com/wordpress/wp-content/images/cardlist/t/tal_s126/tal_s126_061.png</t>
  </si>
  <si>
    <t>https://ws-tcg.com/wordpress/wp-content/images/cardlist/t/tal_s126/tal_s126_031.png</t>
  </si>
  <si>
    <t>6 Chance 2 Bar 2 Combo</t>
  </si>
  <si>
    <t>https://ws-tcg.com/wordpress/wp-content/images/cardlist/t/tal_s126/tal_s126_t16.png</t>
  </si>
  <si>
    <t>Discovery Choice</t>
  </si>
  <si>
    <t>https://ws-tcg.com/wordpress/wp-content/images/cardlist/t/tal_s126/tal_s126_005.png</t>
  </si>
  <si>
    <t>https://ws-tcg.com/wordpress/wp-content/images/cardlist/t/tal_s126/tal_s126_002.png</t>
  </si>
  <si>
    <t>8 Chance</t>
  </si>
  <si>
    <t>https://card.yuyu-tei.jp/ws/front/tal/10009.jpg</t>
  </si>
  <si>
    <t>28 Choice</t>
  </si>
  <si>
    <t>https://tcgplayer-cdn.tcgplayer.com/product/278054_in_1000x1000.jpg</t>
  </si>
  <si>
    <t>https://tcgplayer-cdn.tcgplayer.com/product/278031_in_1000x1000.jpg</t>
  </si>
  <si>
    <t>https://tcgplayer-cdn.tcgplayer.com/product/277888_in_1000x1000.jpg</t>
  </si>
  <si>
    <t>https://card.yuyu-tei.jp/ws/front/trv/10084.jpg</t>
  </si>
  <si>
    <t>https://card.yuyu-tei.jp/ws/front/trv/10090.jpg</t>
  </si>
  <si>
    <t>https://card.yuyu-tei.jp/ws/front/trv/10008.jpg</t>
  </si>
  <si>
    <t>https://tcgplayer-cdn.tcgplayer.com/product/278101_in_1000x1000.jpg</t>
  </si>
  <si>
    <t>https://tcgplayer-cdn.tcgplayer.com/product/277891_in_1000x1000.jpg</t>
  </si>
  <si>
    <t>https://tcgplayer-cdn.tcgplayer.com/product/278073_in_1000x1000.jpg</t>
  </si>
  <si>
    <t>https://tcgplayer-cdn.tcgplayer.com/product/278118_in_1000x1000.jpg</t>
  </si>
  <si>
    <t>https://tcgplayer-cdn.tcgplayer.com/product/278028_in_1000x1000.jpg</t>
  </si>
  <si>
    <t>https://card.yuyu-tei.jp/ws/front/trv/10033.jpg</t>
  </si>
  <si>
    <t>https://card.yuyu-tei.jp/ws/front/trv/10060.jpg</t>
  </si>
  <si>
    <t>https://card.yuyu-tei.jp/ws/front/trv/10035.jpg</t>
  </si>
  <si>
    <t>2Soul Mjurran</t>
  </si>
  <si>
    <t>https://tcgplayer-cdn.tcgplayer.com/product/503819_in_1000x1000.jpg</t>
  </si>
  <si>
    <t>https://tcgplayer-cdn.tcgplayer.com/product/503762_in_1000x1000.jpg</t>
  </si>
  <si>
    <t>https://tcgplayer-cdn.tcgplayer.com/product/503797_in_1000x1000.jpg</t>
  </si>
  <si>
    <t>8 Pants (Rimuru Mjurran)</t>
  </si>
  <si>
    <t>https://product-images.tcgplayer.com/fit-in/780x780/250461.jpg</t>
  </si>
  <si>
    <t>https://product-images.tcgplayer.com/fit-in/437x437/503819.jpg</t>
  </si>
  <si>
    <t>https://product-images.tcgplayer.com/fit-in/437x437/filters:quality(1)/503797.jpg</t>
  </si>
  <si>
    <t>Door Mjurran</t>
  </si>
  <si>
    <t>https://product-images.tcgplayer.com/fit-in/656x656/503629.jpg</t>
  </si>
  <si>
    <t>https://product-images.tcgplayer.com/fit-in/656x656/503797.jpg</t>
  </si>
  <si>
    <t>Milim Mjurran</t>
  </si>
  <si>
    <t>https://tcgplayer-cdn.tcgplayer.com/product/503611_in_1000x1000.jpg</t>
  </si>
  <si>
    <t>https://product-images.tcgplayer.com/fit-in/585x585/filters:quality(1)/218586.jpg</t>
  </si>
  <si>
    <t>https://product-images.tcgplayer.com/fit-in/585x585/218785.jpg</t>
  </si>
  <si>
    <t>https://product-images.tcgplayer.com/fit-in/585x585/247882.jpg</t>
  </si>
  <si>
    <t>Pants Standby Standby</t>
  </si>
  <si>
    <t>Restricted - 8 Pants (Rimuru Mjurran)</t>
  </si>
  <si>
    <t>Restricted - Standby Mjurran</t>
  </si>
  <si>
    <t>https://product-images.tcgplayer.com/fit-in/437x437/250416.jpg</t>
  </si>
  <si>
    <t>SalvageSoul Pants</t>
  </si>
  <si>
    <t>https://product-images.tcgplayer.com/fit-in/585x585/248671.jpg</t>
  </si>
  <si>
    <t>https://product-images.tcgplayer.com/fit-in/437x437/filters:quality(1)/503615.jpg</t>
  </si>
  <si>
    <t>https://product-images.tcgplayer.com/fit-in/437x437/filters:quality(1)/248678.jpg</t>
  </si>
  <si>
    <t>https://product-images.tcgplayer.com/fit-in/437x437/503717.jpg</t>
  </si>
  <si>
    <t>https://tcgplayer-cdn.tcgplayer.com/product/503742_in_1000x1000.jpg</t>
  </si>
  <si>
    <t>Wind Book</t>
  </si>
  <si>
    <t>https://tcgplayer-cdn.tcgplayer.com/product/503730_in_1000x1000.jpg</t>
  </si>
  <si>
    <t>https://tcgplayer-cdn.tcgplayer.com/product/503808_in_1000x1000.jpg</t>
  </si>
  <si>
    <t>https://tcgplayer-cdn.tcgplayer.com/product/249996_in_1000x1000.jpg</t>
  </si>
  <si>
    <t>https://card.yuyu-tei.jp/ws/front/uma3.0/10081.jpg</t>
  </si>
  <si>
    <t>https://card.yuyu-tei.jp/ws/front/uma3.0/10010.jpg</t>
  </si>
  <si>
    <t>https://card.yuyu-tei.jp/ws/front/uma3.0/10082.jpg</t>
  </si>
  <si>
    <t>Restricted - StockSoul Door</t>
  </si>
  <si>
    <t>https://img.yuyu-tei.jp/card_image/ws/front/uma/10030.jpg</t>
  </si>
  <si>
    <t>https://tcgrepublic.com/media/binary/000/449/643/449643.png</t>
  </si>
  <si>
    <t>https://img.yuyu-tei.jp/card_image/ws/front/uma2.0/10056.jpg</t>
  </si>
  <si>
    <t>https://img.yuyu-tei.jp/card_image/ws/front/uma/10109.jpg</t>
  </si>
  <si>
    <t>https://img.yuyu-tei.jp/card_image/ws/front/uma/10124.jpg</t>
  </si>
  <si>
    <t>https://card.yuyu-tei.jp/ws/front/uma2.0/10079.jpg</t>
  </si>
  <si>
    <t>https://card.yuyu-tei.jp/ws/front/uma3.0/10046.jpg</t>
  </si>
  <si>
    <t>https://card.yuyu-tei.jp/ws/front/uma3.0/10064.jpg</t>
  </si>
  <si>
    <t>https://card.yuyu-tei.jp/ws/front/uma3.0/10068.jpg</t>
  </si>
  <si>
    <t>YHN</t>
  </si>
  <si>
    <t>https://img.yuyu-tei.jp/card_image/ws/front/yhn/10116.jpg</t>
  </si>
  <si>
    <t>https://img.yuyu-tei.jp/card_image/ws/front/yhn/10127.jpg</t>
  </si>
  <si>
    <t>https://img.yuyu-tei.jp/card_image/ws/front/yhn/10112.jpg</t>
  </si>
  <si>
    <t>Restricted - 6Bar 2Pants</t>
  </si>
  <si>
    <t>https://img.yuyu-tei.jp/card_image/ws/front/yrc/10044.jpg</t>
  </si>
  <si>
    <t>https://img.yuyu-tei.jp/card_image/ws/front/yrc/10058.jpg</t>
  </si>
  <si>
    <t>https://img.yuyu-tei.jp/card_image/ws/front/yrc/10110.jpg</t>
  </si>
  <si>
    <t>https://img.yuyu-tei.jp/card_image/ws/front/yrc/10109.jpg</t>
  </si>
  <si>
    <t>https://img.yuyu-tei.jp/card_image/ws/front/yrc/10122.jpg</t>
  </si>
  <si>
    <t>https://img.yuyu-tei.jp/card_image/ws/front/yrc/10093.jpg</t>
  </si>
  <si>
    <t>https://img.yuyu-tei.jp/card_image/ws/front/yrc/10073.jpg</t>
  </si>
  <si>
    <t>https://card.yuyu-tei.jp/ws/front/yrc/10071.jpg</t>
  </si>
  <si>
    <t>https://card.yuyu-tei.jp/ws/front/yrc/10006.jpg</t>
  </si>
  <si>
    <t>https://card.yuyu-tei.jp/ws/front/yrc/10009.jpg</t>
  </si>
  <si>
    <t>ZLS</t>
  </si>
  <si>
    <t>https://img.yuyu-tei.jp/card_image/ws/front/zls/10014.jpg</t>
  </si>
  <si>
    <t>https://img.yuyu-tei.jp/card_image/ws/front/zls/10087.jpg</t>
  </si>
  <si>
    <t>https://img.yuyu-tei.jp/card_image/ws/front/zls/10083.jpg</t>
  </si>
  <si>
    <t>Shot Door</t>
  </si>
  <si>
    <t>https://img.yuyu-tei.jp/card_image/ws/front/zls/10050.jpg</t>
  </si>
  <si>
    <t>https://ws-tcg.com/wordpress/wp-content/images/cardlist/w/ws_wspr/ws_wspr_p06.png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</si>
</sst>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m/d/yyyy"/>
  </numFmts>
  <fonts count="56">
    <font>
      <sz val="11.0"/>
      <color theme="1"/>
      <name val="Arial"/>
      <scheme val="minor"/>
    </font>
    <font>
      <sz val="17.0"/>
      <color theme="1"/>
      <name val="Arial"/>
    </font>
    <font/>
    <font>
      <color theme="1"/>
      <name val="Arial"/>
    </font>
    <font>
      <b/>
      <i/>
      <sz val="12.0"/>
      <color theme="1"/>
      <name val="Arial"/>
    </font>
    <font>
      <sz val="12.0"/>
      <color theme="1"/>
      <name val="Arial"/>
    </font>
    <font>
      <sz val="15.0"/>
      <color theme="1"/>
      <name val="Arial"/>
    </font>
    <font>
      <b/>
      <sz val="12.0"/>
      <color theme="1"/>
      <name val="Arial"/>
    </font>
    <font>
      <sz val="13.0"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3.0"/>
      <color theme="1"/>
      <name val="Arial"/>
      <scheme val="minor"/>
    </font>
    <font>
      <b/>
      <color theme="1"/>
      <name val="Arial"/>
      <scheme val="minor"/>
    </font>
    <font>
      <sz val="20.0"/>
      <color theme="1"/>
      <name val="Arial"/>
    </font>
    <font>
      <b/>
      <sz val="20.0"/>
      <color theme="1"/>
      <name val="Arial"/>
    </font>
    <font>
      <b/>
      <sz val="15.0"/>
      <color theme="1"/>
      <name val="Arial"/>
    </font>
    <font>
      <sz val="8.0"/>
      <color theme="1"/>
      <name val="Arial"/>
      <scheme val="minor"/>
    </font>
    <font>
      <sz val="16.0"/>
      <color theme="1"/>
      <name val="Arial"/>
      <scheme val="minor"/>
    </font>
    <font>
      <sz val="8.0"/>
      <color rgb="FF000000"/>
      <name val="Arial"/>
      <scheme val="minor"/>
    </font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9.0"/>
      <color theme="1"/>
      <name val="Arial"/>
      <scheme val="minor"/>
    </font>
    <font>
      <b/>
      <sz val="22.0"/>
      <color theme="1"/>
      <name val="Arial"/>
      <scheme val="minor"/>
    </font>
    <font>
      <b/>
      <sz val="15.0"/>
      <color theme="1"/>
      <name val="Arial"/>
      <scheme val="minor"/>
    </font>
    <font>
      <b/>
      <sz val="14.0"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sz val="11.0"/>
      <color theme="1"/>
      <name val="Arial"/>
    </font>
    <font>
      <i/>
      <color theme="1"/>
      <name val="Arial"/>
    </font>
    <font>
      <color rgb="FFFFFFFF"/>
      <name val="Arial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b/>
      <color theme="1"/>
      <name val="Roboto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Arial"/>
    </font>
    <font>
      <u/>
      <color rgb="FF434343"/>
      <name val="Roboto"/>
    </font>
    <font>
      <color rgb="FF434343"/>
      <name val="Arial"/>
    </font>
    <font>
      <u/>
      <color rgb="FF1155CC"/>
      <name val="Arial"/>
    </font>
    <font>
      <u/>
      <color rgb="FF1155CC"/>
      <name val="Arial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Arial"/>
    </font>
    <font>
      <u/>
      <color rgb="FF0000FF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6F8F9"/>
        <bgColor rgb="FFF6F8F9"/>
      </patternFill>
    </fill>
    <fill>
      <patternFill patternType="solid">
        <fgColor rgb="FFDFE4EC"/>
        <bgColor rgb="FFDFE4EC"/>
      </patternFill>
    </fill>
    <fill>
      <patternFill patternType="solid">
        <fgColor rgb="FF3D85C6"/>
        <bgColor rgb="FF3D85C6"/>
      </patternFill>
    </fill>
    <fill>
      <patternFill patternType="solid">
        <fgColor rgb="FFF4F6F8"/>
        <bgColor rgb="FFF4F6F8"/>
      </patternFill>
    </fill>
    <fill>
      <patternFill patternType="solid">
        <fgColor rgb="FFE67C73"/>
        <bgColor rgb="FFE67C73"/>
      </patternFill>
    </fill>
  </fills>
  <borders count="3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ck">
        <color rgb="FF8093B3"/>
      </bottom>
    </border>
    <border>
      <left style="thin">
        <color rgb="FFFFFFFF"/>
      </left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</border>
    <border>
      <top style="thin">
        <color rgb="FFFFFFFF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38416A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38416A"/>
      </right>
      <top style="thin">
        <color rgb="FFD9D9D9"/>
      </top>
      <bottom style="thin">
        <color rgb="FFD9D9D9"/>
      </bottom>
    </border>
    <border>
      <left style="thin">
        <color rgb="FF38416A"/>
      </left>
      <right style="thin">
        <color rgb="FFD9D9D9"/>
      </right>
      <top style="thin">
        <color rgb="FFD9D9D9"/>
      </top>
      <bottom style="thin">
        <color rgb="FF38416A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38416A"/>
      </bottom>
    </border>
    <border>
      <left style="thin">
        <color rgb="FFD9D9D9"/>
      </left>
      <right style="thin">
        <color rgb="FF38416A"/>
      </right>
      <top style="thin">
        <color rgb="FFD9D9D9"/>
      </top>
      <bottom style="thin">
        <color rgb="FF38416A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10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6" fillId="4" fontId="6" numFmtId="0" xfId="0" applyAlignment="1" applyBorder="1" applyFill="1" applyFont="1">
      <alignment horizontal="center" readingOrder="0" shrinkToFit="0" vertical="center" wrapText="1"/>
    </xf>
    <xf borderId="6" fillId="4" fontId="3" numFmtId="0" xfId="0" applyAlignment="1" applyBorder="1" applyFont="1">
      <alignment horizontal="center" readingOrder="0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2" fillId="4" fontId="3" numFmtId="0" xfId="0" applyAlignment="1" applyBorder="1" applyFont="1">
      <alignment horizontal="center" readingOrder="0" shrinkToFit="0" vertical="center" wrapText="1"/>
    </xf>
    <xf borderId="2" fillId="4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0" fillId="4" fontId="7" numFmtId="1" xfId="0" applyAlignment="1" applyFont="1" applyNumberFormat="1">
      <alignment horizontal="center" readingOrder="0" shrinkToFit="0" vertical="center" wrapText="1"/>
    </xf>
    <xf borderId="0" fillId="4" fontId="7" numFmtId="4" xfId="0" applyAlignment="1" applyFont="1" applyNumberFormat="1">
      <alignment horizontal="center" readingOrder="0" shrinkToFit="0" vertical="center" wrapText="1"/>
    </xf>
    <xf borderId="0" fillId="4" fontId="7" numFmtId="9" xfId="0" applyAlignment="1" applyFont="1" applyNumberForma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0" fillId="0" fontId="9" numFmtId="1" xfId="0" applyAlignment="1" applyFont="1" applyNumberFormat="1">
      <alignment horizontal="center" vertical="center"/>
    </xf>
    <xf borderId="0" fillId="0" fontId="9" numFmtId="4" xfId="0" applyAlignment="1" applyFont="1" applyNumberFormat="1">
      <alignment horizontal="center" vertical="center"/>
    </xf>
    <xf borderId="0" fillId="0" fontId="9" numFmtId="9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2" numFmtId="9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9" xfId="0" applyAlignment="1" applyFont="1" applyNumberFormat="1">
      <alignment horizontal="center" vertical="center"/>
    </xf>
    <xf borderId="6" fillId="4" fontId="6" numFmtId="0" xfId="0" applyAlignment="1" applyBorder="1" applyFont="1">
      <alignment horizontal="center" readingOrder="0" shrinkToFit="0" vertical="center" wrapText="1"/>
    </xf>
    <xf borderId="6" fillId="4" fontId="3" numFmtId="0" xfId="0" applyAlignment="1" applyBorder="1" applyFont="1">
      <alignment horizontal="center" readingOrder="0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3" fillId="4" fontId="2" numFmtId="0" xfId="0" applyBorder="1" applyFont="1"/>
    <xf borderId="2" fillId="4" fontId="6" numFmtId="0" xfId="0" applyAlignment="1" applyBorder="1" applyFon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0" fillId="5" fontId="7" numFmtId="0" xfId="0" applyAlignment="1" applyFill="1" applyFont="1">
      <alignment horizontal="center" readingOrder="0" shrinkToFit="0" vertical="center" wrapText="1"/>
    </xf>
    <xf borderId="0" fillId="5" fontId="7" numFmtId="9" xfId="0" applyAlignment="1" applyFont="1" applyNumberFormat="1">
      <alignment horizontal="center" readingOrder="0" shrinkToFit="0" vertical="center" wrapText="1"/>
    </xf>
    <xf borderId="0" fillId="5" fontId="3" numFmtId="0" xfId="0" applyAlignment="1" applyFont="1">
      <alignment horizontal="center" readingOrder="0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6" fontId="13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2" fillId="7" fontId="14" numFmtId="0" xfId="0" applyAlignment="1" applyBorder="1" applyFill="1" applyFont="1">
      <alignment horizontal="center" readingOrder="0"/>
    </xf>
    <xf borderId="2" fillId="8" fontId="14" numFmtId="0" xfId="0" applyAlignment="1" applyBorder="1" applyFill="1" applyFont="1">
      <alignment horizontal="center" readingOrder="0"/>
    </xf>
    <xf borderId="2" fillId="9" fontId="14" numFmtId="0" xfId="0" applyAlignment="1" applyBorder="1" applyFill="1" applyFont="1">
      <alignment horizontal="center" readingOrder="0"/>
    </xf>
    <xf borderId="2" fillId="10" fontId="14" numFmtId="0" xfId="0" applyAlignment="1" applyBorder="1" applyFill="1" applyFont="1">
      <alignment horizontal="center" readingOrder="0"/>
    </xf>
    <xf borderId="1" fillId="6" fontId="5" numFmtId="164" xfId="0" applyAlignment="1" applyBorder="1" applyFont="1" applyNumberFormat="1">
      <alignment horizontal="center" readingOrder="0" vertical="center"/>
    </xf>
    <xf borderId="2" fillId="7" fontId="15" numFmtId="164" xfId="0" applyAlignment="1" applyBorder="1" applyFont="1" applyNumberFormat="1">
      <alignment horizontal="center" readingOrder="0"/>
    </xf>
    <xf borderId="2" fillId="8" fontId="15" numFmtId="164" xfId="0" applyAlignment="1" applyBorder="1" applyFont="1" applyNumberFormat="1">
      <alignment horizontal="center" readingOrder="0"/>
    </xf>
    <xf borderId="2" fillId="9" fontId="15" numFmtId="164" xfId="0" applyAlignment="1" applyBorder="1" applyFont="1" applyNumberFormat="1">
      <alignment horizontal="center" readingOrder="0"/>
    </xf>
    <xf borderId="2" fillId="10" fontId="15" numFmtId="164" xfId="0" applyAlignment="1" applyBorder="1" applyFont="1" applyNumberFormat="1">
      <alignment horizontal="center" readingOrder="0"/>
    </xf>
    <xf borderId="8" fillId="0" fontId="12" numFmtId="0" xfId="0" applyAlignment="1" applyBorder="1" applyFont="1">
      <alignment horizontal="center" readingOrder="0" vertical="center"/>
    </xf>
    <xf borderId="9" fillId="0" fontId="12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horizontal="center" vertical="center"/>
    </xf>
    <xf borderId="8" fillId="8" fontId="12" numFmtId="0" xfId="0" applyAlignment="1" applyBorder="1" applyFont="1">
      <alignment horizontal="center" vertical="center"/>
    </xf>
    <xf borderId="8" fillId="8" fontId="12" numFmtId="0" xfId="0" applyAlignment="1" applyBorder="1" applyFont="1">
      <alignment horizontal="center" readingOrder="0" vertical="center"/>
    </xf>
    <xf borderId="9" fillId="8" fontId="12" numFmtId="0" xfId="0" applyAlignment="1" applyBorder="1" applyFont="1">
      <alignment horizontal="center" readingOrder="0" vertical="center"/>
    </xf>
    <xf borderId="8" fillId="9" fontId="12" numFmtId="0" xfId="0" applyAlignment="1" applyBorder="1" applyFont="1">
      <alignment horizontal="center" vertical="center"/>
    </xf>
    <xf borderId="8" fillId="9" fontId="12" numFmtId="0" xfId="0" applyAlignment="1" applyBorder="1" applyFont="1">
      <alignment horizontal="center" readingOrder="0" vertical="center"/>
    </xf>
    <xf borderId="9" fillId="9" fontId="12" numFmtId="0" xfId="0" applyAlignment="1" applyBorder="1" applyFont="1">
      <alignment horizontal="center" readingOrder="0" vertical="center"/>
    </xf>
    <xf borderId="8" fillId="10" fontId="12" numFmtId="0" xfId="0" applyAlignment="1" applyBorder="1" applyFont="1">
      <alignment horizontal="center" vertical="center"/>
    </xf>
    <xf borderId="8" fillId="10" fontId="12" numFmtId="0" xfId="0" applyAlignment="1" applyBorder="1" applyFont="1">
      <alignment horizontal="center" readingOrder="0" vertical="center"/>
    </xf>
    <xf borderId="9" fillId="10" fontId="12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0" fillId="0" fontId="0" numFmtId="0" xfId="0" applyAlignment="1" applyFont="1">
      <alignment horizontal="center" readingOrder="0" vertical="center"/>
    </xf>
    <xf borderId="10" fillId="0" fontId="10" numFmtId="0" xfId="0" applyAlignment="1" applyBorder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10" fillId="0" fontId="10" numFmtId="0" xfId="0" applyAlignment="1" applyBorder="1" applyFont="1">
      <alignment vertical="center"/>
    </xf>
    <xf borderId="0" fillId="0" fontId="18" numFmtId="0" xfId="0" applyAlignment="1" applyFont="1">
      <alignment horizontal="center" vertical="center"/>
    </xf>
    <xf borderId="0" fillId="0" fontId="16" numFmtId="0" xfId="0" applyFont="1"/>
    <xf borderId="10" fillId="0" fontId="10" numFmtId="0" xfId="0" applyBorder="1" applyFont="1"/>
    <xf borderId="0" fillId="0" fontId="17" numFmtId="0" xfId="0" applyAlignment="1" applyFont="1">
      <alignment horizontal="center" vertical="center"/>
    </xf>
    <xf borderId="0" fillId="0" fontId="0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10" fillId="0" fontId="10" numFmtId="0" xfId="0" applyAlignment="1" applyBorder="1" applyFont="1">
      <alignment vertical="center"/>
    </xf>
    <xf borderId="10" fillId="0" fontId="10" numFmtId="0" xfId="0" applyAlignment="1" applyBorder="1" applyFont="1">
      <alignment horizontal="center" vertical="center"/>
    </xf>
    <xf borderId="0" fillId="0" fontId="20" numFmtId="0" xfId="0" applyFont="1"/>
    <xf borderId="0" fillId="0" fontId="19" numFmtId="0" xfId="0" applyFont="1"/>
    <xf borderId="0" fillId="0" fontId="10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164" xfId="0" applyAlignment="1" applyFont="1" applyNumberFormat="1">
      <alignment shrinkToFit="0" vertical="center" wrapText="0"/>
    </xf>
    <xf borderId="11" fillId="0" fontId="12" numFmtId="0" xfId="0" applyAlignment="1" applyBorder="1" applyFont="1">
      <alignment readingOrder="0"/>
    </xf>
    <xf borderId="12" fillId="0" fontId="12" numFmtId="0" xfId="0" applyAlignment="1" applyBorder="1" applyFont="1">
      <alignment readingOrder="0"/>
    </xf>
    <xf borderId="13" fillId="0" fontId="2" numFmtId="0" xfId="0" applyBorder="1" applyFont="1"/>
    <xf borderId="0" fillId="0" fontId="12" numFmtId="0" xfId="0" applyFont="1"/>
    <xf borderId="0" fillId="0" fontId="10" numFmtId="0" xfId="0" applyFont="1"/>
    <xf borderId="14" fillId="0" fontId="21" numFmtId="0" xfId="0" applyAlignment="1" applyBorder="1" applyFont="1">
      <alignment horizontal="center" readingOrder="0" vertical="center"/>
    </xf>
    <xf borderId="15" fillId="0" fontId="2" numFmtId="0" xfId="0" applyBorder="1" applyFont="1"/>
    <xf borderId="16" fillId="0" fontId="2" numFmtId="0" xfId="0" applyBorder="1" applyFont="1"/>
    <xf borderId="14" fillId="11" fontId="10" numFmtId="0" xfId="0" applyAlignment="1" applyBorder="1" applyFill="1" applyFont="1">
      <alignment horizontal="center"/>
    </xf>
    <xf borderId="12" fillId="0" fontId="22" numFmtId="0" xfId="0" applyAlignment="1" applyBorder="1" applyFont="1">
      <alignment horizontal="center" readingOrder="0" vertical="center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0" fillId="0" fontId="21" numFmtId="0" xfId="0" applyAlignment="1" applyFont="1">
      <alignment horizontal="center" readingOrder="0" vertical="center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2" fillId="12" fontId="12" numFmtId="0" xfId="0" applyAlignment="1" applyBorder="1" applyFill="1" applyFont="1">
      <alignment horizontal="center" readingOrder="0"/>
    </xf>
    <xf borderId="23" fillId="13" fontId="10" numFmtId="0" xfId="0" applyBorder="1" applyFill="1" applyFont="1"/>
    <xf borderId="18" fillId="13" fontId="10" numFmtId="0" xfId="0" applyBorder="1" applyFont="1"/>
    <xf borderId="0" fillId="13" fontId="10" numFmtId="0" xfId="0" applyFont="1"/>
    <xf borderId="12" fillId="11" fontId="23" numFmtId="0" xfId="0" applyAlignment="1" applyBorder="1" applyFont="1">
      <alignment readingOrder="0"/>
    </xf>
    <xf borderId="17" fillId="11" fontId="23" numFmtId="0" xfId="0" applyAlignment="1" applyBorder="1" applyFont="1">
      <alignment readingOrder="0"/>
    </xf>
    <xf borderId="13" fillId="11" fontId="23" numFmtId="0" xfId="0" applyAlignment="1" applyBorder="1" applyFont="1">
      <alignment readingOrder="0"/>
    </xf>
    <xf borderId="11" fillId="14" fontId="23" numFmtId="0" xfId="0" applyAlignment="1" applyBorder="1" applyFill="1" applyFont="1">
      <alignment readingOrder="0"/>
    </xf>
    <xf borderId="11" fillId="14" fontId="23" numFmtId="0" xfId="0" applyBorder="1" applyFont="1"/>
    <xf borderId="18" fillId="0" fontId="10" numFmtId="0" xfId="0" applyBorder="1" applyFont="1"/>
    <xf borderId="0" fillId="0" fontId="10" numFmtId="164" xfId="0" applyFont="1" applyNumberFormat="1"/>
    <xf borderId="11" fillId="0" fontId="24" numFmtId="0" xfId="0" applyBorder="1" applyFont="1"/>
    <xf borderId="11" fillId="0" fontId="24" numFmtId="10" xfId="0" applyBorder="1" applyFont="1" applyNumberFormat="1"/>
    <xf borderId="0" fillId="0" fontId="10" numFmtId="10" xfId="0" applyFont="1" applyNumberFormat="1"/>
    <xf borderId="12" fillId="14" fontId="23" numFmtId="0" xfId="0" applyAlignment="1" applyBorder="1" applyFont="1">
      <alignment readingOrder="0"/>
    </xf>
    <xf borderId="17" fillId="14" fontId="23" numFmtId="0" xfId="0" applyAlignment="1" applyBorder="1" applyFont="1">
      <alignment readingOrder="0"/>
    </xf>
    <xf borderId="19" fillId="13" fontId="10" numFmtId="0" xfId="0" applyBorder="1" applyFont="1"/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15" fontId="24" numFmtId="0" xfId="0" applyAlignment="1" applyFill="1" applyFont="1">
      <alignment horizontal="center" readingOrder="0" vertical="center"/>
    </xf>
    <xf borderId="24" fillId="0" fontId="24" numFmtId="0" xfId="0" applyAlignment="1" applyBorder="1" applyFont="1">
      <alignment horizontal="center" readingOrder="0" vertical="center"/>
    </xf>
    <xf borderId="24" fillId="0" fontId="24" numFmtId="0" xfId="0" applyAlignment="1" applyBorder="1" applyFont="1">
      <alignment horizontal="center" vertical="center"/>
    </xf>
    <xf borderId="0" fillId="0" fontId="24" numFmtId="0" xfId="0" applyAlignment="1" applyFont="1">
      <alignment horizontal="center" readingOrder="0" vertical="center"/>
    </xf>
    <xf borderId="24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readingOrder="0" vertical="center"/>
    </xf>
    <xf borderId="0" fillId="0" fontId="25" numFmtId="0" xfId="0" applyAlignment="1" applyFont="1">
      <alignment horizontal="center" vertical="center"/>
    </xf>
    <xf borderId="0" fillId="0" fontId="10" numFmtId="164" xfId="0" applyAlignment="1" applyFont="1" applyNumberForma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15" fontId="10" numFmtId="0" xfId="0" applyFont="1"/>
    <xf borderId="0" fillId="0" fontId="10" numFmtId="0" xfId="0" applyFont="1"/>
    <xf borderId="10" fillId="0" fontId="10" numFmtId="10" xfId="0" applyBorder="1" applyFont="1" applyNumberFormat="1"/>
    <xf borderId="0" fillId="0" fontId="10" numFmtId="10" xfId="0" applyFont="1" applyNumberFormat="1"/>
    <xf borderId="0" fillId="0" fontId="26" numFmtId="0" xfId="0" applyFont="1"/>
    <xf borderId="0" fillId="0" fontId="10" numFmtId="0" xfId="0" applyAlignment="1" applyFont="1">
      <alignment readingOrder="0"/>
    </xf>
    <xf borderId="0" fillId="16" fontId="10" numFmtId="164" xfId="0" applyAlignment="1" applyFill="1" applyFont="1" applyNumberFormat="1">
      <alignment readingOrder="0" shrinkToFit="0" vertical="center" wrapText="0"/>
    </xf>
    <xf borderId="0" fillId="16" fontId="10" numFmtId="0" xfId="0" applyAlignment="1" applyFont="1">
      <alignment shrinkToFit="0" vertical="center" wrapText="0"/>
    </xf>
    <xf borderId="0" fillId="16" fontId="10" numFmtId="0" xfId="0" applyAlignment="1" applyFont="1">
      <alignment shrinkToFit="0" vertical="center" wrapText="0"/>
    </xf>
    <xf borderId="0" fillId="0" fontId="10" numFmtId="164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0" numFmtId="1" xfId="0" applyAlignment="1" applyFont="1" applyNumberFormat="1">
      <alignment shrinkToFit="0" vertical="center" wrapText="0"/>
    </xf>
    <xf borderId="0" fillId="0" fontId="10" numFmtId="10" xfId="0" applyAlignment="1" applyFont="1" applyNumberFormat="1">
      <alignment shrinkToFit="0" vertical="center" wrapText="0"/>
    </xf>
    <xf borderId="0" fillId="0" fontId="10" numFmtId="4" xfId="0" applyAlignment="1" applyFont="1" applyNumberForma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164" xfId="0" applyAlignment="1" applyFont="1" applyNumberFormat="1">
      <alignment readingOrder="0"/>
    </xf>
    <xf borderId="0" fillId="0" fontId="10" numFmtId="0" xfId="0" applyFont="1"/>
    <xf borderId="6" fillId="0" fontId="24" numFmtId="0" xfId="0" applyAlignment="1" applyBorder="1" applyFont="1">
      <alignment horizontal="center" readingOrder="0" vertical="center"/>
    </xf>
    <xf borderId="6" fillId="0" fontId="24" numFmtId="0" xfId="0" applyAlignment="1" applyBorder="1" applyFont="1">
      <alignment horizontal="center" vertical="center"/>
    </xf>
    <xf borderId="0" fillId="0" fontId="27" numFmtId="164" xfId="0" applyAlignment="1" applyFont="1" applyNumberFormat="1">
      <alignment horizontal="right" vertical="bottom"/>
    </xf>
    <xf borderId="0" fillId="17" fontId="10" numFmtId="164" xfId="0" applyAlignment="1" applyFill="1" applyFont="1" applyNumberFormat="1">
      <alignment readingOrder="0"/>
    </xf>
    <xf borderId="0" fillId="17" fontId="10" numFmtId="0" xfId="0" applyAlignment="1" applyFont="1">
      <alignment readingOrder="0"/>
    </xf>
    <xf borderId="0" fillId="17" fontId="10" numFmtId="0" xfId="0" applyFont="1"/>
    <xf borderId="0" fillId="5" fontId="10" numFmtId="164" xfId="0" applyAlignment="1" applyFont="1" applyNumberFormat="1">
      <alignment readingOrder="0"/>
    </xf>
    <xf borderId="0" fillId="5" fontId="10" numFmtId="0" xfId="0" applyAlignment="1" applyFont="1">
      <alignment readingOrder="0"/>
    </xf>
    <xf borderId="0" fillId="5" fontId="10" numFmtId="0" xfId="0" applyFont="1"/>
    <xf borderId="0" fillId="17" fontId="27" numFmtId="164" xfId="0" applyAlignment="1" applyFont="1" applyNumberFormat="1">
      <alignment horizontal="right" vertical="bottom"/>
    </xf>
    <xf borderId="0" fillId="5" fontId="27" numFmtId="164" xfId="0" applyAlignment="1" applyFont="1" applyNumberFormat="1">
      <alignment horizontal="right" vertical="bottom"/>
    </xf>
    <xf borderId="0" fillId="5" fontId="10" numFmtId="0" xfId="0" applyAlignment="1" applyFont="1">
      <alignment readingOrder="0"/>
    </xf>
    <xf borderId="0" fillId="17" fontId="10" numFmtId="0" xfId="0" applyAlignment="1" applyFont="1">
      <alignment readingOrder="0"/>
    </xf>
    <xf borderId="0" fillId="17" fontId="27" numFmtId="164" xfId="0" applyAlignment="1" applyFont="1" applyNumberFormat="1">
      <alignment horizontal="right" readingOrder="0" vertical="bottom"/>
    </xf>
    <xf borderId="0" fillId="17" fontId="10" numFmtId="0" xfId="0" applyFont="1"/>
    <xf borderId="0" fillId="5" fontId="27" numFmtId="164" xfId="0" applyAlignment="1" applyFont="1" applyNumberFormat="1">
      <alignment horizontal="right" readingOrder="0" vertical="bottom"/>
    </xf>
    <xf borderId="0" fillId="5" fontId="10" numFmtId="0" xfId="0" applyFont="1"/>
    <xf borderId="0" fillId="0" fontId="27" numFmtId="0" xfId="0" applyAlignment="1" applyFont="1">
      <alignment horizontal="right" vertical="bottom"/>
    </xf>
    <xf borderId="0" fillId="17" fontId="27" numFmtId="0" xfId="0" applyAlignment="1" applyFont="1">
      <alignment horizontal="right" vertical="bottom"/>
    </xf>
    <xf borderId="0" fillId="17" fontId="27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5" fontId="27" numFmtId="0" xfId="0" applyAlignment="1" applyFont="1">
      <alignment horizontal="right" vertical="bottom"/>
    </xf>
    <xf borderId="0" fillId="5" fontId="27" numFmtId="0" xfId="0" applyAlignment="1" applyFont="1">
      <alignment vertical="bottom"/>
    </xf>
    <xf borderId="25" fillId="18" fontId="28" numFmtId="0" xfId="0" applyAlignment="1" applyBorder="1" applyFill="1" applyFont="1">
      <alignment readingOrder="0" vertical="bottom"/>
    </xf>
    <xf borderId="0" fillId="19" fontId="29" numFmtId="0" xfId="0" applyAlignment="1" applyFill="1" applyFont="1">
      <alignment readingOrder="0" vertical="bottom"/>
    </xf>
    <xf borderId="0" fillId="20" fontId="3" numFmtId="0" xfId="0" applyAlignment="1" applyFill="1" applyFont="1">
      <alignment vertical="bottom"/>
    </xf>
    <xf borderId="26" fillId="20" fontId="3" numFmtId="0" xfId="0" applyAlignment="1" applyBorder="1" applyFont="1">
      <alignment vertical="bottom"/>
    </xf>
    <xf borderId="27" fillId="20" fontId="3" numFmtId="0" xfId="0" applyAlignment="1" applyBorder="1" applyFont="1">
      <alignment vertical="bottom"/>
    </xf>
    <xf borderId="0" fillId="5" fontId="3" numFmtId="0" xfId="0" applyAlignment="1" applyFont="1">
      <alignment horizontal="right" vertical="bottom"/>
    </xf>
    <xf borderId="0" fillId="11" fontId="3" numFmtId="0" xfId="0" applyAlignment="1" applyFont="1">
      <alignment horizontal="right" vertical="bottom"/>
    </xf>
    <xf borderId="0" fillId="21" fontId="3" numFmtId="10" xfId="0" applyAlignment="1" applyFill="1" applyFont="1" applyNumberFormat="1">
      <alignment horizontal="right" vertical="bottom"/>
    </xf>
    <xf borderId="28" fillId="20" fontId="3" numFmtId="0" xfId="0" applyAlignment="1" applyBorder="1" applyFont="1">
      <alignment vertical="bottom"/>
    </xf>
    <xf borderId="29" fillId="18" fontId="3" numFmtId="0" xfId="0" applyAlignment="1" applyBorder="1" applyFont="1">
      <alignment vertical="bottom"/>
    </xf>
    <xf borderId="29" fillId="18" fontId="3" numFmtId="0" xfId="0" applyAlignment="1" applyBorder="1" applyFont="1">
      <alignment horizontal="right" vertical="bottom"/>
    </xf>
    <xf borderId="26" fillId="20" fontId="3" numFmtId="0" xfId="0" applyAlignment="1" applyBorder="1" applyFont="1">
      <alignment readingOrder="0" vertical="bottom"/>
    </xf>
    <xf borderId="27" fillId="20" fontId="3" numFmtId="0" xfId="0" applyAlignment="1" applyBorder="1" applyFont="1">
      <alignment readingOrder="0" vertical="bottom"/>
    </xf>
    <xf borderId="0" fillId="5" fontId="3" numFmtId="0" xfId="0" applyAlignment="1" applyFont="1">
      <alignment horizontal="right" readingOrder="0" vertical="bottom"/>
    </xf>
    <xf borderId="0" fillId="0" fontId="30" numFmtId="0" xfId="0" applyAlignment="1" applyFont="1">
      <alignment readingOrder="0" shrinkToFit="0" vertical="center" wrapText="0"/>
    </xf>
    <xf borderId="0" fillId="0" fontId="31" numFmtId="0" xfId="0" applyAlignment="1" applyFont="1">
      <alignment readingOrder="0" shrinkToFit="0" vertical="center" wrapText="0"/>
    </xf>
    <xf borderId="0" fillId="0" fontId="32" numFmtId="0" xfId="0" applyAlignment="1" applyFont="1">
      <alignment readingOrder="0" shrinkToFit="0" vertical="center" wrapText="0"/>
    </xf>
    <xf borderId="0" fillId="0" fontId="33" numFmtId="0" xfId="0" applyAlignment="1" applyFont="1">
      <alignment readingOrder="0" shrinkToFit="0" vertical="center" wrapText="0"/>
    </xf>
    <xf borderId="0" fillId="0" fontId="34" numFmtId="0" xfId="0" applyAlignment="1" applyFont="1">
      <alignment horizontal="left" readingOrder="0" shrinkToFit="0" vertical="center" wrapText="1"/>
    </xf>
    <xf borderId="6" fillId="14" fontId="35" numFmtId="0" xfId="0" applyAlignment="1" applyBorder="1" applyFont="1">
      <alignment shrinkToFit="0" vertical="center" wrapText="0"/>
    </xf>
    <xf borderId="6" fillId="14" fontId="3" numFmtId="0" xfId="0" applyAlignment="1" applyBorder="1" applyFont="1">
      <alignment shrinkToFit="0" vertical="center" wrapText="0"/>
    </xf>
    <xf borderId="6" fillId="14" fontId="36" numFmtId="0" xfId="0" applyAlignment="1" applyBorder="1" applyFont="1">
      <alignment shrinkToFit="0" vertical="center" wrapText="1"/>
    </xf>
    <xf borderId="6" fillId="5" fontId="35" numFmtId="0" xfId="0" applyAlignment="1" applyBorder="1" applyFont="1">
      <alignment shrinkToFit="0" vertical="center" wrapText="0"/>
    </xf>
    <xf borderId="6" fillId="5" fontId="35" numFmtId="0" xfId="0" applyAlignment="1" applyBorder="1" applyFont="1">
      <alignment shrinkToFit="0" vertical="center" wrapText="1"/>
    </xf>
    <xf borderId="6" fillId="5" fontId="37" numFmtId="0" xfId="0" applyAlignment="1" applyBorder="1" applyFont="1">
      <alignment shrinkToFit="0" vertical="center" wrapText="1"/>
    </xf>
    <xf borderId="6" fillId="5" fontId="3" numFmtId="0" xfId="0" applyAlignment="1" applyBorder="1" applyFont="1">
      <alignment shrinkToFit="0" vertical="center" wrapText="0"/>
    </xf>
    <xf borderId="6" fillId="5" fontId="38" numFmtId="0" xfId="0" applyAlignment="1" applyBorder="1" applyFont="1">
      <alignment readingOrder="0" shrinkToFit="0" vertical="center" wrapText="0"/>
    </xf>
    <xf borderId="6" fillId="14" fontId="39" numFmtId="0" xfId="0" applyAlignment="1" applyBorder="1" applyFont="1">
      <alignment readingOrder="0" shrinkToFit="0" vertical="center" wrapText="1"/>
    </xf>
    <xf borderId="6" fillId="14" fontId="35" numFmtId="0" xfId="0" applyAlignment="1" applyBorder="1" applyFont="1">
      <alignment shrinkToFit="0" vertical="center" wrapText="1"/>
    </xf>
    <xf borderId="6" fillId="5" fontId="40" numFmtId="0" xfId="0" applyAlignment="1" applyBorder="1" applyFont="1">
      <alignment shrinkToFit="0" vertical="bottom" wrapText="0"/>
    </xf>
    <xf borderId="6" fillId="5" fontId="40" numFmtId="0" xfId="0" applyAlignment="1" applyBorder="1" applyFont="1">
      <alignment shrinkToFit="0" vertical="center" wrapText="0"/>
    </xf>
    <xf borderId="6" fillId="14" fontId="35" numFmtId="0" xfId="0" applyAlignment="1" applyBorder="1" applyFont="1">
      <alignment readingOrder="0" shrinkToFit="0" vertical="center" wrapText="0"/>
    </xf>
    <xf borderId="6" fillId="14" fontId="3" numFmtId="0" xfId="0" applyAlignment="1" applyBorder="1" applyFont="1">
      <alignment shrinkToFit="0" vertical="bottom" wrapText="0"/>
    </xf>
    <xf borderId="6" fillId="14" fontId="41" numFmtId="0" xfId="0" applyAlignment="1" applyBorder="1" applyFont="1">
      <alignment shrinkToFit="0" vertical="bottom" wrapText="1"/>
    </xf>
    <xf borderId="6" fillId="5" fontId="35" numFmtId="0" xfId="0" applyAlignment="1" applyBorder="1" applyFont="1">
      <alignment readingOrder="0" shrinkToFit="0" vertical="center" wrapText="0"/>
    </xf>
    <xf borderId="6" fillId="5" fontId="3" numFmtId="0" xfId="0" applyAlignment="1" applyBorder="1" applyFont="1">
      <alignment shrinkToFit="0" vertical="bottom" wrapText="0"/>
    </xf>
    <xf borderId="6" fillId="5" fontId="42" numFmtId="0" xfId="0" applyAlignment="1" applyBorder="1" applyFont="1">
      <alignment shrinkToFit="0" vertical="bottom" wrapText="1"/>
    </xf>
    <xf borderId="6" fillId="14" fontId="40" numFmtId="0" xfId="0" applyAlignment="1" applyBorder="1" applyFont="1">
      <alignment shrinkToFit="0" vertical="center" wrapText="0"/>
    </xf>
    <xf borderId="6" fillId="5" fontId="43" numFmtId="0" xfId="0" applyAlignment="1" applyBorder="1" applyFont="1">
      <alignment readingOrder="0" shrinkToFit="0" vertical="center" wrapText="1"/>
    </xf>
    <xf borderId="6" fillId="14" fontId="35" numFmtId="165" xfId="0" applyAlignment="1" applyBorder="1" applyFont="1" applyNumberFormat="1">
      <alignment shrinkToFit="0" vertical="center" wrapText="0"/>
    </xf>
    <xf borderId="6" fillId="5" fontId="35" numFmtId="165" xfId="0" applyAlignment="1" applyBorder="1" applyFont="1" applyNumberFormat="1">
      <alignment shrinkToFit="0" vertical="center" wrapText="0"/>
    </xf>
    <xf borderId="30" fillId="5" fontId="35" numFmtId="0" xfId="0" applyAlignment="1" applyBorder="1" applyFont="1">
      <alignment shrinkToFit="0" vertical="center" wrapText="0"/>
    </xf>
    <xf borderId="30" fillId="14" fontId="35" numFmtId="0" xfId="0" applyAlignment="1" applyBorder="1" applyFont="1">
      <alignment shrinkToFit="0" vertical="center" wrapText="0"/>
    </xf>
    <xf borderId="6" fillId="14" fontId="44" numFmtId="0" xfId="0" applyAlignment="1" applyBorder="1" applyFont="1">
      <alignment readingOrder="0" shrinkToFit="0" vertical="center" wrapText="1"/>
    </xf>
    <xf borderId="6" fillId="14" fontId="45" numFmtId="0" xfId="0" applyAlignment="1" applyBorder="1" applyFont="1">
      <alignment readingOrder="0" shrinkToFit="0" vertical="center" wrapText="1"/>
    </xf>
    <xf borderId="6" fillId="14" fontId="46" numFmtId="0" xfId="0" applyAlignment="1" applyBorder="1" applyFont="1">
      <alignment readingOrder="0" shrinkToFit="0" vertical="center" wrapText="0"/>
    </xf>
    <xf borderId="31" fillId="5" fontId="35" numFmtId="0" xfId="0" applyAlignment="1" applyBorder="1" applyFont="1">
      <alignment shrinkToFit="0" vertical="center" wrapText="0"/>
    </xf>
    <xf borderId="6" fillId="14" fontId="40" numFmtId="0" xfId="0" applyAlignment="1" applyBorder="1" applyFont="1">
      <alignment shrinkToFit="0" vertical="center" wrapText="1"/>
    </xf>
    <xf borderId="6" fillId="14" fontId="40" numFmtId="0" xfId="0" applyAlignment="1" applyBorder="1" applyFont="1">
      <alignment shrinkToFit="0" vertical="bottom" wrapText="0"/>
    </xf>
    <xf borderId="6" fillId="5" fontId="47" numFmtId="0" xfId="0" applyAlignment="1" applyBorder="1" applyFont="1">
      <alignment readingOrder="0" shrinkToFit="0" vertical="center" wrapText="1"/>
    </xf>
    <xf borderId="31" fillId="14" fontId="35" numFmtId="0" xfId="0" applyAlignment="1" applyBorder="1" applyFont="1">
      <alignment shrinkToFit="0" vertical="center" wrapText="0"/>
    </xf>
    <xf borderId="30" fillId="14" fontId="3" numFmtId="0" xfId="0" applyAlignment="1" applyBorder="1" applyFont="1">
      <alignment shrinkToFit="0" vertical="center" wrapText="0"/>
    </xf>
    <xf borderId="32" fillId="14" fontId="3" numFmtId="0" xfId="0" applyAlignment="1" applyBorder="1" applyFont="1">
      <alignment shrinkToFit="0" vertical="center" wrapText="0"/>
    </xf>
    <xf borderId="30" fillId="5" fontId="3" numFmtId="0" xfId="0" applyAlignment="1" applyBorder="1" applyFont="1">
      <alignment shrinkToFit="0" vertical="center" wrapText="0"/>
    </xf>
    <xf borderId="32" fillId="5" fontId="3" numFmtId="0" xfId="0" applyAlignment="1" applyBorder="1" applyFont="1">
      <alignment shrinkToFit="0" vertical="center" wrapText="0"/>
    </xf>
    <xf borderId="30" fillId="14" fontId="48" numFmtId="0" xfId="0" applyAlignment="1" applyBorder="1" applyFont="1">
      <alignment shrinkToFit="0" vertical="center" wrapText="1"/>
    </xf>
    <xf borderId="32" fillId="14" fontId="49" numFmtId="0" xfId="0" applyAlignment="1" applyBorder="1" applyFont="1">
      <alignment shrinkToFit="0" vertical="center" wrapText="1"/>
    </xf>
    <xf borderId="30" fillId="5" fontId="50" numFmtId="0" xfId="0" applyAlignment="1" applyBorder="1" applyFont="1">
      <alignment shrinkToFit="0" vertical="center" wrapText="1"/>
    </xf>
    <xf borderId="32" fillId="5" fontId="51" numFmtId="0" xfId="0" applyAlignment="1" applyBorder="1" applyFont="1">
      <alignment shrinkToFit="0" vertical="center" wrapText="1"/>
    </xf>
    <xf borderId="30" fillId="5" fontId="35" numFmtId="0" xfId="0" applyAlignment="1" applyBorder="1" applyFont="1">
      <alignment readingOrder="0" shrinkToFit="0" vertical="center" wrapText="0"/>
    </xf>
    <xf borderId="30" fillId="14" fontId="35" numFmtId="0" xfId="0" applyAlignment="1" applyBorder="1" applyFont="1">
      <alignment readingOrder="0" shrinkToFit="0" vertical="center" wrapText="0"/>
    </xf>
    <xf borderId="30" fillId="5" fontId="35" numFmtId="0" xfId="0" applyAlignment="1" applyBorder="1" applyFont="1">
      <alignment shrinkToFit="0" vertical="center" wrapText="1"/>
    </xf>
    <xf borderId="30" fillId="14" fontId="35" numFmtId="0" xfId="0" applyAlignment="1" applyBorder="1" applyFont="1">
      <alignment shrinkToFit="0" vertical="center" wrapText="1"/>
    </xf>
    <xf borderId="30" fillId="14" fontId="35" numFmtId="0" xfId="0" applyAlignment="1" applyBorder="1" applyFont="1">
      <alignment readingOrder="0" shrinkToFit="0" vertical="center" wrapText="1"/>
    </xf>
    <xf borderId="30" fillId="5" fontId="35" numFmtId="0" xfId="0" applyAlignment="1" applyBorder="1" applyFont="1">
      <alignment readingOrder="0" shrinkToFit="0" vertical="center" wrapText="1"/>
    </xf>
    <xf borderId="30" fillId="14" fontId="52" numFmtId="0" xfId="0" applyAlignment="1" applyBorder="1" applyFont="1">
      <alignment readingOrder="0" shrinkToFit="0" vertical="center" wrapText="1"/>
    </xf>
    <xf borderId="32" fillId="14" fontId="53" numFmtId="0" xfId="0" applyAlignment="1" applyBorder="1" applyFont="1">
      <alignment readingOrder="0" shrinkToFit="0" vertical="center" wrapText="1"/>
    </xf>
    <xf borderId="31" fillId="14" fontId="3" numFmtId="0" xfId="0" applyAlignment="1" applyBorder="1" applyFont="1">
      <alignment readingOrder="0" shrinkToFit="0" vertical="center" wrapText="0"/>
    </xf>
    <xf borderId="30" fillId="14" fontId="3" numFmtId="0" xfId="0" applyAlignment="1" applyBorder="1" applyFont="1">
      <alignment readingOrder="0" shrinkToFit="0" vertical="center" wrapText="0"/>
    </xf>
    <xf borderId="30" fillId="14" fontId="54" numFmtId="0" xfId="0" applyAlignment="1" applyBorder="1" applyFont="1">
      <alignment readingOrder="0" shrinkToFit="0" vertical="center" wrapText="0"/>
    </xf>
    <xf borderId="32" fillId="14" fontId="55" numFmtId="0" xfId="0" applyAlignment="1" applyBorder="1" applyFont="1">
      <alignment readingOrder="0" shrinkToFit="0" vertical="center" wrapText="0"/>
    </xf>
    <xf borderId="31" fillId="5" fontId="3" numFmtId="0" xfId="0" applyAlignment="1" applyBorder="1" applyFont="1">
      <alignment shrinkToFit="0" vertical="center" wrapText="0"/>
    </xf>
    <xf borderId="31" fillId="14" fontId="3" numFmtId="0" xfId="0" applyAlignment="1" applyBorder="1" applyFont="1">
      <alignment shrinkToFit="0" vertical="center" wrapText="0"/>
    </xf>
    <xf borderId="33" fillId="5" fontId="3" numFmtId="0" xfId="0" applyAlignment="1" applyBorder="1" applyFont="1">
      <alignment shrinkToFit="0" vertical="center" wrapText="0"/>
    </xf>
    <xf borderId="34" fillId="5" fontId="3" numFmtId="0" xfId="0" applyAlignment="1" applyBorder="1" applyFont="1">
      <alignment shrinkToFit="0" vertical="center" wrapText="0"/>
    </xf>
    <xf borderId="35" fillId="5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  <tableStyles count="19">
    <tableStyle count="3" pivot="0" name="Ranking Temporada-style">
      <tableStyleElement dxfId="1" type="headerRow"/>
      <tableStyleElement dxfId="2" type="firstRowStripe"/>
      <tableStyleElement dxfId="3" type="secondRowStripe"/>
    </tableStyle>
    <tableStyle count="3" pivot="0" name="Ranking Temporada-style 2">
      <tableStyleElement dxfId="1" type="headerRow"/>
      <tableStyleElement dxfId="2" type="firstRowStripe"/>
      <tableStyleElement dxfId="3" type="secondRowStripe"/>
    </tableStyle>
    <tableStyle count="3" pivot="0" name="Ranking Temporada-style 3">
      <tableStyleElement dxfId="1" type="headerRow"/>
      <tableStyleElement dxfId="2" type="firstRowStripe"/>
      <tableStyleElement dxfId="3" type="secondRowStripe"/>
    </tableStyle>
    <tableStyle count="3" pivot="0" name="Ranking Temporada-style 4">
      <tableStyleElement dxfId="1" type="headerRow"/>
      <tableStyleElement dxfId="2" type="firstRowStripe"/>
      <tableStyleElement dxfId="3" type="secondRowStripe"/>
    </tableStyle>
    <tableStyle count="3" pivot="0" name="Ranking mensual-style">
      <tableStyleElement dxfId="1" type="headerRow"/>
      <tableStyleElement dxfId="2" type="firstRowStripe"/>
      <tableStyleElement dxfId="3" type="secondRowStripe"/>
    </tableStyle>
    <tableStyle count="3" pivot="0" name="Ranking mensual-style 2">
      <tableStyleElement dxfId="1" type="headerRow"/>
      <tableStyleElement dxfId="2" type="firstRowStripe"/>
      <tableStyleElement dxfId="3" type="secondRowStripe"/>
    </tableStyle>
    <tableStyle count="3" pivot="0" name="Ranking mensual-style 3">
      <tableStyleElement dxfId="1" type="headerRow"/>
      <tableStyleElement dxfId="2" type="firstRowStripe"/>
      <tableStyleElement dxfId="3" type="secondRowStripe"/>
    </tableStyle>
    <tableStyle count="4" pivot="0" name="Asistencia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Raw Data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3" pivot="0" name="Raw Data-style 2">
      <tableStyleElement dxfId="1" type="headerRow"/>
      <tableStyleElement dxfId="2" type="firstRowStripe"/>
      <tableStyleElement dxfId="3" type="secondRowStripe"/>
    </tableStyle>
    <tableStyle count="3" pivot="0" name="Raw Data-style 3">
      <tableStyleElement dxfId="1" type="headerRow"/>
      <tableStyleElement dxfId="2" type="firstRowStripe"/>
      <tableStyleElement dxfId="3" type="secondRowStripe"/>
    </tableStyle>
    <tableStyle count="3" pivot="0" name="Raw Data-style 4">
      <tableStyleElement dxfId="10" type="headerRow"/>
      <tableStyleElement dxfId="2" type="firstRowStripe"/>
      <tableStyleElement dxfId="11" type="secondRowStripe"/>
    </tableStyle>
    <tableStyle count="4" pivot="0" name="Set_Stats-style">
      <tableStyleElement dxfId="12" type="headerRow"/>
      <tableStyleElement dxfId="2" type="firstRowStripe"/>
      <tableStyleElement dxfId="5" type="secondRowStripe"/>
      <tableStyleElement dxfId="6" size="0" type="wholeTable"/>
    </tableStyle>
    <tableStyle count="4" pivot="0" name="Set_Stats-style 2">
      <tableStyleElement dxfId="12" type="headerRow"/>
      <tableStyleElement dxfId="2" type="firstRowStripe"/>
      <tableStyleElement dxfId="5" type="secondRowStripe"/>
      <tableStyleElement dxfId="6" size="0" type="wholeTable"/>
    </tableStyle>
    <tableStyle count="4" pivot="0" name="Set_Stats-style 3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et_Stats-style 4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Player Refs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et Refs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Deck Info-style">
      <tableStyleElement dxfId="14" type="headerRow"/>
      <tableStyleElement dxfId="2" type="firstRowStripe"/>
      <tableStyleElement dxfId="1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Asistencia!$B$8:$B$30</c:f>
            </c:strRef>
          </c:cat>
          <c:val>
            <c:numRef>
              <c:f>Asistencia!$C$8:$C$38</c:f>
              <c:numCache/>
            </c:numRef>
          </c:val>
        </c:ser>
        <c:axId val="1004943595"/>
        <c:axId val="1748363409"/>
      </c:barChart>
      <c:catAx>
        <c:axId val="1004943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363409"/>
      </c:catAx>
      <c:valAx>
        <c:axId val="17483634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49435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Sets mas jugados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004561"/>
              </a:solidFill>
            </c:spPr>
          </c:dPt>
          <c:dPt>
            <c:idx val="2"/>
            <c:spPr>
              <a:solidFill>
                <a:srgbClr val="FF6F31"/>
              </a:solidFill>
            </c:spPr>
          </c:dPt>
          <c:dPt>
            <c:idx val="3"/>
            <c:spPr>
              <a:solidFill>
                <a:srgbClr val="1C7685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Resultados_Individuales!$Q$16:$Q$19</c:f>
            </c:strRef>
          </c:cat>
          <c:val>
            <c:numRef>
              <c:f>Resultados_Individuales!$T$16:$T$42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Set con mayor Win%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Resultados_Individuales!$Q$16:$Q$19</c:f>
            </c:strRef>
          </c:cat>
          <c:val>
            <c:numRef>
              <c:f>Resultados_Individuales!$U$16:$U$29</c:f>
              <c:numCache/>
            </c:numRef>
          </c:val>
        </c:ser>
        <c:overlap val="100"/>
        <c:axId val="681301480"/>
        <c:axId val="2049596987"/>
      </c:barChart>
      <c:catAx>
        <c:axId val="681301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9596987"/>
      </c:catAx>
      <c:valAx>
        <c:axId val="2049596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13014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1981200</xdr:colOff>
      <xdr:row>10</xdr:row>
      <xdr:rowOff>57150</xdr:rowOff>
    </xdr:from>
    <xdr:ext cx="9772650" cy="53435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152400</xdr:colOff>
      <xdr:row>10</xdr:row>
      <xdr:rowOff>57150</xdr:rowOff>
    </xdr:from>
    <xdr:ext cx="8648700" cy="5343525"/>
    <xdr:pic>
      <xdr:nvPicPr>
        <xdr:cNvPr id="77063114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0</xdr:row>
      <xdr:rowOff>123825</xdr:rowOff>
    </xdr:from>
    <xdr:ext cx="5505450" cy="34861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228600</xdr:colOff>
      <xdr:row>0</xdr:row>
      <xdr:rowOff>123825</xdr:rowOff>
    </xdr:from>
    <xdr:ext cx="5505450" cy="34861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H4" displayName="Table_1" name="Table_1" id="1">
  <tableColumns count="8">
    <tableColumn name="Set" id="1"/>
    <tableColumn name="Deck" id="2"/>
    <tableColumn name="Partidas Jugadas" id="3"/>
    <tableColumn name="Wilson Score" id="4"/>
    <tableColumn name="Win %" id="5"/>
    <tableColumn name="Carta 1" id="6"/>
    <tableColumn name="Carta 2" id="7"/>
    <tableColumn name="Carta 3" id="8"/>
  </tableColumns>
  <tableStyleInfo name="Ranking Temporada-style" showColumnStripes="0" showFirstColumn="1" showLastColumn="1" showRowStripes="1"/>
</table>
</file>

<file path=xl/tables/table2.xml><?xml version="1.0" encoding="utf-8"?>
<table xmlns="http://schemas.openxmlformats.org/spreadsheetml/2006/main" headerRowCount="0" ref="I3" displayName="Table_2" name="Table_2" id="2">
  <tableColumns count="1">
    <tableColumn name="Column1" id="1"/>
  </tableColumns>
  <tableStyleInfo name="Ranking Temporada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J3:N4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Ranking Temporada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O3:R4" displayName="Table_4" name="Table_4" id="4">
  <tableColumns count="4">
    <tableColumn name="Set" id="1"/>
    <tableColumn name="Partidas" id="2"/>
    <tableColumn name="Jugadores" id="3"/>
    <tableColumn name="Imagen" id="4"/>
  </tableColumns>
  <tableStyleInfo name="Ranking Temporada-style 4" showColumnStripes="0" showFirstColumn="1" showLastColumn="1" showRowStripes="1"/>
</table>
</file>

<file path=xl/tables/table5.xml><?xml version="1.0" encoding="utf-8"?>
<table xmlns="http://schemas.openxmlformats.org/spreadsheetml/2006/main" headerRowCount="0" ref="J3" displayName="Table_5" name="Table_5" id="5">
  <tableColumns count="1">
    <tableColumn name="Column1" id="1"/>
  </tableColumns>
  <tableStyleInfo name="Ranking mensu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K3:O4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Ranking mensu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P3:S4" displayName="Table_7" name="Table_7" id="7">
  <tableColumns count="4">
    <tableColumn name="Set" id="1"/>
    <tableColumn name="Partidas" id="2"/>
    <tableColumn name="Jugadores" id="3"/>
    <tableColumn name="Imagen" id="4"/>
  </tableColumns>
  <tableStyleInfo name="Ranking mensual-style 3" showColumnStripes="0" showFirstColumn="1" showLastColumn="1" showRowStripes="1"/>
</table>
</file>

<file path=xl/tables/table8.xml><?xml version="1.0" encoding="utf-8"?>
<table xmlns="http://schemas.openxmlformats.org/spreadsheetml/2006/main" ref="A1:C34" displayName="Asistencia" name="Asistencia" id="8">
  <tableColumns count="3">
    <tableColumn name="ID" id="1"/>
    <tableColumn name="Fecha" id="2"/>
    <tableColumn name="Jugadores" id="3"/>
  </tableColumns>
  <tableStyleInfo name="Asistencia-style" showColumnStripes="0" showFirstColumn="1" showLastColumn="1" showRowStripes="1"/>
</table>
</file>

<file path=xl/tables/table9.xml><?xml version="1.0" encoding="utf-8"?>
<table xmlns="http://schemas.openxmlformats.org/spreadsheetml/2006/main" ref="B1:L123" displayName="RAW" name="RAW" id="9">
  <autoFilter ref="$B$1:$L$123"/>
  <tableColumns count="11">
    <tableColumn name="FECHA" id="1"/>
    <tableColumn name="Jugador" id="2"/>
    <tableColumn name="Set" id="3"/>
    <tableColumn name="Arquetipo" id="4"/>
    <tableColumn name="Wins" id="5"/>
    <tableColumn name="Losses" id="6"/>
    <tableColumn name="Comentarios" id="7"/>
    <tableColumn name="ID TORNEO" id="8"/>
    <tableColumn name="Deck Log" id="9"/>
    <tableColumn name="Image" id="10"/>
    <tableColumn name="Rondas" id="11"/>
  </tableColumns>
  <tableStyleInfo name="Raw Data-style" showColumnStripes="0" showFirstColumn="1" showLastColumn="1" showRowStripes="1"/>
</table>
</file>

<file path=xl/tables/table10.xml><?xml version="1.0" encoding="utf-8"?>
<table xmlns="http://schemas.openxmlformats.org/spreadsheetml/2006/main" ref="N1:S1001" displayName="Table_8" name="Table_8" id="10">
  <tableColumns count="6">
    <tableColumn name="Jugador" id="1"/>
    <tableColumn name="Jugadas" id="2"/>
    <tableColumn name="Wins" id="3"/>
    <tableColumn name="Losses" id="4"/>
    <tableColumn name="WinRate %" id="5"/>
    <tableColumn name="Sets Jugados" id="6"/>
  </tableColumns>
  <tableStyleInfo name="Raw Data-style 2" showColumnStripes="0" showFirstColumn="1" showLastColumn="1" showRowStripes="1"/>
</table>
</file>

<file path=xl/tables/table11.xml><?xml version="1.0" encoding="utf-8"?>
<table xmlns="http://schemas.openxmlformats.org/spreadsheetml/2006/main" ref="U1:Z1001" displayName="Table_9" name="Table_9" id="11">
  <tableColumns count="6">
    <tableColumn name="SET" id="1"/>
    <tableColumn name="Deck" id="2"/>
    <tableColumn name="Wins" id="3"/>
    <tableColumn name="Losses" id="4"/>
    <tableColumn name="Jugadas" id="5"/>
    <tableColumn name="Win Rate" id="6"/>
  </tableColumns>
  <tableStyleInfo name="Raw Data-style 3" showColumnStripes="0" showFirstColumn="1" showLastColumn="1" showRowStripes="1"/>
</table>
</file>

<file path=xl/tables/table12.xml><?xml version="1.0" encoding="utf-8"?>
<table xmlns="http://schemas.openxmlformats.org/spreadsheetml/2006/main" ref="AB1:AD12" displayName="Table_10" name="Table_10" id="12">
  <tableColumns count="3">
    <tableColumn name="Jugador" id="1"/>
    <tableColumn name="Partidas Jugadas" id="2"/>
    <tableColumn name="Sets jugados" id="3"/>
  </tableColumns>
  <tableStyleInfo name="Raw Data-style 4" showColumnStripes="0" showFirstColumn="1" showLastColumn="1" showRowStripes="1"/>
</table>
</file>

<file path=xl/tables/table13.xml><?xml version="1.0" encoding="utf-8"?>
<table xmlns="http://schemas.openxmlformats.org/spreadsheetml/2006/main" ref="A3:C57" displayName="Representacion_Total" name="Representacion_Total" id="13">
  <tableColumns count="3">
    <tableColumn name="SET" id="1"/>
    <tableColumn name="Partidas jugadas" id="2"/>
    <tableColumn name="Jugadores" id="3"/>
  </tableColumns>
  <tableStyleInfo name="Set_Stats-style" showColumnStripes="0" showFirstColumn="1" showLastColumn="1" showRowStripes="1"/>
</table>
</file>

<file path=xl/tables/table14.xml><?xml version="1.0" encoding="utf-8"?>
<table xmlns="http://schemas.openxmlformats.org/spreadsheetml/2006/main" ref="E3:K145" displayName="Winrate_por_Deck_de_la_temporada" name="Winrate_por_Deck_de_la_temporada" id="14">
  <tableColumns count="7">
    <tableColumn name="Set" id="1"/>
    <tableColumn name="Deck" id="2"/>
    <tableColumn name="Wins" id="3"/>
    <tableColumn name="Loses" id="4"/>
    <tableColumn name="Winrate" id="5"/>
    <tableColumn name="Partidas jugadas" id="6"/>
    <tableColumn name="WilsonScore" id="7"/>
  </tableColumns>
  <tableStyleInfo name="Set_Stats-style 2" showColumnStripes="0" showFirstColumn="1" showLastColumn="1" showRowStripes="1"/>
</table>
</file>

<file path=xl/tables/table15.xml><?xml version="1.0" encoding="utf-8"?>
<table xmlns="http://schemas.openxmlformats.org/spreadsheetml/2006/main" ref="N3:P60" displayName="Tabla_Winrate_por_Deck_de_la_temporada" name="Tabla_Winrate_por_Deck_de_la_temporada" id="15">
  <tableColumns count="3">
    <tableColumn name="Set" id="1"/>
    <tableColumn name="Partidas jugadas" id="2"/>
    <tableColumn name="Jugadores" id="3"/>
  </tableColumns>
  <tableStyleInfo name="Set_Stats-style 3" showColumnStripes="0" showFirstColumn="1" showLastColumn="1" showRowStripes="1"/>
</table>
</file>

<file path=xl/tables/table16.xml><?xml version="1.0" encoding="utf-8"?>
<table xmlns="http://schemas.openxmlformats.org/spreadsheetml/2006/main" ref="R3:W40" displayName="Winrate_Mes_Actual" name="Winrate_Mes_Actual" id="16">
  <tableColumns count="6">
    <tableColumn name="Set" id="1"/>
    <tableColumn name="Deck" id="2"/>
    <tableColumn name="Wins" id="3"/>
    <tableColumn name="Losses" id="4"/>
    <tableColumn name="Winrate" id="5"/>
    <tableColumn name="Partidas jugadas" id="6"/>
  </tableColumns>
  <tableStyleInfo name="Set_Stats-style 4" showColumnStripes="0" showFirstColumn="1" showLastColumn="1" showRowStripes="1"/>
</table>
</file>

<file path=xl/tables/table17.xml><?xml version="1.0" encoding="utf-8"?>
<table xmlns="http://schemas.openxmlformats.org/spreadsheetml/2006/main" ref="A3:C32" displayName="Lista_de_jugadores" name="Lista_de_jugadores" id="17">
  <tableColumns count="3">
    <tableColumn name="Nombre" id="1"/>
    <tableColumn name="Imagen" id="2"/>
    <tableColumn name="Nota" id="3"/>
  </tableColumns>
  <tableStyleInfo name="Player Refs-style" showColumnStripes="0" showFirstColumn="1" showLastColumn="1" showRowStripes="1"/>
</table>
</file>

<file path=xl/tables/table18.xml><?xml version="1.0" encoding="utf-8"?>
<table xmlns="http://schemas.openxmlformats.org/spreadsheetml/2006/main" ref="A1:B25" displayName="Set_Refs" name="Set_Refs" id="18">
  <tableColumns count="2">
    <tableColumn name="Codigo" id="1"/>
    <tableColumn name="Imagen" id="2"/>
  </tableColumns>
  <tableStyleInfo name="Set Refs-style" showColumnStripes="0" showFirstColumn="1" showLastColumn="1" showRowStripes="1"/>
</table>
</file>

<file path=xl/tables/table19.xml><?xml version="1.0" encoding="utf-8"?>
<table xmlns="http://schemas.openxmlformats.org/spreadsheetml/2006/main" ref="A1:F966" displayName="Tabla_1" name="Tabla_1" id="19">
  <tableColumns count="6">
    <tableColumn name="Title" id="1"/>
    <tableColumn name="Deck Archetype" id="2"/>
    <tableColumn name="Columna 3" id="3"/>
    <tableColumn name="Image 1" id="4"/>
    <tableColumn name="Image 2" id="5"/>
    <tableColumn name="Image 3" id="6"/>
  </tableColumns>
  <tableStyleInfo name="Deck Inf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9" Type="http://schemas.openxmlformats.org/officeDocument/2006/relationships/table" Target="../tables/table16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Relationship Id="rId8" Type="http://schemas.openxmlformats.org/officeDocument/2006/relationships/table" Target="../tables/table1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s-tcg.com/wordpress/wp-content/images/cardimages/BDAM/W125_E001.png" TargetMode="External"/><Relationship Id="rId22" Type="http://schemas.openxmlformats.org/officeDocument/2006/relationships/hyperlink" Target="https://en.ws-tcg.com/wordpress/wp-content/images/cardimages/AYT/W110_E072SP.png" TargetMode="External"/><Relationship Id="rId21" Type="http://schemas.openxmlformats.org/officeDocument/2006/relationships/hyperlink" Target="https://en.ws-tcg.com/wordpress/wp-content/images/cardimages/HOL/BP/HOL_W91_E023.png" TargetMode="External"/><Relationship Id="rId24" Type="http://schemas.openxmlformats.org/officeDocument/2006/relationships/drawing" Target="../drawings/drawing12.xml"/><Relationship Id="rId23" Type="http://schemas.openxmlformats.org/officeDocument/2006/relationships/hyperlink" Target="https://en.ws-tcg.com/wordpress/wp-content/images/cardimages/5HYM/W101_E089S.png" TargetMode="External"/><Relationship Id="rId1" Type="http://schemas.openxmlformats.org/officeDocument/2006/relationships/hyperlink" Target="https://en.ws-tcg.com/wordpress/wp-content/images/cardimages/ASAO10/S100_E003.png" TargetMode="External"/><Relationship Id="rId2" Type="http://schemas.openxmlformats.org/officeDocument/2006/relationships/hyperlink" Target="https://en.ws-tcg.com/wordpress/wp-content/images/cardimages/d/dal_w79/DAL_W79_E053.png" TargetMode="External"/><Relationship Id="rId3" Type="http://schemas.openxmlformats.org/officeDocument/2006/relationships/hyperlink" Target="https://en.ws-tcg.com/wordpress/wp-content/images/cardimages/SPYFAM/S106_E080.png" TargetMode="External"/><Relationship Id="rId4" Type="http://schemas.openxmlformats.org/officeDocument/2006/relationships/hyperlink" Target="https://en.ws-tcg.com/wordpress/wp-content/images/cardimages/DDD/S118-E101.png" TargetMode="External"/><Relationship Id="rId9" Type="http://schemas.openxmlformats.org/officeDocument/2006/relationships/hyperlink" Target="https://en.ws-tcg.com/wordpress/wp-content/images/cardimages/NIK/S117_E021S.png" TargetMode="External"/><Relationship Id="rId26" Type="http://schemas.openxmlformats.org/officeDocument/2006/relationships/table" Target="../tables/table17.xml"/><Relationship Id="rId5" Type="http://schemas.openxmlformats.org/officeDocument/2006/relationships/hyperlink" Target="https://en.ws-tcg.com/wordpress/wp-content/images/cardimages/AZL/S102_E080.png" TargetMode="External"/><Relationship Id="rId6" Type="http://schemas.openxmlformats.org/officeDocument/2006/relationships/hyperlink" Target="https://en.ws-tcg.com/wordpress/wp-content/images/cardimages/OVLV2/S99_E028.png" TargetMode="External"/><Relationship Id="rId7" Type="http://schemas.openxmlformats.org/officeDocument/2006/relationships/hyperlink" Target="https://en.ws-tcg.com/wordpress/wp-content/images/cardimages/EIS/SX07-T14SP.png" TargetMode="External"/><Relationship Id="rId8" Type="http://schemas.openxmlformats.org/officeDocument/2006/relationships/hyperlink" Target="https://en.ws-tcg.com/wordpress/wp-content/images/cardimages/MKI/W126-E027.png" TargetMode="External"/><Relationship Id="rId11" Type="http://schemas.openxmlformats.org/officeDocument/2006/relationships/hyperlink" Target="https://en.ws-tcg.com/wordpress/wp-content/images/cardimages/GCR/SE48_E42.png" TargetMode="External"/><Relationship Id="rId10" Type="http://schemas.openxmlformats.org/officeDocument/2006/relationships/hyperlink" Target="https://en.ws-tcg.com/wordpress/wp-content/images/cardimages/NIK/S117_E065.png" TargetMode="External"/><Relationship Id="rId13" Type="http://schemas.openxmlformats.org/officeDocument/2006/relationships/hyperlink" Target="https://en.ws-tcg.com/wordpress/wp-content/images/cardimages/FT/S120-E002.png" TargetMode="External"/><Relationship Id="rId12" Type="http://schemas.openxmlformats.org/officeDocument/2006/relationships/hyperlink" Target="https://en.ws-tcg.com/wordpress/wp-content/images/cardimages/NIK/S117_TE21.png" TargetMode="External"/><Relationship Id="rId15" Type="http://schemas.openxmlformats.org/officeDocument/2006/relationships/hyperlink" Target="https://en.ws-tcg.com/wordpress/wp-content/images/cardimages/EIS/SX07-051.png" TargetMode="External"/><Relationship Id="rId14" Type="http://schemas.openxmlformats.org/officeDocument/2006/relationships/hyperlink" Target="https://en.ws-tcg.com/wordpress/wp-content/images/cardimages/ASAO10/S100_E006.png" TargetMode="External"/><Relationship Id="rId17" Type="http://schemas.openxmlformats.org/officeDocument/2006/relationships/hyperlink" Target="https://en.ws-tcg.com/wordpress/wp-content/images/cardimages/SPYFAM/S106_E044.png" TargetMode="External"/><Relationship Id="rId16" Type="http://schemas.openxmlformats.org/officeDocument/2006/relationships/hyperlink" Target="https://en.ws-tcg.com/wordpress/wp-content/images/cardimages/CSM/S96_E029.png" TargetMode="External"/><Relationship Id="rId19" Type="http://schemas.openxmlformats.org/officeDocument/2006/relationships/hyperlink" Target="https://en.ws-tcg.com/wordpress/wp-content/images/cardimages/DDD/S118-E104.png" TargetMode="External"/><Relationship Id="rId18" Type="http://schemas.openxmlformats.org/officeDocument/2006/relationships/hyperlink" Target="https://en.ws-tcg.com/wordpress/wp-content/images/cardimages/OSK/S107_E002SP.png" TargetMode="Externa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s-tcg.com/wordpress/wp-content/images/cardimages/Gxx/WS02_E077.png" TargetMode="External"/><Relationship Id="rId22" Type="http://schemas.openxmlformats.org/officeDocument/2006/relationships/hyperlink" Target="https://en.ws-tcg.com/wordpress/wp-content/images/cardimages/BAV/W112_E110SP.png" TargetMode="External"/><Relationship Id="rId21" Type="http://schemas.openxmlformats.org/officeDocument/2006/relationships/hyperlink" Target="https://en.ws-tcg.com/wordpress/wp-content/images/cardimages/CSM/S96_E086S.png" TargetMode="External"/><Relationship Id="rId24" Type="http://schemas.openxmlformats.org/officeDocument/2006/relationships/hyperlink" Target="https://en.ws-tcg.com/wordpress/wp-content/images/cardimages/PJS/S91-E032R.png" TargetMode="External"/><Relationship Id="rId23" Type="http://schemas.openxmlformats.org/officeDocument/2006/relationships/hyperlink" Target="https://en.ws-tcg.com/wordpress/wp-content/images/cardimages/LRCPB/WE47-E51.png" TargetMode="External"/><Relationship Id="rId1" Type="http://schemas.openxmlformats.org/officeDocument/2006/relationships/hyperlink" Target="https://en.ws-tcg.com/wordpress/wp-content/images/cardimages/EIS/SX07-051S.png" TargetMode="External"/><Relationship Id="rId2" Type="http://schemas.openxmlformats.org/officeDocument/2006/relationships/hyperlink" Target="https://en.ws-tcg.com/wordpress/wp-content/images/cardimages/OVLV2/S99_E028.png" TargetMode="External"/><Relationship Id="rId3" Type="http://schemas.openxmlformats.org/officeDocument/2006/relationships/hyperlink" Target="https://en.ws-tcg.com/wordpress/wp-content/images/cardimages/BDAM/W125_E063.png" TargetMode="External"/><Relationship Id="rId4" Type="http://schemas.openxmlformats.org/officeDocument/2006/relationships/hyperlink" Target="https://en.ws-tcg.com/wordpress/wp-content/images/cardimages/OSK/S121-E031.png" TargetMode="External"/><Relationship Id="rId9" Type="http://schemas.openxmlformats.org/officeDocument/2006/relationships/hyperlink" Target="https://en.ws-tcg.com/wordpress/wp-content/images/cardimages/SFN/S108_TE17.png" TargetMode="External"/><Relationship Id="rId25" Type="http://schemas.openxmlformats.org/officeDocument/2006/relationships/drawing" Target="../drawings/drawing13.xml"/><Relationship Id="rId27" Type="http://schemas.openxmlformats.org/officeDocument/2006/relationships/table" Target="../tables/table18.xml"/><Relationship Id="rId5" Type="http://schemas.openxmlformats.org/officeDocument/2006/relationships/hyperlink" Target="https://en.ws-tcg.com/wordpress/wp-content/images/cardimages/NIK/S117_E060.png" TargetMode="External"/><Relationship Id="rId6" Type="http://schemas.openxmlformats.org/officeDocument/2006/relationships/hyperlink" Target="https://en.ws-tcg.com/wordpress/wp-content/images/cardimages/AZL2/S119-E099.png" TargetMode="External"/><Relationship Id="rId7" Type="http://schemas.openxmlformats.org/officeDocument/2006/relationships/hyperlink" Target="https://en.ws-tcg.com/wordpress/wp-content/images/cardimages/MKI/W126-E077.png" TargetMode="External"/><Relationship Id="rId8" Type="http://schemas.openxmlformats.org/officeDocument/2006/relationships/hyperlink" Target="https://en.ws-tcg.com/wordpress/wp-content/images/cardimages/updates/PR/CGS_WS01_PE33.png" TargetMode="External"/><Relationship Id="rId11" Type="http://schemas.openxmlformats.org/officeDocument/2006/relationships/hyperlink" Target="https://en.ws-tcg.com/wordpress/wp-content/images/cardimages/FJM2/W120_E076.png" TargetMode="External"/><Relationship Id="rId10" Type="http://schemas.openxmlformats.org/officeDocument/2006/relationships/hyperlink" Target="https://en.ws-tcg.com/wordpress/wp-content/images/cardimages/GCR/SE48_E03.png" TargetMode="External"/><Relationship Id="rId13" Type="http://schemas.openxmlformats.org/officeDocument/2006/relationships/hyperlink" Target="https://en.ws-tcg.com/wordpress/wp-content/images/cardimages/d/dal_w79/DAL_W79_E053.png" TargetMode="External"/><Relationship Id="rId12" Type="http://schemas.openxmlformats.org/officeDocument/2006/relationships/hyperlink" Target="https://en.ws-tcg.com/wordpress/wp-content/images/cardimages/AYT/W110_E072.png" TargetMode="External"/><Relationship Id="rId15" Type="http://schemas.openxmlformats.org/officeDocument/2006/relationships/hyperlink" Target="https://en.ws-tcg.com/wordpress/wp-content/images/cardimages/DDD/S118-E104.png" TargetMode="External"/><Relationship Id="rId14" Type="http://schemas.openxmlformats.org/officeDocument/2006/relationships/hyperlink" Target="https://en.ws-tcg.com/wordpress/wp-content/images/cardimages/HOL/BP/HOL_W91_E057.png" TargetMode="External"/><Relationship Id="rId17" Type="http://schemas.openxmlformats.org/officeDocument/2006/relationships/hyperlink" Target="https://en.ws-tcg.com/wordpress/wp-content/images/cardimages/5HY2/W90_E052.png" TargetMode="External"/><Relationship Id="rId16" Type="http://schemas.openxmlformats.org/officeDocument/2006/relationships/hyperlink" Target="https://en.ws-tcg.com/wordpress/wp-content/images/cardimages/SDS2/SDS_SX05_001.png" TargetMode="External"/><Relationship Id="rId19" Type="http://schemas.openxmlformats.org/officeDocument/2006/relationships/hyperlink" Target="https://en.ws-tcg.com/wordpress/wp-content/images/cardimages/ASAO10/S100_E006.png" TargetMode="External"/><Relationship Id="rId18" Type="http://schemas.openxmlformats.org/officeDocument/2006/relationships/hyperlink" Target="https://en.ws-tcg.com/wordpress/wp-content/images/cardimages/FT/S120-E054.png" TargetMode="External"/></Relationships>
</file>

<file path=xl/worksheets/_rels/sheet14.xml.rels><?xml version="1.0" encoding="UTF-8" standalone="yes"?><Relationships xmlns="http://schemas.openxmlformats.org/package/2006/relationships"><Relationship Id="rId190" Type="http://schemas.openxmlformats.org/officeDocument/2006/relationships/hyperlink" Target="https://card.yuyu-tei.jp/ws/front/bav/10119.jpg" TargetMode="External"/><Relationship Id="rId194" Type="http://schemas.openxmlformats.org/officeDocument/2006/relationships/hyperlink" Target="https://tcgplayer-cdn.tcgplayer.com/product/644131_in_1000x1000.jpg" TargetMode="External"/><Relationship Id="rId193" Type="http://schemas.openxmlformats.org/officeDocument/2006/relationships/hyperlink" Target="https://tcgplayer-cdn.tcgplayer.com/product/260112_in_1000x1000.jpg" TargetMode="External"/><Relationship Id="rId192" Type="http://schemas.openxmlformats.org/officeDocument/2006/relationships/hyperlink" Target="https://tcgplayer-cdn.tcgplayer.com/product/643987_in_1000x1000.jpg" TargetMode="External"/><Relationship Id="rId191" Type="http://schemas.openxmlformats.org/officeDocument/2006/relationships/hyperlink" Target="https://tcgplayer-cdn.tcgplayer.com/product/643965_in_1000x1000.jpg" TargetMode="External"/><Relationship Id="rId187" Type="http://schemas.openxmlformats.org/officeDocument/2006/relationships/hyperlink" Target="https://card.yuyu-tei.jp/ws/front/bav/10044.jpg" TargetMode="External"/><Relationship Id="rId186" Type="http://schemas.openxmlformats.org/officeDocument/2006/relationships/hyperlink" Target="https://card.yuyu-tei.jp/ws/front/bav/10045.jpg" TargetMode="External"/><Relationship Id="rId185" Type="http://schemas.openxmlformats.org/officeDocument/2006/relationships/hyperlink" Target="https://card.yuyu-tei.jp/ws/front/bav2.0/10043.jpg" TargetMode="External"/><Relationship Id="rId184" Type="http://schemas.openxmlformats.org/officeDocument/2006/relationships/hyperlink" Target="https://card.yuyu-tei.jp/ws/front/bav/10089.jpg" TargetMode="External"/><Relationship Id="rId189" Type="http://schemas.openxmlformats.org/officeDocument/2006/relationships/hyperlink" Target="https://card.yuyu-tei.jp/ws/front/bav2.0/10082.jpg" TargetMode="External"/><Relationship Id="rId188" Type="http://schemas.openxmlformats.org/officeDocument/2006/relationships/hyperlink" Target="https://card.yuyu-tei.jp/ws/front/bav2.0/10047.jpg" TargetMode="External"/><Relationship Id="rId183" Type="http://schemas.openxmlformats.org/officeDocument/2006/relationships/hyperlink" Target="https://card.yuyu-tei.jp/ws/front/bav/10099.jpg" TargetMode="External"/><Relationship Id="rId182" Type="http://schemas.openxmlformats.org/officeDocument/2006/relationships/hyperlink" Target="https://card.yuyu-tei.jp/ws/front/bav2.0/10043.jpg" TargetMode="External"/><Relationship Id="rId181" Type="http://schemas.openxmlformats.org/officeDocument/2006/relationships/hyperlink" Target="https://tcgplayer-cdn.tcgplayer.com/product/618576_in_1000x1000.jpg" TargetMode="External"/><Relationship Id="rId180" Type="http://schemas.openxmlformats.org/officeDocument/2006/relationships/hyperlink" Target="https://tcgplayer-cdn.tcgplayer.com/product/618364_in_1000x1000.jpg" TargetMode="External"/><Relationship Id="rId176" Type="http://schemas.openxmlformats.org/officeDocument/2006/relationships/hyperlink" Target="https://tcgplayer-cdn.tcgplayer.com/product/618672_in_1000x1000.jpg" TargetMode="External"/><Relationship Id="rId175" Type="http://schemas.openxmlformats.org/officeDocument/2006/relationships/hyperlink" Target="https://tcgplayer-cdn.tcgplayer.com/product/618452_in_1000x1000.jpg" TargetMode="External"/><Relationship Id="rId174" Type="http://schemas.openxmlformats.org/officeDocument/2006/relationships/hyperlink" Target="https://tcgplayer-cdn.tcgplayer.com/product/618472_in_1000x1000.jpg" TargetMode="External"/><Relationship Id="rId173" Type="http://schemas.openxmlformats.org/officeDocument/2006/relationships/hyperlink" Target="https://card.yuyu-tei.jp/ws/front/bav2.0/10043.jpg" TargetMode="External"/><Relationship Id="rId179" Type="http://schemas.openxmlformats.org/officeDocument/2006/relationships/hyperlink" Target="https://tcgplayer-cdn.tcgplayer.com/product/618672_in_1000x1000.jpg" TargetMode="External"/><Relationship Id="rId178" Type="http://schemas.openxmlformats.org/officeDocument/2006/relationships/hyperlink" Target="https://tcgplayer-cdn.tcgplayer.com/product/618362_in_1000x1000.jpg" TargetMode="External"/><Relationship Id="rId177" Type="http://schemas.openxmlformats.org/officeDocument/2006/relationships/hyperlink" Target="https://tcgplayer-cdn.tcgplayer.com/product/618364_in_1000x1000.jpg" TargetMode="External"/><Relationship Id="rId198" Type="http://schemas.openxmlformats.org/officeDocument/2006/relationships/hyperlink" Target="https://tcgplayer-cdn.tcgplayer.com/product/173271_in_1000x1000.jpg" TargetMode="External"/><Relationship Id="rId197" Type="http://schemas.openxmlformats.org/officeDocument/2006/relationships/hyperlink" Target="https://tcgplayer-cdn.tcgplayer.com/product/643965_in_1000x1000.jpg" TargetMode="External"/><Relationship Id="rId196" Type="http://schemas.openxmlformats.org/officeDocument/2006/relationships/hyperlink" Target="https://tcgplayer-cdn.tcgplayer.com/product/173281_in_1000x1000.jpg" TargetMode="External"/><Relationship Id="rId195" Type="http://schemas.openxmlformats.org/officeDocument/2006/relationships/hyperlink" Target="https://tcgplayer-cdn.tcgplayer.com/product/644134_in_1000x1000.jpg" TargetMode="External"/><Relationship Id="rId199" Type="http://schemas.openxmlformats.org/officeDocument/2006/relationships/hyperlink" Target="https://img.yuyu-tei.jp/card_image/ws/front/bd5.0/10126.jpg" TargetMode="External"/><Relationship Id="rId150" Type="http://schemas.openxmlformats.org/officeDocument/2006/relationships/hyperlink" Target="https://tcgplayer-cdn.tcgplayer.com/product/521006_in_1000x1000.jpg" TargetMode="External"/><Relationship Id="rId392" Type="http://schemas.openxmlformats.org/officeDocument/2006/relationships/hyperlink" Target="https://card.yuyu-tei.jp/ws/front/fs/10082.jpg" TargetMode="External"/><Relationship Id="rId391" Type="http://schemas.openxmlformats.org/officeDocument/2006/relationships/hyperlink" Target="https://card.yuyu-tei.jp/ws/front/fs/10065.jpg" TargetMode="External"/><Relationship Id="rId390" Type="http://schemas.openxmlformats.org/officeDocument/2006/relationships/hyperlink" Target="https://product-images.tcgplayer.com/fit-in/818x818/275015.jpg" TargetMode="External"/><Relationship Id="rId1" Type="http://schemas.openxmlformats.org/officeDocument/2006/relationships/hyperlink" Target="https://tcgplayer-cdn.tcgplayer.com/product/280607_in_1000x1000.jpg" TargetMode="External"/><Relationship Id="rId2" Type="http://schemas.openxmlformats.org/officeDocument/2006/relationships/hyperlink" Target="https://tcgplayer-cdn.tcgplayer.com/product/280623_in_1000x1000.jpg" TargetMode="External"/><Relationship Id="rId3" Type="http://schemas.openxmlformats.org/officeDocument/2006/relationships/hyperlink" Target="https://tcgplayer-cdn.tcgplayer.com/product/498071_in_1000x1000.jpg" TargetMode="External"/><Relationship Id="rId149" Type="http://schemas.openxmlformats.org/officeDocument/2006/relationships/hyperlink" Target="https://tcgplayer-cdn.tcgplayer.com/product/520976_in_1000x1000.jpg" TargetMode="External"/><Relationship Id="rId4" Type="http://schemas.openxmlformats.org/officeDocument/2006/relationships/hyperlink" Target="https://tcgplayer-cdn.tcgplayer.com/product/281161_in_1000x1000.jpg" TargetMode="External"/><Relationship Id="rId148" Type="http://schemas.openxmlformats.org/officeDocument/2006/relationships/hyperlink" Target="https://tcgplayer-cdn.tcgplayer.com/product/520999_in_1000x1000.jpg" TargetMode="External"/><Relationship Id="rId1090" Type="http://schemas.openxmlformats.org/officeDocument/2006/relationships/hyperlink" Target="https://product-images.tcgplayer.com/fit-in/804x804/514996.jpg" TargetMode="External"/><Relationship Id="rId1091" Type="http://schemas.openxmlformats.org/officeDocument/2006/relationships/hyperlink" Target="https://tcgplayer-cdn.tcgplayer.com/product/514929_in_1000x1000.jpg" TargetMode="External"/><Relationship Id="rId1092" Type="http://schemas.openxmlformats.org/officeDocument/2006/relationships/hyperlink" Target="https://product-images.tcgplayer.com/fit-in/804x804/514914.jpg" TargetMode="External"/><Relationship Id="rId1093" Type="http://schemas.openxmlformats.org/officeDocument/2006/relationships/hyperlink" Target="https://product-images.tcgplayer.com/fit-in/804x804/514996.jpg" TargetMode="External"/><Relationship Id="rId1094" Type="http://schemas.openxmlformats.org/officeDocument/2006/relationships/hyperlink" Target="https://product-images.tcgplayer.com/fit-in/804x804/501952.jpg" TargetMode="External"/><Relationship Id="rId9" Type="http://schemas.openxmlformats.org/officeDocument/2006/relationships/hyperlink" Target="https://product-images.tcgplayer.com/fit-in/437x437/498184.jpg" TargetMode="External"/><Relationship Id="rId143" Type="http://schemas.openxmlformats.org/officeDocument/2006/relationships/hyperlink" Target="https://tcgplayer-cdn.tcgplayer.com/product/521107_in_1000x1000.jpg" TargetMode="External"/><Relationship Id="rId385" Type="http://schemas.openxmlformats.org/officeDocument/2006/relationships/hyperlink" Target="https://tcgplayer-cdn.tcgplayer.com/product/274893_in_1000x1000.jpg" TargetMode="External"/><Relationship Id="rId1095" Type="http://schemas.openxmlformats.org/officeDocument/2006/relationships/hyperlink" Target="https://product-images.tcgplayer.com/fit-in/804x804/514914.jpg" TargetMode="External"/><Relationship Id="rId142" Type="http://schemas.openxmlformats.org/officeDocument/2006/relationships/hyperlink" Target="https://product-images.tcgplayer.com/fit-in/437x437/521175.jpg" TargetMode="External"/><Relationship Id="rId384" Type="http://schemas.openxmlformats.org/officeDocument/2006/relationships/hyperlink" Target="https://en.ws-tcg.com/wordpress/wp-content/images/cardimages/EIS/SX07-053.png" TargetMode="External"/><Relationship Id="rId1096" Type="http://schemas.openxmlformats.org/officeDocument/2006/relationships/hyperlink" Target="https://tcgplayer-cdn.tcgplayer.com/product/514925_in_1000x1000.jpg" TargetMode="External"/><Relationship Id="rId141" Type="http://schemas.openxmlformats.org/officeDocument/2006/relationships/hyperlink" Target="https://tcgplayer-cdn.tcgplayer.com/product/521198_in_1000x1000.jpg" TargetMode="External"/><Relationship Id="rId383" Type="http://schemas.openxmlformats.org/officeDocument/2006/relationships/hyperlink" Target="https://en.ws-tcg.com/wordpress/wp-content/images/cardimages/EIS/SX07-051.png" TargetMode="External"/><Relationship Id="rId1097" Type="http://schemas.openxmlformats.org/officeDocument/2006/relationships/hyperlink" Target="https://tcgplayer-cdn.tcgplayer.com/product/514929_in_1000x1000.jpg" TargetMode="External"/><Relationship Id="rId140" Type="http://schemas.openxmlformats.org/officeDocument/2006/relationships/hyperlink" Target="https://tcgplayer-cdn.tcgplayer.com/product/521233_in_1000x1000.jpg" TargetMode="External"/><Relationship Id="rId382" Type="http://schemas.openxmlformats.org/officeDocument/2006/relationships/hyperlink" Target="https://en.ws-tcg.com/wordpress/wp-content/images/cardimages/EIS/SX07-068.png" TargetMode="External"/><Relationship Id="rId1098" Type="http://schemas.openxmlformats.org/officeDocument/2006/relationships/hyperlink" Target="https://tcgplayer-cdn.tcgplayer.com/product/514914_in_1000x1000.jpg" TargetMode="External"/><Relationship Id="rId5" Type="http://schemas.openxmlformats.org/officeDocument/2006/relationships/hyperlink" Target="https://tcgplayer-cdn.tcgplayer.com/product/281105_in_1000x1000.jpg" TargetMode="External"/><Relationship Id="rId147" Type="http://schemas.openxmlformats.org/officeDocument/2006/relationships/hyperlink" Target="https://product-images.tcgplayer.com/fit-in/437x437/521111.jpg" TargetMode="External"/><Relationship Id="rId389" Type="http://schemas.openxmlformats.org/officeDocument/2006/relationships/hyperlink" Target="https://product-images.tcgplayer.com/fit-in/818x818/274847.jpg" TargetMode="External"/><Relationship Id="rId1099" Type="http://schemas.openxmlformats.org/officeDocument/2006/relationships/hyperlink" Target="https://tcgplayer-cdn.tcgplayer.com/product/514925_in_1000x1000.jpg" TargetMode="External"/><Relationship Id="rId6" Type="http://schemas.openxmlformats.org/officeDocument/2006/relationships/hyperlink" Target="https://tcgplayer-cdn.tcgplayer.com/product/281185_in_1000x1000.jpg" TargetMode="External"/><Relationship Id="rId146" Type="http://schemas.openxmlformats.org/officeDocument/2006/relationships/hyperlink" Target="https://product-images.tcgplayer.com/fit-in/437x437/521113.jpg" TargetMode="External"/><Relationship Id="rId388" Type="http://schemas.openxmlformats.org/officeDocument/2006/relationships/hyperlink" Target="https://product-images.tcgplayer.com/fit-in/437x437/274978.jpg" TargetMode="External"/><Relationship Id="rId7" Type="http://schemas.openxmlformats.org/officeDocument/2006/relationships/hyperlink" Target="https://tcgplayer-cdn.tcgplayer.com/product/281161_in_1000x1000.jpg" TargetMode="External"/><Relationship Id="rId145" Type="http://schemas.openxmlformats.org/officeDocument/2006/relationships/hyperlink" Target="https://product-images.tcgplayer.com/fit-in/437x437/521175.jpg" TargetMode="External"/><Relationship Id="rId387" Type="http://schemas.openxmlformats.org/officeDocument/2006/relationships/hyperlink" Target="https://tcgplayer-cdn.tcgplayer.com/product/274879_in_1000x1000.jpg" TargetMode="External"/><Relationship Id="rId8" Type="http://schemas.openxmlformats.org/officeDocument/2006/relationships/hyperlink" Target="https://tcgplayer-cdn.tcgplayer.com/product/281105_in_1000x1000.jpg" TargetMode="External"/><Relationship Id="rId144" Type="http://schemas.openxmlformats.org/officeDocument/2006/relationships/hyperlink" Target="https://product-images.tcgplayer.com/fit-in/437x437/521111.jpg" TargetMode="External"/><Relationship Id="rId386" Type="http://schemas.openxmlformats.org/officeDocument/2006/relationships/hyperlink" Target="https://tcgplayer-cdn.tcgplayer.com/product/274895_in_1000x1000.jpg" TargetMode="External"/><Relationship Id="rId381" Type="http://schemas.openxmlformats.org/officeDocument/2006/relationships/hyperlink" Target="https://en.ws-tcg.com/wordpress/wp-content/images/cardimages/EIS/SX07-051.png" TargetMode="External"/><Relationship Id="rId380" Type="http://schemas.openxmlformats.org/officeDocument/2006/relationships/hyperlink" Target="https://en.ws-tcg.com/wordpress/wp-content/images/cardimages/EIS/SX07-054.png" TargetMode="External"/><Relationship Id="rId139" Type="http://schemas.openxmlformats.org/officeDocument/2006/relationships/hyperlink" Target="https://tcgplayer-cdn.tcgplayer.com/product/521186_in_1000x1000.jpg" TargetMode="External"/><Relationship Id="rId138" Type="http://schemas.openxmlformats.org/officeDocument/2006/relationships/hyperlink" Target="https://tcgplayer-cdn.tcgplayer.com/product/658135_in_1000x1000.jpg" TargetMode="External"/><Relationship Id="rId137" Type="http://schemas.openxmlformats.org/officeDocument/2006/relationships/hyperlink" Target="https://tcgplayer-cdn.tcgplayer.com/product/521368_in_1000x1000.jpg" TargetMode="External"/><Relationship Id="rId379" Type="http://schemas.openxmlformats.org/officeDocument/2006/relationships/hyperlink" Target="https://en.ws-tcg.com/wordpress/wp-content/images/cardimages/EIS/SX07-051.png" TargetMode="External"/><Relationship Id="rId1080" Type="http://schemas.openxmlformats.org/officeDocument/2006/relationships/hyperlink" Target="https://tcgplayer-cdn.tcgplayer.com/product/501970_in_1000x1000.jpg" TargetMode="External"/><Relationship Id="rId1081" Type="http://schemas.openxmlformats.org/officeDocument/2006/relationships/hyperlink" Target="https://tcgplayer-cdn.tcgplayer.com/product/192140_in_1000x1000.jpg" TargetMode="External"/><Relationship Id="rId1082" Type="http://schemas.openxmlformats.org/officeDocument/2006/relationships/hyperlink" Target="https://tcgplayer-cdn.tcgplayer.com/product/501956_in_1000x1000.jpg" TargetMode="External"/><Relationship Id="rId1083" Type="http://schemas.openxmlformats.org/officeDocument/2006/relationships/hyperlink" Target="https://product-images.tcgplayer.com/fit-in/585x585/501952.jpg" TargetMode="External"/><Relationship Id="rId132" Type="http://schemas.openxmlformats.org/officeDocument/2006/relationships/hyperlink" Target="https://tcgplayer-cdn.tcgplayer.com/product/658135_in_1000x1000.jpg" TargetMode="External"/><Relationship Id="rId374" Type="http://schemas.openxmlformats.org/officeDocument/2006/relationships/hyperlink" Target="https://en.ws-tcg.com/wordpress/wp-content/images/cardimages/EIS/SX07-087S.png" TargetMode="External"/><Relationship Id="rId1084" Type="http://schemas.openxmlformats.org/officeDocument/2006/relationships/hyperlink" Target="https://tcgplayer-cdn.tcgplayer.com/product/514925_in_1000x1000.jpg" TargetMode="External"/><Relationship Id="rId131" Type="http://schemas.openxmlformats.org/officeDocument/2006/relationships/hyperlink" Target="https://tcgplayer-cdn.tcgplayer.com/product/658167_in_1000x1000.jpg" TargetMode="External"/><Relationship Id="rId373" Type="http://schemas.openxmlformats.org/officeDocument/2006/relationships/hyperlink" Target="https://en.ws-tcg.com/wordpress/wp-content/images/cardimages/EIS/SX07-088.png" TargetMode="External"/><Relationship Id="rId1085" Type="http://schemas.openxmlformats.org/officeDocument/2006/relationships/hyperlink" Target="https://product-images.tcgplayer.com/fit-in/585x585/501952.jpg" TargetMode="External"/><Relationship Id="rId130" Type="http://schemas.openxmlformats.org/officeDocument/2006/relationships/hyperlink" Target="https://tcgplayer-cdn.tcgplayer.com/product/657898_in_1000x1000.jpg" TargetMode="External"/><Relationship Id="rId372" Type="http://schemas.openxmlformats.org/officeDocument/2006/relationships/hyperlink" Target="https://en.ws-tcg.com/wordpress/wp-content/images/cardimages/EIS/SX07-068.png" TargetMode="External"/><Relationship Id="rId1086" Type="http://schemas.openxmlformats.org/officeDocument/2006/relationships/hyperlink" Target="https://product-images.tcgplayer.com/fit-in/585x585/514999.jpg" TargetMode="External"/><Relationship Id="rId371" Type="http://schemas.openxmlformats.org/officeDocument/2006/relationships/hyperlink" Target="https://en.ws-tcg.com/wordpress/wp-content/images/cardimages/EIS/SX07-092.png" TargetMode="External"/><Relationship Id="rId1087" Type="http://schemas.openxmlformats.org/officeDocument/2006/relationships/hyperlink" Target="https://product-images.tcgplayer.com/fit-in/804x804/514996.jpg" TargetMode="External"/><Relationship Id="rId136" Type="http://schemas.openxmlformats.org/officeDocument/2006/relationships/hyperlink" Target="https://tcgplayer-cdn.tcgplayer.com/product/521260_in_1000x1000.jpg" TargetMode="External"/><Relationship Id="rId378" Type="http://schemas.openxmlformats.org/officeDocument/2006/relationships/hyperlink" Target="https://en.ws-tcg.com/wordpress/wp-content/images/cardimages/EIS/SX07-041.png" TargetMode="External"/><Relationship Id="rId1088" Type="http://schemas.openxmlformats.org/officeDocument/2006/relationships/hyperlink" Target="https://tcgplayer-cdn.tcgplayer.com/product/190847_in_1000x1000.jpg" TargetMode="External"/><Relationship Id="rId135" Type="http://schemas.openxmlformats.org/officeDocument/2006/relationships/hyperlink" Target="https://tcgplayer-cdn.tcgplayer.com/product/658005_in_1000x1000.jpg" TargetMode="External"/><Relationship Id="rId377" Type="http://schemas.openxmlformats.org/officeDocument/2006/relationships/hyperlink" Target="https://en.ws-tcg.com/wordpress/wp-content/images/cardimages/EIS/SX07-054.png" TargetMode="External"/><Relationship Id="rId1089" Type="http://schemas.openxmlformats.org/officeDocument/2006/relationships/hyperlink" Target="https://tcgplayer-cdn.tcgplayer.com/product/514473_in_1000x1000.jpg" TargetMode="External"/><Relationship Id="rId134" Type="http://schemas.openxmlformats.org/officeDocument/2006/relationships/hyperlink" Target="https://tcgplayer-cdn.tcgplayer.com/product/658022_in_1000x1000.jpg" TargetMode="External"/><Relationship Id="rId376" Type="http://schemas.openxmlformats.org/officeDocument/2006/relationships/hyperlink" Target="https://en.ws-tcg.com/wordpress/wp-content/images/cardimages/EIS/SX07-T04.png" TargetMode="External"/><Relationship Id="rId133" Type="http://schemas.openxmlformats.org/officeDocument/2006/relationships/hyperlink" Target="https://tcgplayer-cdn.tcgplayer.com/product/657986_in_1000x1000.jpg" TargetMode="External"/><Relationship Id="rId375" Type="http://schemas.openxmlformats.org/officeDocument/2006/relationships/hyperlink" Target="https://en.ws-tcg.com/wordpress/wp-content/images/cardimages/EIS/SX07-089.png" TargetMode="External"/><Relationship Id="rId172" Type="http://schemas.openxmlformats.org/officeDocument/2006/relationships/hyperlink" Target="https://tcgplayer-cdn.tcgplayer.com/product/618452_in_1000x1000.jpg" TargetMode="External"/><Relationship Id="rId171" Type="http://schemas.openxmlformats.org/officeDocument/2006/relationships/hyperlink" Target="https://tcgplayer-cdn.tcgplayer.com/product/618472_in_1000x1000.jpg" TargetMode="External"/><Relationship Id="rId170" Type="http://schemas.openxmlformats.org/officeDocument/2006/relationships/hyperlink" Target="https://tcgplayer-cdn.tcgplayer.com/product/618436_in_1000x1000.jpg" TargetMode="External"/><Relationship Id="rId165" Type="http://schemas.openxmlformats.org/officeDocument/2006/relationships/hyperlink" Target="https://tcgplayer-cdn.tcgplayer.com/product/618362_in_1000x1000.jpg" TargetMode="External"/><Relationship Id="rId164" Type="http://schemas.openxmlformats.org/officeDocument/2006/relationships/hyperlink" Target="https://tcgplayer-cdn.tcgplayer.com/product/618360_in_1000x1000.jpg" TargetMode="External"/><Relationship Id="rId163" Type="http://schemas.openxmlformats.org/officeDocument/2006/relationships/hyperlink" Target="https://en.ws-tcg.com/wordpress/wp-content/images/cardimages/BAV/W112_E004.png" TargetMode="External"/><Relationship Id="rId162" Type="http://schemas.openxmlformats.org/officeDocument/2006/relationships/hyperlink" Target="https://en.ws-tcg.com/wordpress/wp-content/images/cardimages/BAV/W112_E040.png" TargetMode="External"/><Relationship Id="rId169" Type="http://schemas.openxmlformats.org/officeDocument/2006/relationships/hyperlink" Target="https://tcgplayer-cdn.tcgplayer.com/product/618438_in_1000x1000.jpg" TargetMode="External"/><Relationship Id="rId168" Type="http://schemas.openxmlformats.org/officeDocument/2006/relationships/hyperlink" Target="https://tcgplayer-cdn.tcgplayer.com/product/618436_in_1000x1000.jpg" TargetMode="External"/><Relationship Id="rId167" Type="http://schemas.openxmlformats.org/officeDocument/2006/relationships/hyperlink" Target="https://tcgplayer-cdn.tcgplayer.com/product/618432_in_1000x1000.jpg" TargetMode="External"/><Relationship Id="rId166" Type="http://schemas.openxmlformats.org/officeDocument/2006/relationships/hyperlink" Target="https://tcgplayer-cdn.tcgplayer.com/product/618576_in_1000x1000.jpg" TargetMode="External"/><Relationship Id="rId161" Type="http://schemas.openxmlformats.org/officeDocument/2006/relationships/hyperlink" Target="https://tcgplayer-cdn.tcgplayer.com/product/618438_in_1000x1000.jpg" TargetMode="External"/><Relationship Id="rId160" Type="http://schemas.openxmlformats.org/officeDocument/2006/relationships/hyperlink" Target="https://tcgplayer-cdn.tcgplayer.com/product/618436_in_1000x1000.jpg" TargetMode="External"/><Relationship Id="rId159" Type="http://schemas.openxmlformats.org/officeDocument/2006/relationships/hyperlink" Target="https://tcgplayer-cdn.tcgplayer.com/product/618432_in_1000x1000.jpg" TargetMode="External"/><Relationship Id="rId154" Type="http://schemas.openxmlformats.org/officeDocument/2006/relationships/hyperlink" Target="https://product-images.tcgplayer.com/fit-in/437x437/521321.jpg" TargetMode="External"/><Relationship Id="rId396" Type="http://schemas.openxmlformats.org/officeDocument/2006/relationships/hyperlink" Target="https://card.yuyu-tei.jp/ws/front/ft2.0/10032.jpg" TargetMode="External"/><Relationship Id="rId153" Type="http://schemas.openxmlformats.org/officeDocument/2006/relationships/hyperlink" Target="https://product-images.tcgplayer.com/fit-in/437x437/filters:quality(1)/521113.jpg" TargetMode="External"/><Relationship Id="rId395" Type="http://schemas.openxmlformats.org/officeDocument/2006/relationships/hyperlink" Target="https://card.yuyu-tei.jp/ws/front/ft2.0/10031.jpg" TargetMode="External"/><Relationship Id="rId152" Type="http://schemas.openxmlformats.org/officeDocument/2006/relationships/hyperlink" Target="https://product-images.tcgplayer.com/fit-in/437x437/521264.jpg" TargetMode="External"/><Relationship Id="rId394" Type="http://schemas.openxmlformats.org/officeDocument/2006/relationships/hyperlink" Target="https://card.yuyu-tei.jp/ws/front/ft2.0/10028.jpg" TargetMode="External"/><Relationship Id="rId151" Type="http://schemas.openxmlformats.org/officeDocument/2006/relationships/hyperlink" Target="https://product-images.tcgplayer.com/fit-in/437x437/filters:quality(1)/521260.jpg" TargetMode="External"/><Relationship Id="rId393" Type="http://schemas.openxmlformats.org/officeDocument/2006/relationships/hyperlink" Target="https://card.yuyu-tei.jp/ws/front/fshf2.0/10043.jpg" TargetMode="External"/><Relationship Id="rId158" Type="http://schemas.openxmlformats.org/officeDocument/2006/relationships/hyperlink" Target="https://card.yuyu-tei.jp/ws/front/bav2.0/10007.jpg" TargetMode="External"/><Relationship Id="rId157" Type="http://schemas.openxmlformats.org/officeDocument/2006/relationships/hyperlink" Target="https://card.yuyu-tei.jp/ws/front/bav2.0/10016.jpg" TargetMode="External"/><Relationship Id="rId399" Type="http://schemas.openxmlformats.org/officeDocument/2006/relationships/hyperlink" Target="https://img.yuyu-tei.jp/card_image/ws/front/fujimif2.0/10120.jpg" TargetMode="External"/><Relationship Id="rId156" Type="http://schemas.openxmlformats.org/officeDocument/2006/relationships/hyperlink" Target="https://card.yuyu-tei.jp/ws/front/bav2.0/10004.jpg" TargetMode="External"/><Relationship Id="rId398" Type="http://schemas.openxmlformats.org/officeDocument/2006/relationships/hyperlink" Target="https://tcgplayer-cdn.tcgplayer.com/product/682663_in_1000x1000.jpg" TargetMode="External"/><Relationship Id="rId155" Type="http://schemas.openxmlformats.org/officeDocument/2006/relationships/hyperlink" Target="https://product-images.tcgplayer.com/fit-in/437x437/521097.jpg" TargetMode="External"/><Relationship Id="rId397" Type="http://schemas.openxmlformats.org/officeDocument/2006/relationships/hyperlink" Target="https://tcgplayer-cdn.tcgplayer.com/product/682604_in_1000x1000.jpg" TargetMode="External"/><Relationship Id="rId808" Type="http://schemas.openxmlformats.org/officeDocument/2006/relationships/hyperlink" Target="https://img.yuyu-tei.jp/card_image/ws/front/lovelivenj2.0/10033.jpg" TargetMode="External"/><Relationship Id="rId807" Type="http://schemas.openxmlformats.org/officeDocument/2006/relationships/hyperlink" Target="https://img.yuyu-tei.jp/card_image/ws/front/lovelivenj/10043.jpg" TargetMode="External"/><Relationship Id="rId806" Type="http://schemas.openxmlformats.org/officeDocument/2006/relationships/hyperlink" Target="https://img.yuyu-tei.jp/card_image/ws/front/lovelivenj/10076.jpg" TargetMode="External"/><Relationship Id="rId805" Type="http://schemas.openxmlformats.org/officeDocument/2006/relationships/hyperlink" Target="https://img.yuyu-tei.jp/card_image/ws/front/lovelivenj/10082.jpg" TargetMode="External"/><Relationship Id="rId809" Type="http://schemas.openxmlformats.org/officeDocument/2006/relationships/hyperlink" Target="https://img.yuyu-tei.jp/card_image/ws/front/lovelivenj/10038.jpg" TargetMode="External"/><Relationship Id="rId800" Type="http://schemas.openxmlformats.org/officeDocument/2006/relationships/hyperlink" Target="https://img.yuyu-tei.jp/card_image/ws/front/lovelivesif3.0/10062.jpg" TargetMode="External"/><Relationship Id="rId804" Type="http://schemas.openxmlformats.org/officeDocument/2006/relationships/hyperlink" Target="https://img.yuyu-tei.jp/card_image/ws/front/lovelivenjsifpblnj/10015.jpg" TargetMode="External"/><Relationship Id="rId803" Type="http://schemas.openxmlformats.org/officeDocument/2006/relationships/hyperlink" Target="https://card.yuyu-tei.jp/ws/front/lsf/10003.jpg" TargetMode="External"/><Relationship Id="rId802" Type="http://schemas.openxmlformats.org/officeDocument/2006/relationships/hyperlink" Target="https://card.yuyu-tei.jp/ws/front/lovelivenj/10082.jpg" TargetMode="External"/><Relationship Id="rId801" Type="http://schemas.openxmlformats.org/officeDocument/2006/relationships/hyperlink" Target="https://img.yuyu-tei.jp/card_image/ws/front/lovelivesif2.0/10076.jpg" TargetMode="External"/><Relationship Id="rId40" Type="http://schemas.openxmlformats.org/officeDocument/2006/relationships/hyperlink" Target="https://product-images.tcgplayer.com/fit-in/437x437/498126.jpg" TargetMode="External"/><Relationship Id="rId1334" Type="http://schemas.openxmlformats.org/officeDocument/2006/relationships/hyperlink" Target="https://tcgplayer-cdn.tcgplayer.com/product/503797_in_1000x1000.jpg" TargetMode="External"/><Relationship Id="rId1335" Type="http://schemas.openxmlformats.org/officeDocument/2006/relationships/hyperlink" Target="https://product-images.tcgplayer.com/fit-in/780x780/250461.jpg" TargetMode="External"/><Relationship Id="rId42" Type="http://schemas.openxmlformats.org/officeDocument/2006/relationships/hyperlink" Target="https://tcgplayer-cdn.tcgplayer.com/product/280727_in_1000x1000.jpg" TargetMode="External"/><Relationship Id="rId1336" Type="http://schemas.openxmlformats.org/officeDocument/2006/relationships/hyperlink" Target="https://product-images.tcgplayer.com/fit-in/437x437/503819.jpg" TargetMode="External"/><Relationship Id="rId41" Type="http://schemas.openxmlformats.org/officeDocument/2006/relationships/hyperlink" Target="https://product-images.tcgplayer.com/fit-in/437x437/498077.jpg" TargetMode="External"/><Relationship Id="rId1337" Type="http://schemas.openxmlformats.org/officeDocument/2006/relationships/hyperlink" Target="https://product-images.tcgplayer.com/fit-in/437x437/filters:quality(1)/503797.jpg" TargetMode="External"/><Relationship Id="rId44" Type="http://schemas.openxmlformats.org/officeDocument/2006/relationships/hyperlink" Target="https://product-images.tcgplayer.com/fit-in/437x437/498077.jpg" TargetMode="External"/><Relationship Id="rId1338" Type="http://schemas.openxmlformats.org/officeDocument/2006/relationships/hyperlink" Target="https://product-images.tcgplayer.com/fit-in/656x656/503629.jpg" TargetMode="External"/><Relationship Id="rId43" Type="http://schemas.openxmlformats.org/officeDocument/2006/relationships/hyperlink" Target="https://product-images.tcgplayer.com/fit-in/437x437/498126.jpg" TargetMode="External"/><Relationship Id="rId1339" Type="http://schemas.openxmlformats.org/officeDocument/2006/relationships/hyperlink" Target="https://tcgplayer-cdn.tcgplayer.com/product/503762_in_1000x1000.jpg" TargetMode="External"/><Relationship Id="rId46" Type="http://schemas.openxmlformats.org/officeDocument/2006/relationships/hyperlink" Target="https://card.yuyu-tei.jp/ws/front/lily2.0/10085.jpg" TargetMode="External"/><Relationship Id="rId45" Type="http://schemas.openxmlformats.org/officeDocument/2006/relationships/hyperlink" Target="https://tcgplayer-cdn.tcgplayer.com/product/498128_in_1000x1000.jpg" TargetMode="External"/><Relationship Id="rId509" Type="http://schemas.openxmlformats.org/officeDocument/2006/relationships/hyperlink" Target="https://product-images.tcgplayer.com/fit-in/818x818/496647.jpg" TargetMode="External"/><Relationship Id="rId508" Type="http://schemas.openxmlformats.org/officeDocument/2006/relationships/hyperlink" Target="https://img.yuyu-tei.jp/card_image/ws/front/gri3.0/10018.jpg" TargetMode="External"/><Relationship Id="rId503" Type="http://schemas.openxmlformats.org/officeDocument/2006/relationships/hyperlink" Target="https://product-images.tcgplayer.com/fit-in/376x376/169917.jpg" TargetMode="External"/><Relationship Id="rId745" Type="http://schemas.openxmlformats.org/officeDocument/2006/relationships/hyperlink" Target="https://card.yuyu-tei.jp/ws/front/kj8/10111.jpg" TargetMode="External"/><Relationship Id="rId987" Type="http://schemas.openxmlformats.org/officeDocument/2006/relationships/hyperlink" Target="https://tcgplayer-cdn.tcgplayer.com/product/622889_in_1000x1000.jpg" TargetMode="External"/><Relationship Id="rId502" Type="http://schemas.openxmlformats.org/officeDocument/2006/relationships/hyperlink" Target="https://img.yuyu-tei.jp/card_image/ws/front/gim/10049.jpg" TargetMode="External"/><Relationship Id="rId744" Type="http://schemas.openxmlformats.org/officeDocument/2006/relationships/hyperlink" Target="https://tcgplayer-cdn.tcgplayer.com/product/482736_in_1000x1000.jpg" TargetMode="External"/><Relationship Id="rId986" Type="http://schemas.openxmlformats.org/officeDocument/2006/relationships/hyperlink" Target="https://tcgplayer-cdn.tcgplayer.com/product/622873_in_1000x1000.jpg" TargetMode="External"/><Relationship Id="rId501" Type="http://schemas.openxmlformats.org/officeDocument/2006/relationships/hyperlink" Target="https://img.yuyu-tei.jp/card_image/ws/front/gim/10051.jpg" TargetMode="External"/><Relationship Id="rId743" Type="http://schemas.openxmlformats.org/officeDocument/2006/relationships/hyperlink" Target="https://tcgplayer-cdn.tcgplayer.com/product/482813_in_1000x1000.jpg" TargetMode="External"/><Relationship Id="rId985" Type="http://schemas.openxmlformats.org/officeDocument/2006/relationships/hyperlink" Target="https://product-images.tcgplayer.com/fit-in/585x585/513481.jpg" TargetMode="External"/><Relationship Id="rId500" Type="http://schemas.openxmlformats.org/officeDocument/2006/relationships/hyperlink" Target="https://img.yuyu-tei.jp/card_image/ws/front/gim/10128.jpg" TargetMode="External"/><Relationship Id="rId742" Type="http://schemas.openxmlformats.org/officeDocument/2006/relationships/hyperlink" Target="https://tcgplayer-cdn.tcgplayer.com/product/482776_in_1000x1000.jpg" TargetMode="External"/><Relationship Id="rId984" Type="http://schemas.openxmlformats.org/officeDocument/2006/relationships/hyperlink" Target="https://product-images.tcgplayer.com/fit-in/585x585/513518.jpg" TargetMode="External"/><Relationship Id="rId507" Type="http://schemas.openxmlformats.org/officeDocument/2006/relationships/hyperlink" Target="https://img.yuyu-tei.jp/card_image/ws/front/gri2.0/10002.jpg" TargetMode="External"/><Relationship Id="rId749" Type="http://schemas.openxmlformats.org/officeDocument/2006/relationships/hyperlink" Target="https://img.yuyu-tei.jp/card_image/ws/front/kmn/10033.jpg" TargetMode="External"/><Relationship Id="rId506" Type="http://schemas.openxmlformats.org/officeDocument/2006/relationships/hyperlink" Target="https://img.yuyu-tei.jp/card_image/ws/front/gri3.0/10044.jpg" TargetMode="External"/><Relationship Id="rId748" Type="http://schemas.openxmlformats.org/officeDocument/2006/relationships/hyperlink" Target="https://img.yuyu-tei.jp/card_image/ws/front/kmn/10048.jpg" TargetMode="External"/><Relationship Id="rId505" Type="http://schemas.openxmlformats.org/officeDocument/2006/relationships/hyperlink" Target="https://product-images.tcgplayer.com/fit-in/376x376/169916.jpg" TargetMode="External"/><Relationship Id="rId747" Type="http://schemas.openxmlformats.org/officeDocument/2006/relationships/hyperlink" Target="https://card.yuyu-tei.jp/ws/front/kj8/10119.jpg" TargetMode="External"/><Relationship Id="rId989" Type="http://schemas.openxmlformats.org/officeDocument/2006/relationships/hyperlink" Target="https://tcgplayer-cdn.tcgplayer.com/product/622889_in_1000x1000.jpg" TargetMode="External"/><Relationship Id="rId504" Type="http://schemas.openxmlformats.org/officeDocument/2006/relationships/hyperlink" Target="https://product-images.tcgplayer.com/fit-in/376x376/169918.jpg" TargetMode="External"/><Relationship Id="rId746" Type="http://schemas.openxmlformats.org/officeDocument/2006/relationships/hyperlink" Target="https://card.yuyu-tei.jp/ws/front/kj8/10113.jpg" TargetMode="External"/><Relationship Id="rId988" Type="http://schemas.openxmlformats.org/officeDocument/2006/relationships/hyperlink" Target="https://tcgplayer-cdn.tcgplayer.com/product/622825_in_1000x1000.jpg" TargetMode="External"/><Relationship Id="rId48" Type="http://schemas.openxmlformats.org/officeDocument/2006/relationships/hyperlink" Target="https://card.yuyu-tei.jp/ws/front/lily/10134.jpg" TargetMode="External"/><Relationship Id="rId47" Type="http://schemas.openxmlformats.org/officeDocument/2006/relationships/hyperlink" Target="https://card.yuyu-tei.jp/ws/front/lily/10176.jpg" TargetMode="External"/><Relationship Id="rId49" Type="http://schemas.openxmlformats.org/officeDocument/2006/relationships/hyperlink" Target="https://card.yuyu-tei.jp/ws/front/lily3.0/10002.jpg" TargetMode="External"/><Relationship Id="rId741" Type="http://schemas.openxmlformats.org/officeDocument/2006/relationships/hyperlink" Target="https://product-images.tcgplayer.com/fit-in/437x437/482578.jpg" TargetMode="External"/><Relationship Id="rId983" Type="http://schemas.openxmlformats.org/officeDocument/2006/relationships/hyperlink" Target="https://product-images.tcgplayer.com/fit-in/585x585/513496.jpg" TargetMode="External"/><Relationship Id="rId1330" Type="http://schemas.openxmlformats.org/officeDocument/2006/relationships/hyperlink" Target="https://card.yuyu-tei.jp/ws/front/trv/10060.jpg" TargetMode="External"/><Relationship Id="rId740" Type="http://schemas.openxmlformats.org/officeDocument/2006/relationships/hyperlink" Target="https://product-images.tcgplayer.com/fit-in/437x437/482615.jpg" TargetMode="External"/><Relationship Id="rId982" Type="http://schemas.openxmlformats.org/officeDocument/2006/relationships/hyperlink" Target="https://product-images.tcgplayer.com/fit-in/585x585/513481.jpg" TargetMode="External"/><Relationship Id="rId1331" Type="http://schemas.openxmlformats.org/officeDocument/2006/relationships/hyperlink" Target="https://card.yuyu-tei.jp/ws/front/trv/10035.jpg" TargetMode="External"/><Relationship Id="rId981" Type="http://schemas.openxmlformats.org/officeDocument/2006/relationships/hyperlink" Target="https://product-images.tcgplayer.com/fit-in/585x585/513518.jpg" TargetMode="External"/><Relationship Id="rId1332" Type="http://schemas.openxmlformats.org/officeDocument/2006/relationships/hyperlink" Target="https://tcgplayer-cdn.tcgplayer.com/product/503819_in_1000x1000.jpg" TargetMode="External"/><Relationship Id="rId980" Type="http://schemas.openxmlformats.org/officeDocument/2006/relationships/hyperlink" Target="https://product-images.tcgplayer.com/fit-in/585x585/513496.jpg" TargetMode="External"/><Relationship Id="rId1333" Type="http://schemas.openxmlformats.org/officeDocument/2006/relationships/hyperlink" Target="https://tcgplayer-cdn.tcgplayer.com/product/503762_in_1000x1000.jpg" TargetMode="External"/><Relationship Id="rId1323" Type="http://schemas.openxmlformats.org/officeDocument/2006/relationships/hyperlink" Target="https://tcgplayer-cdn.tcgplayer.com/product/278118_in_1000x1000.jpg" TargetMode="External"/><Relationship Id="rId1324" Type="http://schemas.openxmlformats.org/officeDocument/2006/relationships/hyperlink" Target="https://tcgplayer-cdn.tcgplayer.com/product/278028_in_1000x1000.jpg" TargetMode="External"/><Relationship Id="rId31" Type="http://schemas.openxmlformats.org/officeDocument/2006/relationships/hyperlink" Target="https://tcgplayer-cdn.tcgplayer.com/product/498108_in_1000x1000.jpg" TargetMode="External"/><Relationship Id="rId1325" Type="http://schemas.openxmlformats.org/officeDocument/2006/relationships/hyperlink" Target="https://tcgplayer-cdn.tcgplayer.com/product/278073_in_1000x1000.jpg" TargetMode="External"/><Relationship Id="rId30" Type="http://schemas.openxmlformats.org/officeDocument/2006/relationships/hyperlink" Target="https://tcgplayer-cdn.tcgplayer.com/product/498223_in_1000x1000.jpg" TargetMode="External"/><Relationship Id="rId1326" Type="http://schemas.openxmlformats.org/officeDocument/2006/relationships/hyperlink" Target="https://tcgplayer-cdn.tcgplayer.com/product/278118_in_1000x1000.jpg" TargetMode="External"/><Relationship Id="rId33" Type="http://schemas.openxmlformats.org/officeDocument/2006/relationships/hyperlink" Target="https://tcgplayer-cdn.tcgplayer.com/product/498128_in_1000x1000.jpg" TargetMode="External"/><Relationship Id="rId1327" Type="http://schemas.openxmlformats.org/officeDocument/2006/relationships/hyperlink" Target="https://card.yuyu-tei.jp/ws/front/trv/10090.jpg" TargetMode="External"/><Relationship Id="rId32" Type="http://schemas.openxmlformats.org/officeDocument/2006/relationships/hyperlink" Target="https://tcgplayer-cdn.tcgplayer.com/product/498075_in_1000x1000.jpg" TargetMode="External"/><Relationship Id="rId1328" Type="http://schemas.openxmlformats.org/officeDocument/2006/relationships/hyperlink" Target="https://tcgplayer-cdn.tcgplayer.com/product/278073_in_1000x1000.jpg" TargetMode="External"/><Relationship Id="rId35" Type="http://schemas.openxmlformats.org/officeDocument/2006/relationships/hyperlink" Target="https://tcgplayer-cdn.tcgplayer.com/product/280623_in_1000x1000.jpg" TargetMode="External"/><Relationship Id="rId1329" Type="http://schemas.openxmlformats.org/officeDocument/2006/relationships/hyperlink" Target="https://card.yuyu-tei.jp/ws/front/trv/10033.jpg" TargetMode="External"/><Relationship Id="rId34" Type="http://schemas.openxmlformats.org/officeDocument/2006/relationships/hyperlink" Target="https://tcgplayer-cdn.tcgplayer.com/product/498108_in_1000x1000.jpg" TargetMode="External"/><Relationship Id="rId739" Type="http://schemas.openxmlformats.org/officeDocument/2006/relationships/hyperlink" Target="https://product-images.tcgplayer.com/fit-in/437x437/482824.jpg" TargetMode="External"/><Relationship Id="rId734" Type="http://schemas.openxmlformats.org/officeDocument/2006/relationships/hyperlink" Target="https://product-images.tcgplayer.com/fit-in/437x437/filters:quality(1)/482615.jpg" TargetMode="External"/><Relationship Id="rId976" Type="http://schemas.openxmlformats.org/officeDocument/2006/relationships/hyperlink" Target="https://tcgplayer-cdn.tcgplayer.com/product/513499_in_1000x1000.jpg" TargetMode="External"/><Relationship Id="rId733" Type="http://schemas.openxmlformats.org/officeDocument/2006/relationships/hyperlink" Target="https://product-images.tcgplayer.com/fit-in/437x437/482824.jpg" TargetMode="External"/><Relationship Id="rId975" Type="http://schemas.openxmlformats.org/officeDocument/2006/relationships/hyperlink" Target="https://tcgplayer-cdn.tcgplayer.com/product/513645_in_1000x1000.jpg" TargetMode="External"/><Relationship Id="rId732" Type="http://schemas.openxmlformats.org/officeDocument/2006/relationships/hyperlink" Target="https://media.discordapp.net/attachments/1053836222046412820/1468095681041404065/kcl_w78_043.png?ex=6982c626&amp;is=698174a6&amp;hm=78a1b0f1e6ff24d75859079f0b5fd0919c5eb68f535a55e5141f3d179ad5026e&amp;=&amp;format=webp&amp;quality=lossless&amp;width=800&amp;height=1118" TargetMode="External"/><Relationship Id="rId974" Type="http://schemas.openxmlformats.org/officeDocument/2006/relationships/hyperlink" Target="https://tcgplayer-cdn.tcgplayer.com/product/513548_in_1000x1000.jpg" TargetMode="External"/><Relationship Id="rId731" Type="http://schemas.openxmlformats.org/officeDocument/2006/relationships/hyperlink" Target="https://media.discordapp.net/attachments/1053836222046412820/1468095680735346821/key_we50_30.png?ex=6982c626&amp;is=698174a6&amp;hm=300d9433d378e700e7ddb75c32460611ce7b0b6d2058022f6bc2e878088e8629&amp;=&amp;format=webp&amp;quality=lossless&amp;width=856&amp;height=1192" TargetMode="External"/><Relationship Id="rId973" Type="http://schemas.openxmlformats.org/officeDocument/2006/relationships/hyperlink" Target="https://en.ws-tcg.com/wordpress/wp-content/images/cardimages/OVL/SE51-E50H.png" TargetMode="External"/><Relationship Id="rId738" Type="http://schemas.openxmlformats.org/officeDocument/2006/relationships/hyperlink" Target="https://tcgplayer-cdn.tcgplayer.com/product/240370_in_1000x1000.jpg" TargetMode="External"/><Relationship Id="rId737" Type="http://schemas.openxmlformats.org/officeDocument/2006/relationships/hyperlink" Target="https://tcgplayer-cdn.tcgplayer.com/product/482854_in_1000x1000.jpg" TargetMode="External"/><Relationship Id="rId979" Type="http://schemas.openxmlformats.org/officeDocument/2006/relationships/hyperlink" Target="https://card.yuyu-tei.jp/ws/front/ovlpb/10044.jpg" TargetMode="External"/><Relationship Id="rId736" Type="http://schemas.openxmlformats.org/officeDocument/2006/relationships/hyperlink" Target="https://tcgplayer-cdn.tcgplayer.com/product/482824_in_1000x1000.jpg" TargetMode="External"/><Relationship Id="rId978" Type="http://schemas.openxmlformats.org/officeDocument/2006/relationships/hyperlink" Target="https://card.yuyu-tei.jp/ws/front/ovl/10134.jpg" TargetMode="External"/><Relationship Id="rId735" Type="http://schemas.openxmlformats.org/officeDocument/2006/relationships/hyperlink" Target="https://product-images.tcgplayer.com/fit-in/437x437/482826.jpg" TargetMode="External"/><Relationship Id="rId977" Type="http://schemas.openxmlformats.org/officeDocument/2006/relationships/hyperlink" Target="https://card.yuyu-tei.jp/ws/front/ovlpb/10042.jpg" TargetMode="External"/><Relationship Id="rId37" Type="http://schemas.openxmlformats.org/officeDocument/2006/relationships/hyperlink" Target="https://product-images.tcgplayer.com/fit-in/437x437/498126.jpg" TargetMode="External"/><Relationship Id="rId36" Type="http://schemas.openxmlformats.org/officeDocument/2006/relationships/hyperlink" Target="https://tcgplayer-cdn.tcgplayer.com/product/498128_in_1000x1000.jpg" TargetMode="External"/><Relationship Id="rId39" Type="http://schemas.openxmlformats.org/officeDocument/2006/relationships/hyperlink" Target="https://tcgplayer-cdn.tcgplayer.com/product/498128_in_1000x1000.jpg" TargetMode="External"/><Relationship Id="rId38" Type="http://schemas.openxmlformats.org/officeDocument/2006/relationships/hyperlink" Target="https://tcgplayer-cdn.tcgplayer.com/product/280727_in_1000x1000.jpg" TargetMode="External"/><Relationship Id="rId730" Type="http://schemas.openxmlformats.org/officeDocument/2006/relationships/hyperlink" Target="https://media.discordapp.net/attachments/1053836222046412820/1468095680445812766/kka_w102_005.png?ex=6982c626&amp;is=698174a6&amp;hm=05b19509f99210277b6861e9528987a046c961142bbdc40bde91752f4649a736&amp;=&amp;format=webp&amp;quality=lossless&amp;width=800&amp;height=1114" TargetMode="External"/><Relationship Id="rId972" Type="http://schemas.openxmlformats.org/officeDocument/2006/relationships/hyperlink" Target="https://en.ws-tcg.com/wordpress/wp-content/images/cardimages/OVL/SE51-E56.png" TargetMode="External"/><Relationship Id="rId971" Type="http://schemas.openxmlformats.org/officeDocument/2006/relationships/hyperlink" Target="https://en.ws-tcg.com/wordpress/wp-content/images/cardimages/OVL/SE51-E48.png" TargetMode="External"/><Relationship Id="rId1320" Type="http://schemas.openxmlformats.org/officeDocument/2006/relationships/hyperlink" Target="https://tcgplayer-cdn.tcgplayer.com/product/278101_in_1000x1000.jpg" TargetMode="External"/><Relationship Id="rId970" Type="http://schemas.openxmlformats.org/officeDocument/2006/relationships/hyperlink" Target="https://tcgplayer-cdn.tcgplayer.com/product/223568_in_1000x1000.jpg" TargetMode="External"/><Relationship Id="rId1321" Type="http://schemas.openxmlformats.org/officeDocument/2006/relationships/hyperlink" Target="https://tcgplayer-cdn.tcgplayer.com/product/277891_in_1000x1000.jpg" TargetMode="External"/><Relationship Id="rId1322" Type="http://schemas.openxmlformats.org/officeDocument/2006/relationships/hyperlink" Target="https://tcgplayer-cdn.tcgplayer.com/product/278073_in_1000x1000.jpg" TargetMode="External"/><Relationship Id="rId1114" Type="http://schemas.openxmlformats.org/officeDocument/2006/relationships/hyperlink" Target="https://product-images.tcgplayer.com/fit-in/437x437/filters:quality(1)/256849.jpg" TargetMode="External"/><Relationship Id="rId1356" Type="http://schemas.openxmlformats.org/officeDocument/2006/relationships/hyperlink" Target="https://product-images.tcgplayer.com/fit-in/437x437/filters:quality(1)/503615.jpg" TargetMode="External"/><Relationship Id="rId1115" Type="http://schemas.openxmlformats.org/officeDocument/2006/relationships/hyperlink" Target="https://en.ws-tcg.com/wordpress/wp-content/images/cardimages/RWBY/WXE01_20.png" TargetMode="External"/><Relationship Id="rId1357" Type="http://schemas.openxmlformats.org/officeDocument/2006/relationships/hyperlink" Target="https://product-images.tcgplayer.com/fit-in/437x437/filters:quality(1)/248678.jpg" TargetMode="External"/><Relationship Id="rId20" Type="http://schemas.openxmlformats.org/officeDocument/2006/relationships/hyperlink" Target="https://tcgplayer-cdn.tcgplayer.com/product/498223_in_1000x1000.jpg" TargetMode="External"/><Relationship Id="rId1116" Type="http://schemas.openxmlformats.org/officeDocument/2006/relationships/hyperlink" Target="https://product-images.tcgplayer.com/fit-in/437x437/256855.jpg" TargetMode="External"/><Relationship Id="rId1358" Type="http://schemas.openxmlformats.org/officeDocument/2006/relationships/hyperlink" Target="https://product-images.tcgplayer.com/fit-in/437x437/503717.jpg" TargetMode="External"/><Relationship Id="rId1117" Type="http://schemas.openxmlformats.org/officeDocument/2006/relationships/hyperlink" Target="https://tcgplayer-cdn.tcgplayer.com/product/555340_in_1000x1000.jpg" TargetMode="External"/><Relationship Id="rId1359" Type="http://schemas.openxmlformats.org/officeDocument/2006/relationships/hyperlink" Target="https://product-images.tcgplayer.com/fit-in/437x437/250416.jpg" TargetMode="External"/><Relationship Id="rId22" Type="http://schemas.openxmlformats.org/officeDocument/2006/relationships/hyperlink" Target="https://tcgplayer-cdn.tcgplayer.com/product/498180_in_1000x1000.jpg" TargetMode="External"/><Relationship Id="rId1118" Type="http://schemas.openxmlformats.org/officeDocument/2006/relationships/hyperlink" Target="https://product-images.tcgplayer.com/fit-in/585x585/filters:quality(1)/256877.jpg" TargetMode="External"/><Relationship Id="rId21" Type="http://schemas.openxmlformats.org/officeDocument/2006/relationships/hyperlink" Target="https://tcgplayer-cdn.tcgplayer.com/product/281124_in_1000x1000.jpg" TargetMode="External"/><Relationship Id="rId1119" Type="http://schemas.openxmlformats.org/officeDocument/2006/relationships/hyperlink" Target="https://product-images.tcgplayer.com/fit-in/437x437/256855.jpg" TargetMode="External"/><Relationship Id="rId24" Type="http://schemas.openxmlformats.org/officeDocument/2006/relationships/hyperlink" Target="https://tcgplayer-cdn.tcgplayer.com/product/281124_in_1000x1000.jpg" TargetMode="External"/><Relationship Id="rId23" Type="http://schemas.openxmlformats.org/officeDocument/2006/relationships/hyperlink" Target="https://tcgplayer-cdn.tcgplayer.com/product/498223_in_1000x1000.jpg" TargetMode="External"/><Relationship Id="rId525" Type="http://schemas.openxmlformats.org/officeDocument/2006/relationships/hyperlink" Target="https://img.yuyu-tei.jp/card_image/ws/front/gochiusapb/10003.jpg" TargetMode="External"/><Relationship Id="rId767" Type="http://schemas.openxmlformats.org/officeDocument/2006/relationships/hyperlink" Target="https://tcgplayer-cdn.tcgplayer.com/product/224181_in_1000x1000.jpg" TargetMode="External"/><Relationship Id="rId524" Type="http://schemas.openxmlformats.org/officeDocument/2006/relationships/hyperlink" Target="https://img.yuyu-tei.jp/card_image/ws/front/gochiusapb/10004.jpg" TargetMode="External"/><Relationship Id="rId766" Type="http://schemas.openxmlformats.org/officeDocument/2006/relationships/hyperlink" Target="https://tcgplayer-cdn.tcgplayer.com/product/224738_in_1000x1000.jpg" TargetMode="External"/><Relationship Id="rId523" Type="http://schemas.openxmlformats.org/officeDocument/2006/relationships/hyperlink" Target="https://img.yuyu-tei.jp/card_image/ws/front/gochiusabloom/10081.jpg" TargetMode="External"/><Relationship Id="rId765" Type="http://schemas.openxmlformats.org/officeDocument/2006/relationships/hyperlink" Target="https://tcgplayer-cdn.tcgplayer.com/product/141848_in_1000x1000.jpg" TargetMode="External"/><Relationship Id="rId522" Type="http://schemas.openxmlformats.org/officeDocument/2006/relationships/hyperlink" Target="https://img.yuyu-tei.jp/card_image/ws/front/gochiusabloom/10079.jpg" TargetMode="External"/><Relationship Id="rId764" Type="http://schemas.openxmlformats.org/officeDocument/2006/relationships/hyperlink" Target="https://tcgplayer-cdn.tcgplayer.com/product/141865_in_1000x1000.jpg" TargetMode="External"/><Relationship Id="rId529" Type="http://schemas.openxmlformats.org/officeDocument/2006/relationships/hyperlink" Target="https://img.yuyu-tei.jp/card_image/ws/front/gochiusabloom/10081.jpg" TargetMode="External"/><Relationship Id="rId528" Type="http://schemas.openxmlformats.org/officeDocument/2006/relationships/hyperlink" Target="https://img.yuyu-tei.jp/card_image/ws/front/gochiusapb/10004.jpg" TargetMode="External"/><Relationship Id="rId527" Type="http://schemas.openxmlformats.org/officeDocument/2006/relationships/hyperlink" Target="https://img.yuyu-tei.jp/card_image/ws/front/gochiusabloom/10077.jpg" TargetMode="External"/><Relationship Id="rId769" Type="http://schemas.openxmlformats.org/officeDocument/2006/relationships/hyperlink" Target="https://tcgplayer-cdn.tcgplayer.com/product/663491_in_1000x1000.jpg" TargetMode="External"/><Relationship Id="rId526" Type="http://schemas.openxmlformats.org/officeDocument/2006/relationships/hyperlink" Target="https://img.yuyu-tei.jp/card_image/ws/front/gochiusapb/10013.jpg" TargetMode="External"/><Relationship Id="rId768" Type="http://schemas.openxmlformats.org/officeDocument/2006/relationships/hyperlink" Target="https://tcgplayer-cdn.tcgplayer.com/product/224180_in_1000x1000.jpg" TargetMode="External"/><Relationship Id="rId26" Type="http://schemas.openxmlformats.org/officeDocument/2006/relationships/hyperlink" Target="https://tcgplayer-cdn.tcgplayer.com/product/498207_in_1000x1000.jpg" TargetMode="External"/><Relationship Id="rId25" Type="http://schemas.openxmlformats.org/officeDocument/2006/relationships/hyperlink" Target="https://product-images.tcgplayer.com/fit-in/437x437/filters:quality(1)/498180.jpg" TargetMode="External"/><Relationship Id="rId28" Type="http://schemas.openxmlformats.org/officeDocument/2006/relationships/hyperlink" Target="https://product-images.tcgplayer.com/fit-in/437x437/281155.jpg" TargetMode="External"/><Relationship Id="rId1350" Type="http://schemas.openxmlformats.org/officeDocument/2006/relationships/hyperlink" Target="https://product-images.tcgplayer.com/fit-in/437x437/250416.jpg" TargetMode="External"/><Relationship Id="rId27" Type="http://schemas.openxmlformats.org/officeDocument/2006/relationships/hyperlink" Target="https://product-images.tcgplayer.com/fit-in/437x437/281124.jpg" TargetMode="External"/><Relationship Id="rId1351" Type="http://schemas.openxmlformats.org/officeDocument/2006/relationships/hyperlink" Target="https://product-images.tcgplayer.com/fit-in/437x437/503819.jpg" TargetMode="External"/><Relationship Id="rId521" Type="http://schemas.openxmlformats.org/officeDocument/2006/relationships/hyperlink" Target="https://img.yuyu-tei.jp/card_image/ws/front/gochiusabloom/10077.jpg" TargetMode="External"/><Relationship Id="rId763" Type="http://schemas.openxmlformats.org/officeDocument/2006/relationships/hyperlink" Target="https://tcgplayer-cdn.tcgplayer.com/product/181045_in_1000x1000.jpg" TargetMode="External"/><Relationship Id="rId1110" Type="http://schemas.openxmlformats.org/officeDocument/2006/relationships/hyperlink" Target="https://product-images.tcgplayer.com/fit-in/437x437/256855.jpg" TargetMode="External"/><Relationship Id="rId1352" Type="http://schemas.openxmlformats.org/officeDocument/2006/relationships/hyperlink" Target="https://product-images.tcgplayer.com/fit-in/437x437/filters:quality(1)/503797.jpg" TargetMode="External"/><Relationship Id="rId29" Type="http://schemas.openxmlformats.org/officeDocument/2006/relationships/hyperlink" Target="https://product-images.tcgplayer.com/fit-in/437x437/filters:quality(1)/498180.jpg" TargetMode="External"/><Relationship Id="rId520" Type="http://schemas.openxmlformats.org/officeDocument/2006/relationships/hyperlink" Target="https://img.yuyu-tei.jp/card_image/ws/front/gri3.0/10018.jpg" TargetMode="External"/><Relationship Id="rId762" Type="http://schemas.openxmlformats.org/officeDocument/2006/relationships/hyperlink" Target="https://product-images.tcgplayer.com/fit-in/585x585/262068.jpg" TargetMode="External"/><Relationship Id="rId1111" Type="http://schemas.openxmlformats.org/officeDocument/2006/relationships/hyperlink" Target="https://tcgplayer-cdn.tcgplayer.com/product/256826_in_1000x1000.jpg" TargetMode="External"/><Relationship Id="rId1353" Type="http://schemas.openxmlformats.org/officeDocument/2006/relationships/hyperlink" Target="https://product-images.tcgplayer.com/fit-in/585x585/248671.jpg" TargetMode="External"/><Relationship Id="rId761" Type="http://schemas.openxmlformats.org/officeDocument/2006/relationships/hyperlink" Target="https://product-images.tcgplayer.com/fit-in/585x585/262070.jpg" TargetMode="External"/><Relationship Id="rId1112" Type="http://schemas.openxmlformats.org/officeDocument/2006/relationships/hyperlink" Target="https://tcgplayer-cdn.tcgplayer.com/product/256913_in_1000x1000.jpg" TargetMode="External"/><Relationship Id="rId1354" Type="http://schemas.openxmlformats.org/officeDocument/2006/relationships/hyperlink" Target="https://product-images.tcgplayer.com/fit-in/437x437/503819.jpg" TargetMode="External"/><Relationship Id="rId760" Type="http://schemas.openxmlformats.org/officeDocument/2006/relationships/hyperlink" Target="https://product-images.tcgplayer.com/fit-in/585x585/262030.jpg" TargetMode="External"/><Relationship Id="rId1113" Type="http://schemas.openxmlformats.org/officeDocument/2006/relationships/hyperlink" Target="https://tcgplayer-cdn.tcgplayer.com/product/256927_in_1000x1000.jpg" TargetMode="External"/><Relationship Id="rId1355" Type="http://schemas.openxmlformats.org/officeDocument/2006/relationships/hyperlink" Target="https://product-images.tcgplayer.com/fit-in/437x437/filters:quality(1)/503797.jpg" TargetMode="External"/><Relationship Id="rId1103" Type="http://schemas.openxmlformats.org/officeDocument/2006/relationships/hyperlink" Target="https://product-images.tcgplayer.com/fit-in/585x585/501852.jpg" TargetMode="External"/><Relationship Id="rId1345" Type="http://schemas.openxmlformats.org/officeDocument/2006/relationships/hyperlink" Target="https://product-images.tcgplayer.com/fit-in/585x585/218785.jpg" TargetMode="External"/><Relationship Id="rId1104" Type="http://schemas.openxmlformats.org/officeDocument/2006/relationships/hyperlink" Target="https://product-images.tcgplayer.com/fit-in/585x585/filters:quality(1)/501795.jpg" TargetMode="External"/><Relationship Id="rId1346" Type="http://schemas.openxmlformats.org/officeDocument/2006/relationships/hyperlink" Target="https://product-images.tcgplayer.com/fit-in/585x585/247882.jpg" TargetMode="External"/><Relationship Id="rId1105" Type="http://schemas.openxmlformats.org/officeDocument/2006/relationships/hyperlink" Target="https://tcgplayer-cdn.tcgplayer.com/product/256861_in_1000x1000.jpg" TargetMode="External"/><Relationship Id="rId1347" Type="http://schemas.openxmlformats.org/officeDocument/2006/relationships/hyperlink" Target="https://product-images.tcgplayer.com/fit-in/780x780/250461.jpg" TargetMode="External"/><Relationship Id="rId1106" Type="http://schemas.openxmlformats.org/officeDocument/2006/relationships/hyperlink" Target="https://tcgplayer-cdn.tcgplayer.com/product/256886_in_1000x1000.jpg" TargetMode="External"/><Relationship Id="rId1348" Type="http://schemas.openxmlformats.org/officeDocument/2006/relationships/hyperlink" Target="https://product-images.tcgplayer.com/fit-in/437x437/503819.jpg" TargetMode="External"/><Relationship Id="rId11" Type="http://schemas.openxmlformats.org/officeDocument/2006/relationships/hyperlink" Target="https://product-images.tcgplayer.com/fit-in/437x437/filters:quality(1)/498219.jpg" TargetMode="External"/><Relationship Id="rId1107" Type="http://schemas.openxmlformats.org/officeDocument/2006/relationships/hyperlink" Target="https://tcgplayer-cdn.tcgplayer.com/product/256853_in_1000x1000.jpg" TargetMode="External"/><Relationship Id="rId1349" Type="http://schemas.openxmlformats.org/officeDocument/2006/relationships/hyperlink" Target="https://product-images.tcgplayer.com/fit-in/437x437/filters:quality(1)/503797.jpg" TargetMode="External"/><Relationship Id="rId10" Type="http://schemas.openxmlformats.org/officeDocument/2006/relationships/hyperlink" Target="https://product-images.tcgplayer.com/fit-in/437x437/498205.jpg" TargetMode="External"/><Relationship Id="rId1108" Type="http://schemas.openxmlformats.org/officeDocument/2006/relationships/hyperlink" Target="https://product-images.tcgplayer.com/fit-in/656x656/555383.jpg" TargetMode="External"/><Relationship Id="rId13" Type="http://schemas.openxmlformats.org/officeDocument/2006/relationships/hyperlink" Target="https://product-images.tcgplayer.com/fit-in/376x376/498248.jpg" TargetMode="External"/><Relationship Id="rId1109" Type="http://schemas.openxmlformats.org/officeDocument/2006/relationships/hyperlink" Target="https://product-images.tcgplayer.com/fit-in/656x656/256877.jpg" TargetMode="External"/><Relationship Id="rId12" Type="http://schemas.openxmlformats.org/officeDocument/2006/relationships/hyperlink" Target="https://product-images.tcgplayer.com/fit-in/437x437/498184.jpg" TargetMode="External"/><Relationship Id="rId519" Type="http://schemas.openxmlformats.org/officeDocument/2006/relationships/hyperlink" Target="https://img.yuyu-tei.jp/card_image/ws/front/gri2.0/10002.jpg" TargetMode="External"/><Relationship Id="rId514" Type="http://schemas.openxmlformats.org/officeDocument/2006/relationships/hyperlink" Target="https://img.yuyu-tei.jp/card_image/ws/front/gri2.0/10103.jpg" TargetMode="External"/><Relationship Id="rId756" Type="http://schemas.openxmlformats.org/officeDocument/2006/relationships/hyperlink" Target="https://card.yuyu-tei.jp/ws/front/knk2.0/10018.jpg" TargetMode="External"/><Relationship Id="rId998" Type="http://schemas.openxmlformats.org/officeDocument/2006/relationships/hyperlink" Target="https://tcgplayer-cdn.tcgplayer.com/product/106389_in_1000x1000.jpg" TargetMode="External"/><Relationship Id="rId513" Type="http://schemas.openxmlformats.org/officeDocument/2006/relationships/hyperlink" Target="https://img.yuyu-tei.jp/card_image/ws/front/gri2.0/10116.jpg" TargetMode="External"/><Relationship Id="rId755" Type="http://schemas.openxmlformats.org/officeDocument/2006/relationships/hyperlink" Target="https://card.yuyu-tei.jp/ws/front/knk2.0/10017.jpg" TargetMode="External"/><Relationship Id="rId997" Type="http://schemas.openxmlformats.org/officeDocument/2006/relationships/hyperlink" Target="https://tcgplayer-cdn.tcgplayer.com/product/103440_in_1000x1000.jpg" TargetMode="External"/><Relationship Id="rId512" Type="http://schemas.openxmlformats.org/officeDocument/2006/relationships/hyperlink" Target="https://img.yuyu-tei.jp/card_image/ws/front/gri2.0/10115.jpg" TargetMode="External"/><Relationship Id="rId754" Type="http://schemas.openxmlformats.org/officeDocument/2006/relationships/hyperlink" Target="https://card.yuyu-tei.jp/ws/front/knk2.0/10019.jpg" TargetMode="External"/><Relationship Id="rId996" Type="http://schemas.openxmlformats.org/officeDocument/2006/relationships/hyperlink" Target="https://tcgplayer-cdn.tcgplayer.com/product/106978_in_1000x1000.jpg" TargetMode="External"/><Relationship Id="rId511" Type="http://schemas.openxmlformats.org/officeDocument/2006/relationships/hyperlink" Target="https://product-images.tcgplayer.com/fit-in/818x818/496700.jpg" TargetMode="External"/><Relationship Id="rId753" Type="http://schemas.openxmlformats.org/officeDocument/2006/relationships/hyperlink" Target="https://card.yuyu-tei.jp/ws/front/kms/10051.jpg" TargetMode="External"/><Relationship Id="rId995" Type="http://schemas.openxmlformats.org/officeDocument/2006/relationships/hyperlink" Target="https://tcgplayer-cdn.tcgplayer.com/product/158859_in_1000x1000.jpg" TargetMode="External"/><Relationship Id="rId518" Type="http://schemas.openxmlformats.org/officeDocument/2006/relationships/hyperlink" Target="https://img.yuyu-tei.jp/card_image/ws/front/gri3.0/10017.jpg" TargetMode="External"/><Relationship Id="rId517" Type="http://schemas.openxmlformats.org/officeDocument/2006/relationships/hyperlink" Target="https://img.yuyu-tei.jp/card_image/ws/front/gri3.0/10040.jpg" TargetMode="External"/><Relationship Id="rId759" Type="http://schemas.openxmlformats.org/officeDocument/2006/relationships/hyperlink" Target="https://product-images.tcgplayer.com/fit-in/437x437/filters:quality(1)/261987.jpg" TargetMode="External"/><Relationship Id="rId516" Type="http://schemas.openxmlformats.org/officeDocument/2006/relationships/hyperlink" Target="https://img.yuyu-tei.jp/card_image/ws/front/gri3.0/10055.jpg" TargetMode="External"/><Relationship Id="rId758" Type="http://schemas.openxmlformats.org/officeDocument/2006/relationships/hyperlink" Target="https://product-images.tcgplayer.com/fit-in/437x437/filters:quality(1)/262018.jpg" TargetMode="External"/><Relationship Id="rId515" Type="http://schemas.openxmlformats.org/officeDocument/2006/relationships/hyperlink" Target="https://img.yuyu-tei.jp/card_image/ws/front/gri3.0/10044.jpg" TargetMode="External"/><Relationship Id="rId757" Type="http://schemas.openxmlformats.org/officeDocument/2006/relationships/hyperlink" Target="https://product-images.tcgplayer.com/fit-in/437x437/261984.jpg" TargetMode="External"/><Relationship Id="rId999" Type="http://schemas.openxmlformats.org/officeDocument/2006/relationships/hyperlink" Target="https://tcgplayer-cdn.tcgplayer.com/product/639056_in_1000x1000.jpg" TargetMode="External"/><Relationship Id="rId15" Type="http://schemas.openxmlformats.org/officeDocument/2006/relationships/hyperlink" Target="https://product-images.tcgplayer.com/fit-in/376x376/498250.jpg" TargetMode="External"/><Relationship Id="rId990" Type="http://schemas.openxmlformats.org/officeDocument/2006/relationships/hyperlink" Target="https://tcgplayer-cdn.tcgplayer.com/product/622873_in_1000x1000.jpg" TargetMode="External"/><Relationship Id="rId14" Type="http://schemas.openxmlformats.org/officeDocument/2006/relationships/hyperlink" Target="https://img.yuyu-tei.jp/card_image/ws/front/5hypb/10043.jpg" TargetMode="External"/><Relationship Id="rId17" Type="http://schemas.openxmlformats.org/officeDocument/2006/relationships/hyperlink" Target="https://en.ws-tcg.com/wordpress/wp-content/images/cardimages/5HYM/W101_E081.png" TargetMode="External"/><Relationship Id="rId16" Type="http://schemas.openxmlformats.org/officeDocument/2006/relationships/hyperlink" Target="https://en.ws-tcg.com/wordpress/wp-content/images/cardimages/5HYPB/WE43_E37.png" TargetMode="External"/><Relationship Id="rId1340" Type="http://schemas.openxmlformats.org/officeDocument/2006/relationships/hyperlink" Target="https://product-images.tcgplayer.com/fit-in/656x656/503797.jpg" TargetMode="External"/><Relationship Id="rId19" Type="http://schemas.openxmlformats.org/officeDocument/2006/relationships/hyperlink" Target="https://tcgplayer-cdn.tcgplayer.com/product/498180_in_1000x1000.jpg" TargetMode="External"/><Relationship Id="rId510" Type="http://schemas.openxmlformats.org/officeDocument/2006/relationships/hyperlink" Target="https://product-images.tcgplayer.com/fit-in/818x818/496589.jpg" TargetMode="External"/><Relationship Id="rId752" Type="http://schemas.openxmlformats.org/officeDocument/2006/relationships/hyperlink" Target="https://card.yuyu-tei.jp/ws/front/kms/10050.jpg" TargetMode="External"/><Relationship Id="rId994" Type="http://schemas.openxmlformats.org/officeDocument/2006/relationships/hyperlink" Target="https://tcgplayer-cdn.tcgplayer.com/product/158933_in_1000x1000.jpg" TargetMode="External"/><Relationship Id="rId1341" Type="http://schemas.openxmlformats.org/officeDocument/2006/relationships/hyperlink" Target="https://tcgplayer-cdn.tcgplayer.com/product/503611_in_1000x1000.jpg" TargetMode="External"/><Relationship Id="rId18" Type="http://schemas.openxmlformats.org/officeDocument/2006/relationships/hyperlink" Target="https://tcgplayer-cdn.tcgplayer.com/product/498180_in_1000x1000.jpg" TargetMode="External"/><Relationship Id="rId751" Type="http://schemas.openxmlformats.org/officeDocument/2006/relationships/hyperlink" Target="https://card.yuyu-tei.jp/ws/front/kms/10048.jpg" TargetMode="External"/><Relationship Id="rId993" Type="http://schemas.openxmlformats.org/officeDocument/2006/relationships/hyperlink" Target="https://tcgplayer-cdn.tcgplayer.com/product/158869_in_1000x1000.jpg" TargetMode="External"/><Relationship Id="rId1100" Type="http://schemas.openxmlformats.org/officeDocument/2006/relationships/hyperlink" Target="https://product-images.tcgplayer.com/fit-in/804x804/501952.jpg" TargetMode="External"/><Relationship Id="rId1342" Type="http://schemas.openxmlformats.org/officeDocument/2006/relationships/hyperlink" Target="https://product-images.tcgplayer.com/fit-in/437x437/filters:quality(1)/503797.jpg" TargetMode="External"/><Relationship Id="rId750" Type="http://schemas.openxmlformats.org/officeDocument/2006/relationships/hyperlink" Target="https://img.yuyu-tei.jp/card_image/ws/front/kmn/10029.jpg" TargetMode="External"/><Relationship Id="rId992" Type="http://schemas.openxmlformats.org/officeDocument/2006/relationships/hyperlink" Target="https://tcgplayer-cdn.tcgplayer.com/product/622838_in_1000x1000.jpg" TargetMode="External"/><Relationship Id="rId1101" Type="http://schemas.openxmlformats.org/officeDocument/2006/relationships/hyperlink" Target="https://product-images.tcgplayer.com/fit-in/804x804/514914.jpg" TargetMode="External"/><Relationship Id="rId1343" Type="http://schemas.openxmlformats.org/officeDocument/2006/relationships/hyperlink" Target="https://product-images.tcgplayer.com/fit-in/656x656/503797.jpg" TargetMode="External"/><Relationship Id="rId991" Type="http://schemas.openxmlformats.org/officeDocument/2006/relationships/hyperlink" Target="https://tcgplayer-cdn.tcgplayer.com/product/622834_in_1000x1000.jpg" TargetMode="External"/><Relationship Id="rId1102" Type="http://schemas.openxmlformats.org/officeDocument/2006/relationships/hyperlink" Target="https://product-images.tcgplayer.com/fit-in/780x780/501793.jpg" TargetMode="External"/><Relationship Id="rId1344" Type="http://schemas.openxmlformats.org/officeDocument/2006/relationships/hyperlink" Target="https://product-images.tcgplayer.com/fit-in/585x585/filters:quality(1)/218586.jpg" TargetMode="External"/><Relationship Id="rId84" Type="http://schemas.openxmlformats.org/officeDocument/2006/relationships/hyperlink" Target="https://product-images.tcgplayer.com/fit-in/437x437/filters:quality(1)/527034.jpg" TargetMode="External"/><Relationship Id="rId83" Type="http://schemas.openxmlformats.org/officeDocument/2006/relationships/hyperlink" Target="https://product-images.tcgplayer.com/fit-in/437x437/527012.jpg" TargetMode="External"/><Relationship Id="rId86" Type="http://schemas.openxmlformats.org/officeDocument/2006/relationships/hyperlink" Target="https://tcgplayer-cdn.tcgplayer.com/product/220333_in_1000x1000.jpg" TargetMode="External"/><Relationship Id="rId85" Type="http://schemas.openxmlformats.org/officeDocument/2006/relationships/hyperlink" Target="https://product-images.tcgplayer.com/fit-in/437x437/527046.jpg" TargetMode="External"/><Relationship Id="rId88" Type="http://schemas.openxmlformats.org/officeDocument/2006/relationships/hyperlink" Target="https://tcgplayer-cdn.tcgplayer.com/product/223735_in_1000x1000.jpg" TargetMode="External"/><Relationship Id="rId87" Type="http://schemas.openxmlformats.org/officeDocument/2006/relationships/hyperlink" Target="https://tcgplayer-cdn.tcgplayer.com/product/228312_in_1000x1000.jpg" TargetMode="External"/><Relationship Id="rId89" Type="http://schemas.openxmlformats.org/officeDocument/2006/relationships/hyperlink" Target="https://product-images.tcgplayer.com/fit-in/416x416/500672.jpg" TargetMode="External"/><Relationship Id="rId709" Type="http://schemas.openxmlformats.org/officeDocument/2006/relationships/hyperlink" Target="https://card.yuyu-tei.jp/ws/front/isctd/10053.jpg" TargetMode="External"/><Relationship Id="rId708" Type="http://schemas.openxmlformats.org/officeDocument/2006/relationships/hyperlink" Target="https://img.yuyu-tei.jp/card_image/ws/front/isc2.0/10076.jpg" TargetMode="External"/><Relationship Id="rId707" Type="http://schemas.openxmlformats.org/officeDocument/2006/relationships/hyperlink" Target="https://img.yuyu-tei.jp/card_image/ws/front/isc2.0/10066.jpg" TargetMode="External"/><Relationship Id="rId949" Type="http://schemas.openxmlformats.org/officeDocument/2006/relationships/hyperlink" Target="https://tcgplayer-cdn.tcgplayer.com/product/685755_in_1000x1000.jpg" TargetMode="External"/><Relationship Id="rId706" Type="http://schemas.openxmlformats.org/officeDocument/2006/relationships/hyperlink" Target="https://img.yuyu-tei.jp/card_image/ws/front/isc/10038.jpg" TargetMode="External"/><Relationship Id="rId948" Type="http://schemas.openxmlformats.org/officeDocument/2006/relationships/hyperlink" Target="https://tcgplayer-cdn.tcgplayer.com/product/685772_in_1000x1000.jpg" TargetMode="External"/><Relationship Id="rId80" Type="http://schemas.openxmlformats.org/officeDocument/2006/relationships/hyperlink" Target="https://tcgplayer-cdn.tcgplayer.com/product/526813_in_1000x1000.jpg" TargetMode="External"/><Relationship Id="rId82" Type="http://schemas.openxmlformats.org/officeDocument/2006/relationships/hyperlink" Target="https://tcgplayer-cdn.tcgplayer.com/product/526813_in_1000x1000.jpg" TargetMode="External"/><Relationship Id="rId81" Type="http://schemas.openxmlformats.org/officeDocument/2006/relationships/hyperlink" Target="https://tcgplayer-cdn.tcgplayer.com/product/526684_in_1000x1000.jpg" TargetMode="External"/><Relationship Id="rId701" Type="http://schemas.openxmlformats.org/officeDocument/2006/relationships/hyperlink" Target="https://img.yuyu-tei.jp/card_image/ws/front/isc2.0/10097.jpg" TargetMode="External"/><Relationship Id="rId943" Type="http://schemas.openxmlformats.org/officeDocument/2006/relationships/hyperlink" Target="https://tcgplayer-cdn.tcgplayer.com/product/626118_in_1000x1000.jpg" TargetMode="External"/><Relationship Id="rId700" Type="http://schemas.openxmlformats.org/officeDocument/2006/relationships/hyperlink" Target="https://img.yuyu-tei.jp/card_image/ws/front/isc2.0/10045.jpg" TargetMode="External"/><Relationship Id="rId942" Type="http://schemas.openxmlformats.org/officeDocument/2006/relationships/hyperlink" Target="https://tcgplayer-cdn.tcgplayer.com/product/626184_in_1000x1000.jpg" TargetMode="External"/><Relationship Id="rId941" Type="http://schemas.openxmlformats.org/officeDocument/2006/relationships/hyperlink" Target="https://tcgplayer-cdn.tcgplayer.com/product/626200_in_1000x1000.jpg" TargetMode="External"/><Relationship Id="rId940" Type="http://schemas.openxmlformats.org/officeDocument/2006/relationships/hyperlink" Target="https://tcgplayer-cdn.tcgplayer.com/product/626118_in_1000x1000.jpg" TargetMode="External"/><Relationship Id="rId705" Type="http://schemas.openxmlformats.org/officeDocument/2006/relationships/hyperlink" Target="https://card.yuyu-tei.jp/ws/front/isc2.0/10147.jpg" TargetMode="External"/><Relationship Id="rId947" Type="http://schemas.openxmlformats.org/officeDocument/2006/relationships/hyperlink" Target="https://tcgplayer-cdn.tcgplayer.com/product/626184_in_1000x1000.jpg" TargetMode="External"/><Relationship Id="rId704" Type="http://schemas.openxmlformats.org/officeDocument/2006/relationships/hyperlink" Target="https://card.yuyu-tei.jp/ws/front/isc2.0/10301.jpg" TargetMode="External"/><Relationship Id="rId946" Type="http://schemas.openxmlformats.org/officeDocument/2006/relationships/hyperlink" Target="https://tcgplayer-cdn.tcgplayer.com/product/626200_in_1000x1000.jpg" TargetMode="External"/><Relationship Id="rId703" Type="http://schemas.openxmlformats.org/officeDocument/2006/relationships/hyperlink" Target="https://card.yuyu-tei.jp/ws/front/isc2.0/10065.jpg" TargetMode="External"/><Relationship Id="rId945" Type="http://schemas.openxmlformats.org/officeDocument/2006/relationships/hyperlink" Target="https://img.yuyu-tei.jp/card_image/ws/front/nik/10110.jpg" TargetMode="External"/><Relationship Id="rId702" Type="http://schemas.openxmlformats.org/officeDocument/2006/relationships/hyperlink" Target="https://img.yuyu-tei.jp/card_image/ws/front/isc2.0/10105.jpg" TargetMode="External"/><Relationship Id="rId944" Type="http://schemas.openxmlformats.org/officeDocument/2006/relationships/hyperlink" Target="https://tcgplayer-cdn.tcgplayer.com/product/626320_in_1000x1000.jpg" TargetMode="External"/><Relationship Id="rId73" Type="http://schemas.openxmlformats.org/officeDocument/2006/relationships/hyperlink" Target="https://tcgplayer-cdn.tcgplayer.com/product/146489_in_1000x1000.jpg" TargetMode="External"/><Relationship Id="rId72" Type="http://schemas.openxmlformats.org/officeDocument/2006/relationships/hyperlink" Target="https://tcgplayer-cdn.tcgplayer.com/product/285292_in_1000x1000.jpg" TargetMode="External"/><Relationship Id="rId75" Type="http://schemas.openxmlformats.org/officeDocument/2006/relationships/hyperlink" Target="https://tcgplayer-cdn.tcgplayer.com/product/146570_in_1000x1000.jpg" TargetMode="External"/><Relationship Id="rId74" Type="http://schemas.openxmlformats.org/officeDocument/2006/relationships/hyperlink" Target="https://tcgplayer-cdn.tcgplayer.com/product/102583_in_1000x1000.jpg" TargetMode="External"/><Relationship Id="rId77" Type="http://schemas.openxmlformats.org/officeDocument/2006/relationships/hyperlink" Target="https://tcgplayer-cdn.tcgplayer.com/product/526813_in_1000x1000.jpg" TargetMode="External"/><Relationship Id="rId76" Type="http://schemas.openxmlformats.org/officeDocument/2006/relationships/hyperlink" Target="https://tcgplayer-cdn.tcgplayer.com/product/526684_in_1000x1000.jpg" TargetMode="External"/><Relationship Id="rId79" Type="http://schemas.openxmlformats.org/officeDocument/2006/relationships/hyperlink" Target="https://tcgplayer-cdn.tcgplayer.com/product/526684_in_1000x1000.jpg" TargetMode="External"/><Relationship Id="rId78" Type="http://schemas.openxmlformats.org/officeDocument/2006/relationships/hyperlink" Target="https://tcgplayer-cdn.tcgplayer.com/product/526786_in_1000x1000.jpg" TargetMode="External"/><Relationship Id="rId939" Type="http://schemas.openxmlformats.org/officeDocument/2006/relationships/hyperlink" Target="https://tcgplayer-cdn.tcgplayer.com/product/626271_in_1000x1000.jpg" TargetMode="External"/><Relationship Id="rId938" Type="http://schemas.openxmlformats.org/officeDocument/2006/relationships/hyperlink" Target="https://tcgplayer-cdn.tcgplayer.com/product/626320_in_1000x1000.jpg" TargetMode="External"/><Relationship Id="rId937" Type="http://schemas.openxmlformats.org/officeDocument/2006/relationships/hyperlink" Target="https://tcgplayer-cdn.tcgplayer.com/product/626339_in_1000x1000.jpg" TargetMode="External"/><Relationship Id="rId71" Type="http://schemas.openxmlformats.org/officeDocument/2006/relationships/hyperlink" Target="https://tcgplayer-cdn.tcgplayer.com/product/102583_in_1000x1000.jpg" TargetMode="External"/><Relationship Id="rId70" Type="http://schemas.openxmlformats.org/officeDocument/2006/relationships/hyperlink" Target="https://tcgplayer-cdn.tcgplayer.com/product/146489_in_1000x1000.jpg" TargetMode="External"/><Relationship Id="rId932" Type="http://schemas.openxmlformats.org/officeDocument/2006/relationships/hyperlink" Target="https://tcgplayer-cdn.tcgplayer.com/product/626454_in_1000x1000.jpg" TargetMode="External"/><Relationship Id="rId931" Type="http://schemas.openxmlformats.org/officeDocument/2006/relationships/hyperlink" Target="https://tcgplayer-cdn.tcgplayer.com/product/626446_in_1000x1000.jpg" TargetMode="External"/><Relationship Id="rId930" Type="http://schemas.openxmlformats.org/officeDocument/2006/relationships/hyperlink" Target="https://tcgplayer-cdn.tcgplayer.com/product/626271_in_1000x1000.jpg" TargetMode="External"/><Relationship Id="rId936" Type="http://schemas.openxmlformats.org/officeDocument/2006/relationships/hyperlink" Target="https://tcgplayer-cdn.tcgplayer.com/product/626273_in_1000x1000.jpg" TargetMode="External"/><Relationship Id="rId935" Type="http://schemas.openxmlformats.org/officeDocument/2006/relationships/hyperlink" Target="https://tcgplayer-cdn.tcgplayer.com/product/626254_in_1000x1000.jpg" TargetMode="External"/><Relationship Id="rId934" Type="http://schemas.openxmlformats.org/officeDocument/2006/relationships/hyperlink" Target="https://tcgplayer-cdn.tcgplayer.com/product/626340_in_1000x1000.jpg" TargetMode="External"/><Relationship Id="rId933" Type="http://schemas.openxmlformats.org/officeDocument/2006/relationships/hyperlink" Target="https://tcgplayer-cdn.tcgplayer.com/product/626427_in_1000x1000.jpg" TargetMode="External"/><Relationship Id="rId62" Type="http://schemas.openxmlformats.org/officeDocument/2006/relationships/hyperlink" Target="https://card.yuyu-tei.jp/ws/front/amg/10018.jpg" TargetMode="External"/><Relationship Id="rId1312" Type="http://schemas.openxmlformats.org/officeDocument/2006/relationships/hyperlink" Target="https://ws-tcg.com/wordpress/wp-content/images/cardlist/t/tal_s126/tal_s126_061.png" TargetMode="External"/><Relationship Id="rId61" Type="http://schemas.openxmlformats.org/officeDocument/2006/relationships/hyperlink" Target="https://card.yuyu-tei.jp/ws/front/amg/10017.jpg" TargetMode="External"/><Relationship Id="rId1313" Type="http://schemas.openxmlformats.org/officeDocument/2006/relationships/hyperlink" Target="https://card.yuyu-tei.jp/ws/front/tal/10009.jpg" TargetMode="External"/><Relationship Id="rId64" Type="http://schemas.openxmlformats.org/officeDocument/2006/relationships/hyperlink" Target="https://card.yuyu-tei.jp/ws/front/aoh/10048.jpg" TargetMode="External"/><Relationship Id="rId1314" Type="http://schemas.openxmlformats.org/officeDocument/2006/relationships/hyperlink" Target="https://tcgplayer-cdn.tcgplayer.com/product/278054_in_1000x1000.jpg" TargetMode="External"/><Relationship Id="rId63" Type="http://schemas.openxmlformats.org/officeDocument/2006/relationships/hyperlink" Target="https://card.yuyu-tei.jp/ws/front/amg/10116.jpg" TargetMode="External"/><Relationship Id="rId1315" Type="http://schemas.openxmlformats.org/officeDocument/2006/relationships/hyperlink" Target="https://tcgplayer-cdn.tcgplayer.com/product/278031_in_1000x1000.jpg" TargetMode="External"/><Relationship Id="rId66" Type="http://schemas.openxmlformats.org/officeDocument/2006/relationships/hyperlink" Target="https://card.yuyu-tei.jp/ws/front/aoh/10054.jpg" TargetMode="External"/><Relationship Id="rId1316" Type="http://schemas.openxmlformats.org/officeDocument/2006/relationships/hyperlink" Target="https://tcgplayer-cdn.tcgplayer.com/product/277888_in_1000x1000.jpg" TargetMode="External"/><Relationship Id="rId65" Type="http://schemas.openxmlformats.org/officeDocument/2006/relationships/hyperlink" Target="https://card.yuyu-tei.jp/ws/front/aoh/10078.jpg" TargetMode="External"/><Relationship Id="rId1317" Type="http://schemas.openxmlformats.org/officeDocument/2006/relationships/hyperlink" Target="https://card.yuyu-tei.jp/ws/front/trv/10084.jpg" TargetMode="External"/><Relationship Id="rId68" Type="http://schemas.openxmlformats.org/officeDocument/2006/relationships/hyperlink" Target="https://tcgplayer-cdn.tcgplayer.com/product/102665_in_1000x1000.jpg" TargetMode="External"/><Relationship Id="rId1318" Type="http://schemas.openxmlformats.org/officeDocument/2006/relationships/hyperlink" Target="https://card.yuyu-tei.jp/ws/front/trv/10090.jpg" TargetMode="External"/><Relationship Id="rId67" Type="http://schemas.openxmlformats.org/officeDocument/2006/relationships/hyperlink" Target="https://tcgplayer-cdn.tcgplayer.com/product/102671_in_1000x1000.jpg" TargetMode="External"/><Relationship Id="rId1319" Type="http://schemas.openxmlformats.org/officeDocument/2006/relationships/hyperlink" Target="https://card.yuyu-tei.jp/ws/front/trv/10008.jpg" TargetMode="External"/><Relationship Id="rId729" Type="http://schemas.openxmlformats.org/officeDocument/2006/relationships/hyperlink" Target="https://card.yuyu-tei.jp/ws/front/keypb/10013.jpg" TargetMode="External"/><Relationship Id="rId728" Type="http://schemas.openxmlformats.org/officeDocument/2006/relationships/hyperlink" Target="https://card.yuyu-tei.jp/ws/front/key20th/10118.jpg" TargetMode="External"/><Relationship Id="rId60" Type="http://schemas.openxmlformats.org/officeDocument/2006/relationships/hyperlink" Target="https://card.yuyu-tei.jp/ws/front/amg/10086.jpg" TargetMode="External"/><Relationship Id="rId723" Type="http://schemas.openxmlformats.org/officeDocument/2006/relationships/hyperlink" Target="https://img.yuyu-tei.jp/card_image/ws/front/jjpbso/10054.jpg" TargetMode="External"/><Relationship Id="rId965" Type="http://schemas.openxmlformats.org/officeDocument/2006/relationships/hyperlink" Target="https://tcgplayer-cdn.tcgplayer.com/product/578209_in_1000x1000.jpg" TargetMode="External"/><Relationship Id="rId722" Type="http://schemas.openxmlformats.org/officeDocument/2006/relationships/hyperlink" Target="https://img.yuyu-tei.jp/card_image/ws/front/jjpbso/10052.jpg" TargetMode="External"/><Relationship Id="rId964" Type="http://schemas.openxmlformats.org/officeDocument/2006/relationships/hyperlink" Target="https://tcgplayer-cdn.tcgplayer.com/product/578227_in_1000x1000.jpg" TargetMode="External"/><Relationship Id="rId721" Type="http://schemas.openxmlformats.org/officeDocument/2006/relationships/hyperlink" Target="https://img.yuyu-tei.jp/card_image/ws/front/jjpbso/10044.jpg" TargetMode="External"/><Relationship Id="rId963" Type="http://schemas.openxmlformats.org/officeDocument/2006/relationships/hyperlink" Target="https://tcgplayer-cdn.tcgplayer.com/product/578199_in_1000x1000.jpg" TargetMode="External"/><Relationship Id="rId720" Type="http://schemas.openxmlformats.org/officeDocument/2006/relationships/hyperlink" Target="https://img.yuyu-tei.jp/card_image/ws/front/jjpbsdc/10017.jpg" TargetMode="External"/><Relationship Id="rId962" Type="http://schemas.openxmlformats.org/officeDocument/2006/relationships/hyperlink" Target="https://en.ws-tcg.com/wordpress/wp-content/images/cardimages/OSK/S121-E067.png" TargetMode="External"/><Relationship Id="rId727" Type="http://schemas.openxmlformats.org/officeDocument/2006/relationships/hyperlink" Target="https://card.yuyu-tei.jp/ws/front/keypb/10009.jpg" TargetMode="External"/><Relationship Id="rId969" Type="http://schemas.openxmlformats.org/officeDocument/2006/relationships/hyperlink" Target="https://tcgplayer-cdn.tcgplayer.com/product/513587_in_1000x1000.jpg" TargetMode="External"/><Relationship Id="rId726" Type="http://schemas.openxmlformats.org/officeDocument/2006/relationships/hyperlink" Target="https://img.yuyu-tei.jp/card_image/ws/front/jjpbsdc/10017.jpg" TargetMode="External"/><Relationship Id="rId968" Type="http://schemas.openxmlformats.org/officeDocument/2006/relationships/hyperlink" Target="https://tcgplayer-cdn.tcgplayer.com/product/578659_in_1000x1000.jpg" TargetMode="External"/><Relationship Id="rId725" Type="http://schemas.openxmlformats.org/officeDocument/2006/relationships/hyperlink" Target="https://img.yuyu-tei.jp/card_image/ws/front/jjpbso/10055.jpg" TargetMode="External"/><Relationship Id="rId967" Type="http://schemas.openxmlformats.org/officeDocument/2006/relationships/hyperlink" Target="https://tcgplayer-cdn.tcgplayer.com/product/578709_in_1000x1000.jpg" TargetMode="External"/><Relationship Id="rId724" Type="http://schemas.openxmlformats.org/officeDocument/2006/relationships/hyperlink" Target="https://img.yuyu-tei.jp/card_image/ws/front/jjpbso/10044.jpg" TargetMode="External"/><Relationship Id="rId966" Type="http://schemas.openxmlformats.org/officeDocument/2006/relationships/hyperlink" Target="https://tcgplayer-cdn.tcgplayer.com/product/578721_in_1000x1000.jpg" TargetMode="External"/><Relationship Id="rId69" Type="http://schemas.openxmlformats.org/officeDocument/2006/relationships/hyperlink" Target="https://tcgplayer-cdn.tcgplayer.com/product/102677_in_1000x1000.jpg" TargetMode="External"/><Relationship Id="rId961" Type="http://schemas.openxmlformats.org/officeDocument/2006/relationships/hyperlink" Target="https://en.ws-tcg.com/wordpress/wp-content/images/cardimages/OSK/S121-E028.png" TargetMode="External"/><Relationship Id="rId960" Type="http://schemas.openxmlformats.org/officeDocument/2006/relationships/hyperlink" Target="https://en.ws-tcg.com/wordpress/wp-content/images/cardimages/OSK/S121-E031.png" TargetMode="External"/><Relationship Id="rId1310" Type="http://schemas.openxmlformats.org/officeDocument/2006/relationships/hyperlink" Target="https://ws-tcg.com/wordpress/wp-content/images/cardlist/t/tal_s126/tal_s126_002.png" TargetMode="External"/><Relationship Id="rId1311" Type="http://schemas.openxmlformats.org/officeDocument/2006/relationships/hyperlink" Target="https://ws-tcg.com/wordpress/wp-content/images/cardlist/t/tal_s126/tal_s126_060.png" TargetMode="External"/><Relationship Id="rId51" Type="http://schemas.openxmlformats.org/officeDocument/2006/relationships/hyperlink" Target="https://card.yuyu-tei.jp/ws/front/lily2.0/10008.jpg" TargetMode="External"/><Relationship Id="rId1301" Type="http://schemas.openxmlformats.org/officeDocument/2006/relationships/hyperlink" Target="https://card.yuyu-tei.jp/ws/front/kadokawas2.0/10047.jpg" TargetMode="External"/><Relationship Id="rId50" Type="http://schemas.openxmlformats.org/officeDocument/2006/relationships/hyperlink" Target="https://card.yuyu-tei.jp/ws/front/lily2.0/10005.jpg" TargetMode="External"/><Relationship Id="rId1302" Type="http://schemas.openxmlformats.org/officeDocument/2006/relationships/hyperlink" Target="https://card.yuyu-tei.jp/ws/front/kadokawas2.0/10103.jpg" TargetMode="External"/><Relationship Id="rId53" Type="http://schemas.openxmlformats.org/officeDocument/2006/relationships/hyperlink" Target="https://card.yuyu-tei.jp/ws/front/lily3.0/10007.jpg" TargetMode="External"/><Relationship Id="rId1303" Type="http://schemas.openxmlformats.org/officeDocument/2006/relationships/hyperlink" Target="https://ws-tcg.com/wordpress/wp-content/images/cardlist/t/tal_s126/tal_s126_060.png" TargetMode="External"/><Relationship Id="rId52" Type="http://schemas.openxmlformats.org/officeDocument/2006/relationships/hyperlink" Target="https://card.yuyu-tei.jp/ws/front/lily3.0/10002.jpg" TargetMode="External"/><Relationship Id="rId1304" Type="http://schemas.openxmlformats.org/officeDocument/2006/relationships/hyperlink" Target="https://ws-tcg.com/wordpress/wp-content/images/cardlist/t/tal_s126/tal_s126_061.png" TargetMode="External"/><Relationship Id="rId55" Type="http://schemas.openxmlformats.org/officeDocument/2006/relationships/hyperlink" Target="https://card.yuyu-tei.jp/ws/front/lily3.0/10028.jpg" TargetMode="External"/><Relationship Id="rId1305" Type="http://schemas.openxmlformats.org/officeDocument/2006/relationships/hyperlink" Target="https://ws-tcg.com/wordpress/wp-content/images/cardlist/t/tal_s126/tal_s126_031.png" TargetMode="External"/><Relationship Id="rId54" Type="http://schemas.openxmlformats.org/officeDocument/2006/relationships/hyperlink" Target="https://card.yuyu-tei.jp/ws/front/lily3.0/10010.jpg" TargetMode="External"/><Relationship Id="rId1306" Type="http://schemas.openxmlformats.org/officeDocument/2006/relationships/hyperlink" Target="https://ws-tcg.com/wordpress/wp-content/images/cardlist/t/tal_s126/tal_s126_060.png" TargetMode="External"/><Relationship Id="rId57" Type="http://schemas.openxmlformats.org/officeDocument/2006/relationships/hyperlink" Target="https://card.yuyu-tei.jp/ws/front/lily3.0/10055.jpg" TargetMode="External"/><Relationship Id="rId1307" Type="http://schemas.openxmlformats.org/officeDocument/2006/relationships/hyperlink" Target="https://ws-tcg.com/wordpress/wp-content/images/cardlist/t/tal_s126/tal_s126_031.png" TargetMode="External"/><Relationship Id="rId56" Type="http://schemas.openxmlformats.org/officeDocument/2006/relationships/hyperlink" Target="https://card.yuyu-tei.jp/ws/front/lily3.0/10052.jpg" TargetMode="External"/><Relationship Id="rId1308" Type="http://schemas.openxmlformats.org/officeDocument/2006/relationships/hyperlink" Target="https://ws-tcg.com/wordpress/wp-content/images/cardlist/t/tal_s126/tal_s126_t16.png" TargetMode="External"/><Relationship Id="rId1309" Type="http://schemas.openxmlformats.org/officeDocument/2006/relationships/hyperlink" Target="https://ws-tcg.com/wordpress/wp-content/images/cardlist/t/tal_s126/tal_s126_005.png" TargetMode="External"/><Relationship Id="rId719" Type="http://schemas.openxmlformats.org/officeDocument/2006/relationships/hyperlink" Target="https://img.yuyu-tei.jp/card_image/ws/front/jjpbso/10055.jpg" TargetMode="External"/><Relationship Id="rId718" Type="http://schemas.openxmlformats.org/officeDocument/2006/relationships/hyperlink" Target="https://tcgplayer-cdn.tcgplayer.com/product/580069_in_1000x1000.jpg" TargetMode="External"/><Relationship Id="rId717" Type="http://schemas.openxmlformats.org/officeDocument/2006/relationships/hyperlink" Target="https://tcgplayer-cdn.tcgplayer.com/product/580299_in_1000x1000.jpg" TargetMode="External"/><Relationship Id="rId959" Type="http://schemas.openxmlformats.org/officeDocument/2006/relationships/hyperlink" Target="https://tcgplayer-cdn.tcgplayer.com/product/578675_in_1000x1000.jpg" TargetMode="External"/><Relationship Id="rId712" Type="http://schemas.openxmlformats.org/officeDocument/2006/relationships/hyperlink" Target="https://tcgplayer-cdn.tcgplayer.com/product/211147_in_1000x1000.jpg" TargetMode="External"/><Relationship Id="rId954" Type="http://schemas.openxmlformats.org/officeDocument/2006/relationships/hyperlink" Target="https://tcgplayer-cdn.tcgplayer.com/product/685694_in_1000x1000.jpg" TargetMode="External"/><Relationship Id="rId711" Type="http://schemas.openxmlformats.org/officeDocument/2006/relationships/hyperlink" Target="https://card.yuyu-tei.jp/ws/front/isc2.0/10075.jpg" TargetMode="External"/><Relationship Id="rId953" Type="http://schemas.openxmlformats.org/officeDocument/2006/relationships/hyperlink" Target="https://tcgplayer-cdn.tcgplayer.com/product/578595_in_1000x1000.jpg" TargetMode="External"/><Relationship Id="rId710" Type="http://schemas.openxmlformats.org/officeDocument/2006/relationships/hyperlink" Target="https://card.yuyu-tei.jp/ws/front/isc2.0/10076.jpg" TargetMode="External"/><Relationship Id="rId952" Type="http://schemas.openxmlformats.org/officeDocument/2006/relationships/hyperlink" Target="https://tcgplayer-cdn.tcgplayer.com/product/578621_in_1000x1000.jpg" TargetMode="External"/><Relationship Id="rId951" Type="http://schemas.openxmlformats.org/officeDocument/2006/relationships/hyperlink" Target="https://tcgplayer-cdn.tcgplayer.com/product/578591_in_1000x1000.jpg" TargetMode="External"/><Relationship Id="rId716" Type="http://schemas.openxmlformats.org/officeDocument/2006/relationships/hyperlink" Target="https://tcgplayer-cdn.tcgplayer.com/product/580295_in_1000x1000.jpg" TargetMode="External"/><Relationship Id="rId958" Type="http://schemas.openxmlformats.org/officeDocument/2006/relationships/hyperlink" Target="https://tcgplayer-cdn.tcgplayer.com/product/578621_in_1000x1000.jpg" TargetMode="External"/><Relationship Id="rId715" Type="http://schemas.openxmlformats.org/officeDocument/2006/relationships/hyperlink" Target="https://tcgplayer-cdn.tcgplayer.com/product/580217_in_1000x1000.jpg" TargetMode="External"/><Relationship Id="rId957" Type="http://schemas.openxmlformats.org/officeDocument/2006/relationships/hyperlink" Target="https://tcgplayer-cdn.tcgplayer.com/product/578677_in_1000x1000.jpg" TargetMode="External"/><Relationship Id="rId714" Type="http://schemas.openxmlformats.org/officeDocument/2006/relationships/hyperlink" Target="https://tcgplayer-cdn.tcgplayer.com/product/580090_in_1000x1000.jpg" TargetMode="External"/><Relationship Id="rId956" Type="http://schemas.openxmlformats.org/officeDocument/2006/relationships/hyperlink" Target="https://tcgplayer-cdn.tcgplayer.com/product/685697_in_1000x1000.jpg" TargetMode="External"/><Relationship Id="rId713" Type="http://schemas.openxmlformats.org/officeDocument/2006/relationships/hyperlink" Target="https://tcgplayer-cdn.tcgplayer.com/product/211175_in_1000x1000.jpg" TargetMode="External"/><Relationship Id="rId955" Type="http://schemas.openxmlformats.org/officeDocument/2006/relationships/hyperlink" Target="https://tcgplayer-cdn.tcgplayer.com/product/578645_in_1000x1000.jpg" TargetMode="External"/><Relationship Id="rId59" Type="http://schemas.openxmlformats.org/officeDocument/2006/relationships/hyperlink" Target="https://card.yuyu-tei.jp/ws/front/amg/10107.jpg" TargetMode="External"/><Relationship Id="rId58" Type="http://schemas.openxmlformats.org/officeDocument/2006/relationships/hyperlink" Target="https://card.yuyu-tei.jp/ws/front/amg/10085.jpg" TargetMode="External"/><Relationship Id="rId950" Type="http://schemas.openxmlformats.org/officeDocument/2006/relationships/hyperlink" Target="https://tcgplayer-cdn.tcgplayer.com/product/578675_in_1000x1000.jpg" TargetMode="External"/><Relationship Id="rId1300" Type="http://schemas.openxmlformats.org/officeDocument/2006/relationships/hyperlink" Target="https://card.yuyu-tei.jp/ws/front/kadokawas2.0/10105.jpg" TargetMode="External"/><Relationship Id="rId590" Type="http://schemas.openxmlformats.org/officeDocument/2006/relationships/hyperlink" Target="https://product-images.tcgplayer.com/fit-in/437x437/508699.jpg" TargetMode="External"/><Relationship Id="rId107" Type="http://schemas.openxmlformats.org/officeDocument/2006/relationships/hyperlink" Target="https://tcgplayer-cdn.tcgplayer.com/product/562877_in_1000x1000.jpg" TargetMode="External"/><Relationship Id="rId349" Type="http://schemas.openxmlformats.org/officeDocument/2006/relationships/hyperlink" Target="https://card.yuyu-tei.jp/ws/front/dc20th/10084.jpg" TargetMode="External"/><Relationship Id="rId106" Type="http://schemas.openxmlformats.org/officeDocument/2006/relationships/hyperlink" Target="https://tcgplayer-cdn.tcgplayer.com/product/562859_in_1000x1000.jpg" TargetMode="External"/><Relationship Id="rId348" Type="http://schemas.openxmlformats.org/officeDocument/2006/relationships/hyperlink" Target="https://card.yuyu-tei.jp/ws/front/dc20thext/10047.jpg" TargetMode="External"/><Relationship Id="rId105" Type="http://schemas.openxmlformats.org/officeDocument/2006/relationships/hyperlink" Target="https://tcgplayer-cdn.tcgplayer.com/product/562919_in_1000x1000.jpg" TargetMode="External"/><Relationship Id="rId347" Type="http://schemas.openxmlformats.org/officeDocument/2006/relationships/hyperlink" Target="https://card.yuyu-tei.jp/ws/front/dbg/10078.jpg" TargetMode="External"/><Relationship Id="rId589" Type="http://schemas.openxmlformats.org/officeDocument/2006/relationships/hyperlink" Target="https://product-images.tcgplayer.com/fit-in/376x376/filters:quality(1)/508822.jpg" TargetMode="External"/><Relationship Id="rId104" Type="http://schemas.openxmlformats.org/officeDocument/2006/relationships/hyperlink" Target="https://tcgplayer-cdn.tcgplayer.com/product/562929_in_1000x1000.jpg" TargetMode="External"/><Relationship Id="rId346" Type="http://schemas.openxmlformats.org/officeDocument/2006/relationships/hyperlink" Target="https://card.yuyu-tei.jp/ws/front/dbg/10056.jpg" TargetMode="External"/><Relationship Id="rId588" Type="http://schemas.openxmlformats.org/officeDocument/2006/relationships/hyperlink" Target="https://product-images.tcgplayer.com/fit-in/376x376/509063.jpg" TargetMode="External"/><Relationship Id="rId109" Type="http://schemas.openxmlformats.org/officeDocument/2006/relationships/hyperlink" Target="https://tcgplayer-cdn.tcgplayer.com/product/562834_in_1000x1000.jpg" TargetMode="External"/><Relationship Id="rId1170" Type="http://schemas.openxmlformats.org/officeDocument/2006/relationships/hyperlink" Target="https://product-images.tcgplayer.com/fit-in/585x585/209810.jpg" TargetMode="External"/><Relationship Id="rId108" Type="http://schemas.openxmlformats.org/officeDocument/2006/relationships/hyperlink" Target="https://tcgplayer-cdn.tcgplayer.com/product/562879_in_1000x1000.jpg" TargetMode="External"/><Relationship Id="rId1171" Type="http://schemas.openxmlformats.org/officeDocument/2006/relationships/hyperlink" Target="https://en.ws-tcg.com/wp/wp-content/images/cardimages/ASAO10/S100_E030.png" TargetMode="External"/><Relationship Id="rId341" Type="http://schemas.openxmlformats.org/officeDocument/2006/relationships/hyperlink" Target="https://tcgplayer-cdn.tcgplayer.com/product/487629_in_1000x1000.jpg" TargetMode="External"/><Relationship Id="rId583" Type="http://schemas.openxmlformats.org/officeDocument/2006/relationships/hyperlink" Target="https://product-images.tcgplayer.com/fit-in/376x376/filters:quality(1)/508971.jpg" TargetMode="External"/><Relationship Id="rId1172" Type="http://schemas.openxmlformats.org/officeDocument/2006/relationships/hyperlink" Target="https://tcgplayer-cdn.tcgplayer.com/product/493191_in_1000x1000.jpg" TargetMode="External"/><Relationship Id="rId340" Type="http://schemas.openxmlformats.org/officeDocument/2006/relationships/hyperlink" Target="https://tcgplayer-cdn.tcgplayer.com/product/234496_in_1000x1000.jpg" TargetMode="External"/><Relationship Id="rId582" Type="http://schemas.openxmlformats.org/officeDocument/2006/relationships/hyperlink" Target="https://tcgplayer-cdn.tcgplayer.com/product/267147_in_1000x1000.jpg" TargetMode="External"/><Relationship Id="rId1173" Type="http://schemas.openxmlformats.org/officeDocument/2006/relationships/hyperlink" Target="https://tcgplayer-cdn.tcgplayer.com/product/493148_in_1000x1000.jpg" TargetMode="External"/><Relationship Id="rId581" Type="http://schemas.openxmlformats.org/officeDocument/2006/relationships/hyperlink" Target="https://tcgplayer-cdn.tcgplayer.com/product/267161_in_1000x1000.jpg" TargetMode="External"/><Relationship Id="rId1174" Type="http://schemas.openxmlformats.org/officeDocument/2006/relationships/hyperlink" Target="https://en.ws-tcg.com/wp/wp-content/images/cardimages/ASAO10/S100_E030.png" TargetMode="External"/><Relationship Id="rId580" Type="http://schemas.openxmlformats.org/officeDocument/2006/relationships/hyperlink" Target="https://tcgplayer-cdn.tcgplayer.com/product/509114_in_1000x1000.jpg" TargetMode="External"/><Relationship Id="rId1175" Type="http://schemas.openxmlformats.org/officeDocument/2006/relationships/hyperlink" Target="https://tcgplayer-cdn.tcgplayer.com/product/493112_in_1000x1000.jpg" TargetMode="External"/><Relationship Id="rId103" Type="http://schemas.openxmlformats.org/officeDocument/2006/relationships/hyperlink" Target="https://tcgplayer-cdn.tcgplayer.com/product/562915_in_1000x1000.jpg" TargetMode="External"/><Relationship Id="rId345" Type="http://schemas.openxmlformats.org/officeDocument/2006/relationships/hyperlink" Target="https://card.yuyu-tei.jp/ws/front/dbg/10051.jpg" TargetMode="External"/><Relationship Id="rId587" Type="http://schemas.openxmlformats.org/officeDocument/2006/relationships/hyperlink" Target="https://product-images.tcgplayer.com/fit-in/376x376/filters:quality(1)/508971.jpg" TargetMode="External"/><Relationship Id="rId1176" Type="http://schemas.openxmlformats.org/officeDocument/2006/relationships/hyperlink" Target="https://product-images.tcgplayer.com/fit-in/585x585/493166.jpg" TargetMode="External"/><Relationship Id="rId102" Type="http://schemas.openxmlformats.org/officeDocument/2006/relationships/hyperlink" Target="https://product-images.tcgplayer.com/fit-in/415x415/500648.jpg" TargetMode="External"/><Relationship Id="rId344" Type="http://schemas.openxmlformats.org/officeDocument/2006/relationships/hyperlink" Target="https://media.discordapp.net/attachments/1053836222046412820/1468096183191867412/DAL_W79_E083.png?ex=6982c69d&amp;is=6981751d&amp;hm=f45b60b793643fb40813ecf7a115f7409a34f2e195f1ee14260e5608dec7816c&amp;=&amp;format=webp&amp;quality=lossless&amp;width=800&amp;height=1116" TargetMode="External"/><Relationship Id="rId586" Type="http://schemas.openxmlformats.org/officeDocument/2006/relationships/hyperlink" Target="https://product-images.tcgplayer.com/fit-in/437x437/286787.jpg" TargetMode="External"/><Relationship Id="rId1177" Type="http://schemas.openxmlformats.org/officeDocument/2006/relationships/hyperlink" Target="https://tcgplayer-cdn.tcgplayer.com/product/492915_in_1000x1000.jpg" TargetMode="External"/><Relationship Id="rId101" Type="http://schemas.openxmlformats.org/officeDocument/2006/relationships/hyperlink" Target="https://tcgplayer-cdn.tcgplayer.com/product/500676_in_1000x1000.jpg" TargetMode="External"/><Relationship Id="rId343" Type="http://schemas.openxmlformats.org/officeDocument/2006/relationships/hyperlink" Target="https://media.discordapp.net/attachments/1053836222046412820/1468096183535931574/Fdl_W65_E099.png?ex=6982c69e&amp;is=6981751e&amp;hm=d5af5827a4cf658bec182da0b830a957fa294d777c6417d9a210266e44ecc38e&amp;=&amp;format=webp&amp;quality=lossless&amp;width=800&amp;height=1116" TargetMode="External"/><Relationship Id="rId585" Type="http://schemas.openxmlformats.org/officeDocument/2006/relationships/hyperlink" Target="https://product-images.tcgplayer.com/fit-in/585x585/267225.jpg" TargetMode="External"/><Relationship Id="rId1178" Type="http://schemas.openxmlformats.org/officeDocument/2006/relationships/hyperlink" Target="https://product-images.tcgplayer.com/fit-in/780x780/493148.jpg" TargetMode="External"/><Relationship Id="rId100" Type="http://schemas.openxmlformats.org/officeDocument/2006/relationships/hyperlink" Target="https://product-images.tcgplayer.com/fit-in/415x415/500731.jpg" TargetMode="External"/><Relationship Id="rId342" Type="http://schemas.openxmlformats.org/officeDocument/2006/relationships/hyperlink" Target="https://media.discordapp.net/attachments/1053836222046412820/1468096182872965301/DAL_W79_E077.png?ex=6982c69d&amp;is=6981751d&amp;hm=d99d8c79e05836d148474e8ae04d78d8c1e5ee680b85886fc2713bfdd7b47104&amp;=&amp;format=webp&amp;quality=lossless&amp;width=800&amp;height=1116" TargetMode="External"/><Relationship Id="rId584" Type="http://schemas.openxmlformats.org/officeDocument/2006/relationships/hyperlink" Target="https://product-images.tcgplayer.com/fit-in/437x437/267091.jpg" TargetMode="External"/><Relationship Id="rId1179" Type="http://schemas.openxmlformats.org/officeDocument/2006/relationships/hyperlink" Target="https://tcgplayer-cdn.tcgplayer.com/product/493023_in_1000x1000.jpg" TargetMode="External"/><Relationship Id="rId1169" Type="http://schemas.openxmlformats.org/officeDocument/2006/relationships/hyperlink" Target="https://product-images.tcgplayer.com/fit-in/585x585/252388.jpg" TargetMode="External"/><Relationship Id="rId338" Type="http://schemas.openxmlformats.org/officeDocument/2006/relationships/hyperlink" Target="https://card.yuyu-tei.jp/ws/front/dal/10081.jpg" TargetMode="External"/><Relationship Id="rId337" Type="http://schemas.openxmlformats.org/officeDocument/2006/relationships/hyperlink" Target="https://card.yuyu-tei.jp/ws/front/dal3.0/10067.jpg" TargetMode="External"/><Relationship Id="rId579" Type="http://schemas.openxmlformats.org/officeDocument/2006/relationships/hyperlink" Target="https://tcgplayer-cdn.tcgplayer.com/product/267187_in_1000x1000.jpg" TargetMode="External"/><Relationship Id="rId336" Type="http://schemas.openxmlformats.org/officeDocument/2006/relationships/hyperlink" Target="https://card.yuyu-tei.jp/ws/front/dal3.0/10036.jpg" TargetMode="External"/><Relationship Id="rId578" Type="http://schemas.openxmlformats.org/officeDocument/2006/relationships/hyperlink" Target="https://tcgplayer-cdn.tcgplayer.com/product/267263_in_1000x1000.jpg" TargetMode="External"/><Relationship Id="rId335" Type="http://schemas.openxmlformats.org/officeDocument/2006/relationships/hyperlink" Target="https://card.yuyu-tei.jp/ws/front/dal/10081.jpg" TargetMode="External"/><Relationship Id="rId577" Type="http://schemas.openxmlformats.org/officeDocument/2006/relationships/hyperlink" Target="https://tcgplayer-cdn.tcgplayer.com/product/509114_in_1000x1000.jpg" TargetMode="External"/><Relationship Id="rId339" Type="http://schemas.openxmlformats.org/officeDocument/2006/relationships/hyperlink" Target="https://tcgplayer-cdn.tcgplayer.com/product/234496_in_1000x1000.jpg" TargetMode="External"/><Relationship Id="rId1160" Type="http://schemas.openxmlformats.org/officeDocument/2006/relationships/hyperlink" Target="https://tcgplayer-cdn.tcgplayer.com/product/493134_in_1000x1000.jpg" TargetMode="External"/><Relationship Id="rId330" Type="http://schemas.openxmlformats.org/officeDocument/2006/relationships/hyperlink" Target="https://en.ws-tcg.com/wordpress/wp-content/images/cardimages/CSM/S96_E086.png" TargetMode="External"/><Relationship Id="rId572" Type="http://schemas.openxmlformats.org/officeDocument/2006/relationships/hyperlink" Target="https://tcgplayer-cdn.tcgplayer.com/product/267391_in_1000x1000.jpg" TargetMode="External"/><Relationship Id="rId1161" Type="http://schemas.openxmlformats.org/officeDocument/2006/relationships/hyperlink" Target="https://tcgplayer-cdn.tcgplayer.com/product/493112_in_1000x1000.jpg" TargetMode="External"/><Relationship Id="rId571" Type="http://schemas.openxmlformats.org/officeDocument/2006/relationships/hyperlink" Target="https://tcgplayer-cdn.tcgplayer.com/product/509114_in_1000x1000.jpg" TargetMode="External"/><Relationship Id="rId1162" Type="http://schemas.openxmlformats.org/officeDocument/2006/relationships/hyperlink" Target="https://product-images.tcgplayer.com/fit-in/437x437/155317.jpg" TargetMode="External"/><Relationship Id="rId570" Type="http://schemas.openxmlformats.org/officeDocument/2006/relationships/hyperlink" Target="https://tcgplayer-cdn.tcgplayer.com/product/564458_in_1000x1000.jpg" TargetMode="External"/><Relationship Id="rId1163" Type="http://schemas.openxmlformats.org/officeDocument/2006/relationships/hyperlink" Target="https://tcgplayer-cdn.tcgplayer.com/product/155334_in_1000x1000.jpg" TargetMode="External"/><Relationship Id="rId1164" Type="http://schemas.openxmlformats.org/officeDocument/2006/relationships/hyperlink" Target="https://tcgplayer-cdn.tcgplayer.com/product/155336_in_1000x1000.jpg" TargetMode="External"/><Relationship Id="rId334" Type="http://schemas.openxmlformats.org/officeDocument/2006/relationships/hyperlink" Target="https://card.yuyu-tei.jp/ws/front/dal3.0/10037.jpg" TargetMode="External"/><Relationship Id="rId576" Type="http://schemas.openxmlformats.org/officeDocument/2006/relationships/hyperlink" Target="https://product-images.tcgplayer.com/fit-in/585x585/filters:quality(1)/267548.jpg" TargetMode="External"/><Relationship Id="rId1165" Type="http://schemas.openxmlformats.org/officeDocument/2006/relationships/hyperlink" Target="https://product-images.tcgplayer.com/fit-in/585x585/118537.jpg" TargetMode="External"/><Relationship Id="rId333" Type="http://schemas.openxmlformats.org/officeDocument/2006/relationships/hyperlink" Target="https://card.yuyu-tei.jp/ws/front/dal3.0/10036.jpg" TargetMode="External"/><Relationship Id="rId575" Type="http://schemas.openxmlformats.org/officeDocument/2006/relationships/hyperlink" Target="https://product-images.tcgplayer.com/fit-in/585x585/filters:quality(1)/267526.jpg" TargetMode="External"/><Relationship Id="rId1166" Type="http://schemas.openxmlformats.org/officeDocument/2006/relationships/hyperlink" Target="https://tcgplayer-cdn.tcgplayer.com/product/493037_in_1000x1000.jpg" TargetMode="External"/><Relationship Id="rId332" Type="http://schemas.openxmlformats.org/officeDocument/2006/relationships/hyperlink" Target="https://en.ws-tcg.com/wordpress/wp-content/images/cardimages/CSM/S96_E007.png" TargetMode="External"/><Relationship Id="rId574" Type="http://schemas.openxmlformats.org/officeDocument/2006/relationships/hyperlink" Target="https://tcgplayer-cdn.tcgplayer.com/product/509114_in_1000x1000.jpg" TargetMode="External"/><Relationship Id="rId1167" Type="http://schemas.openxmlformats.org/officeDocument/2006/relationships/hyperlink" Target="https://tcgplayer-cdn.tcgplayer.com/product/492923_in_1000x1000.jpg" TargetMode="External"/><Relationship Id="rId331" Type="http://schemas.openxmlformats.org/officeDocument/2006/relationships/hyperlink" Target="https://en.ws-tcg.com/wordpress/wp-content/images/cardimages/CSM/S96_E004.png" TargetMode="External"/><Relationship Id="rId573" Type="http://schemas.openxmlformats.org/officeDocument/2006/relationships/hyperlink" Target="https://tcgplayer-cdn.tcgplayer.com/product/267395_in_1000x1000.jpg" TargetMode="External"/><Relationship Id="rId1168" Type="http://schemas.openxmlformats.org/officeDocument/2006/relationships/hyperlink" Target="https://product-images.tcgplayer.com/fit-in/585x585/252377.jpg" TargetMode="External"/><Relationship Id="rId370" Type="http://schemas.openxmlformats.org/officeDocument/2006/relationships/hyperlink" Target="https://en.ws-tcg.com/wordpress/wp-content/images/cardimages/EIS/SX07-068.png" TargetMode="External"/><Relationship Id="rId129" Type="http://schemas.openxmlformats.org/officeDocument/2006/relationships/hyperlink" Target="https://tcgplayer-cdn.tcgplayer.com/product/657907_in_1000x1000.jpg" TargetMode="External"/><Relationship Id="rId128" Type="http://schemas.openxmlformats.org/officeDocument/2006/relationships/hyperlink" Target="https://tcgplayer-cdn.tcgplayer.com/product/521233_in_1000x1000.jpg" TargetMode="External"/><Relationship Id="rId127" Type="http://schemas.openxmlformats.org/officeDocument/2006/relationships/hyperlink" Target="https://tcgplayer-cdn.tcgplayer.com/product/521186_in_1000x1000.jpg" TargetMode="External"/><Relationship Id="rId369" Type="http://schemas.openxmlformats.org/officeDocument/2006/relationships/hyperlink" Target="https://en.ws-tcg.com/wordpress/wp-content/images/cardimages/EIS/SX07-085.png" TargetMode="External"/><Relationship Id="rId126" Type="http://schemas.openxmlformats.org/officeDocument/2006/relationships/hyperlink" Target="https://tcgplayer-cdn.tcgplayer.com/product/658005_in_1000x1000.jpg" TargetMode="External"/><Relationship Id="rId368" Type="http://schemas.openxmlformats.org/officeDocument/2006/relationships/hyperlink" Target="https://en.ws-tcg.com/wordpress/wp-content/images/cardimages/EIS/SX07-081.png" TargetMode="External"/><Relationship Id="rId1190" Type="http://schemas.openxmlformats.org/officeDocument/2006/relationships/hyperlink" Target="https://tcgplayer-cdn.tcgplayer.com/product/492915_in_1000x1000.jpg" TargetMode="External"/><Relationship Id="rId1191" Type="http://schemas.openxmlformats.org/officeDocument/2006/relationships/hyperlink" Target="https://tcgplayer-cdn.tcgplayer.com/product/251930_in_1000x1000.jpg" TargetMode="External"/><Relationship Id="rId1192" Type="http://schemas.openxmlformats.org/officeDocument/2006/relationships/hyperlink" Target="https://product-images.tcgplayer.com/fit-in/437x437/130798.jpg" TargetMode="External"/><Relationship Id="rId1193" Type="http://schemas.openxmlformats.org/officeDocument/2006/relationships/hyperlink" Target="https://product-images.tcgplayer.com/fit-in/437x437/155334.jpg" TargetMode="External"/><Relationship Id="rId121" Type="http://schemas.openxmlformats.org/officeDocument/2006/relationships/hyperlink" Target="https://tcgplayer-cdn.tcgplayer.com/product/562859_in_1000x1000.jpg" TargetMode="External"/><Relationship Id="rId363" Type="http://schemas.openxmlformats.org/officeDocument/2006/relationships/hyperlink" Target="https://tcgplayer-cdn.tcgplayer.com/product/674072_in_1000x1000.jpg" TargetMode="External"/><Relationship Id="rId1194" Type="http://schemas.openxmlformats.org/officeDocument/2006/relationships/hyperlink" Target="https://img.yuyu-tei.jp/card_image/ws/front/sao10th/10003.jpg" TargetMode="External"/><Relationship Id="rId120" Type="http://schemas.openxmlformats.org/officeDocument/2006/relationships/hyperlink" Target="https://tcgplayer-cdn.tcgplayer.com/product/562919_in_1000x1000.jpg" TargetMode="External"/><Relationship Id="rId362" Type="http://schemas.openxmlformats.org/officeDocument/2006/relationships/hyperlink" Target="https://tcgplayer-cdn.tcgplayer.com/product/674093_in_1000x1000.jpg" TargetMode="External"/><Relationship Id="rId1195" Type="http://schemas.openxmlformats.org/officeDocument/2006/relationships/hyperlink" Target="https://card.yuyu-tei.jp/ws/front/sby4.0/10002.jpg" TargetMode="External"/><Relationship Id="rId361" Type="http://schemas.openxmlformats.org/officeDocument/2006/relationships/hyperlink" Target="https://tcgplayer-cdn.tcgplayer.com/product/674097_in_1000x1000.jpg" TargetMode="External"/><Relationship Id="rId1196" Type="http://schemas.openxmlformats.org/officeDocument/2006/relationships/hyperlink" Target="https://card.yuyu-tei.jp/ws/front/sby4.0/10020.jpg" TargetMode="External"/><Relationship Id="rId360" Type="http://schemas.openxmlformats.org/officeDocument/2006/relationships/hyperlink" Target="https://tcgplayer-cdn.tcgplayer.com/product/674079_in_1000x1000.jpg" TargetMode="External"/><Relationship Id="rId1197" Type="http://schemas.openxmlformats.org/officeDocument/2006/relationships/hyperlink" Target="https://card.yuyu-tei.jp/ws/front/sby3.0/10006.jpg" TargetMode="External"/><Relationship Id="rId125" Type="http://schemas.openxmlformats.org/officeDocument/2006/relationships/hyperlink" Target="https://tcgplayer-cdn.tcgplayer.com/product/657902_in_1000x1000.jpg" TargetMode="External"/><Relationship Id="rId367" Type="http://schemas.openxmlformats.org/officeDocument/2006/relationships/hyperlink" Target="https://tcgplayer-cdn.tcgplayer.com/product/277527_in_1000x1000.jpg" TargetMode="External"/><Relationship Id="rId1198" Type="http://schemas.openxmlformats.org/officeDocument/2006/relationships/hyperlink" Target="https://card.yuyu-tei.jp/ws/front/sby4.0/10002.jpg" TargetMode="External"/><Relationship Id="rId124" Type="http://schemas.openxmlformats.org/officeDocument/2006/relationships/hyperlink" Target="https://tcgplayer-cdn.tcgplayer.com/product/521260_in_1000x1000.jpg" TargetMode="External"/><Relationship Id="rId366" Type="http://schemas.openxmlformats.org/officeDocument/2006/relationships/hyperlink" Target="https://tcgplayer-cdn.tcgplayer.com/product/277492_in_1000x1000.jpg" TargetMode="External"/><Relationship Id="rId1199" Type="http://schemas.openxmlformats.org/officeDocument/2006/relationships/hyperlink" Target="https://card.yuyu-tei.jp/ws/front/sby4.0/10008.jpg" TargetMode="External"/><Relationship Id="rId123" Type="http://schemas.openxmlformats.org/officeDocument/2006/relationships/hyperlink" Target="https://tcgplayer-cdn.tcgplayer.com/product/562879_in_1000x1000.jpg" TargetMode="External"/><Relationship Id="rId365" Type="http://schemas.openxmlformats.org/officeDocument/2006/relationships/hyperlink" Target="https://tcgplayer-cdn.tcgplayer.com/product/277461_in_1000x1000.jpg" TargetMode="External"/><Relationship Id="rId122" Type="http://schemas.openxmlformats.org/officeDocument/2006/relationships/hyperlink" Target="https://tcgplayer-cdn.tcgplayer.com/product/562919_in_1000x1000.jpg" TargetMode="External"/><Relationship Id="rId364" Type="http://schemas.openxmlformats.org/officeDocument/2006/relationships/hyperlink" Target="https://tcgplayer-cdn.tcgplayer.com/product/674094_in_1000x1000.jpg" TargetMode="External"/><Relationship Id="rId95" Type="http://schemas.openxmlformats.org/officeDocument/2006/relationships/hyperlink" Target="https://product-images.tcgplayer.com/fit-in/437x437/500606.jpg" TargetMode="External"/><Relationship Id="rId94" Type="http://schemas.openxmlformats.org/officeDocument/2006/relationships/hyperlink" Target="https://product-images.tcgplayer.com/fit-in/415x415/500538.jpg" TargetMode="External"/><Relationship Id="rId97" Type="http://schemas.openxmlformats.org/officeDocument/2006/relationships/hyperlink" Target="https://product-images.tcgplayer.com/fit-in/437x437/filters:quality(1)/500555.jpg" TargetMode="External"/><Relationship Id="rId96" Type="http://schemas.openxmlformats.org/officeDocument/2006/relationships/hyperlink" Target="https://product-images.tcgplayer.com/fit-in/437x437/500650.jpg" TargetMode="External"/><Relationship Id="rId99" Type="http://schemas.openxmlformats.org/officeDocument/2006/relationships/hyperlink" Target="https://product-images.tcgplayer.com/fit-in/437x437/filters:quality(1)/500619.jpg" TargetMode="External"/><Relationship Id="rId98" Type="http://schemas.openxmlformats.org/officeDocument/2006/relationships/hyperlink" Target="https://product-images.tcgplayer.com/fit-in/437x437/500571.jpg" TargetMode="External"/><Relationship Id="rId91" Type="http://schemas.openxmlformats.org/officeDocument/2006/relationships/hyperlink" Target="https://product-images.tcgplayer.com/fit-in/416x416/500648.jpg" TargetMode="External"/><Relationship Id="rId90" Type="http://schemas.openxmlformats.org/officeDocument/2006/relationships/hyperlink" Target="https://product-images.tcgplayer.com/fit-in/416x416/500683.jpg" TargetMode="External"/><Relationship Id="rId93" Type="http://schemas.openxmlformats.org/officeDocument/2006/relationships/hyperlink" Target="https://product-images.tcgplayer.com/fit-in/415x415/500546.jpg" TargetMode="External"/><Relationship Id="rId92" Type="http://schemas.openxmlformats.org/officeDocument/2006/relationships/hyperlink" Target="https://product-images.tcgplayer.com/fit-in/437x437/500606.jpg" TargetMode="External"/><Relationship Id="rId118" Type="http://schemas.openxmlformats.org/officeDocument/2006/relationships/hyperlink" Target="https://tcgplayer-cdn.tcgplayer.com/product/562859_in_1000x1000.jpg" TargetMode="External"/><Relationship Id="rId117" Type="http://schemas.openxmlformats.org/officeDocument/2006/relationships/hyperlink" Target="https://tcgplayer-cdn.tcgplayer.com/product/562879_in_1000x1000.jpg" TargetMode="External"/><Relationship Id="rId359" Type="http://schemas.openxmlformats.org/officeDocument/2006/relationships/hyperlink" Target="https://tcgplayer-cdn.tcgplayer.com/product/674096_in_1000x1000.jpg" TargetMode="External"/><Relationship Id="rId116" Type="http://schemas.openxmlformats.org/officeDocument/2006/relationships/hyperlink" Target="https://tcgplayer-cdn.tcgplayer.com/product/562919_in_1000x1000.jpg" TargetMode="External"/><Relationship Id="rId358" Type="http://schemas.openxmlformats.org/officeDocument/2006/relationships/hyperlink" Target="https://img.yuyu-tei.jp/card_image/ws/front/ddd/10009.jpg" TargetMode="External"/><Relationship Id="rId115" Type="http://schemas.openxmlformats.org/officeDocument/2006/relationships/hyperlink" Target="https://tcgplayer-cdn.tcgplayer.com/product/562929_in_1000x1000.jpg" TargetMode="External"/><Relationship Id="rId357" Type="http://schemas.openxmlformats.org/officeDocument/2006/relationships/hyperlink" Target="https://img.yuyu-tei.jp/card_image/ws/front/ddd/10007.jpg" TargetMode="External"/><Relationship Id="rId599" Type="http://schemas.openxmlformats.org/officeDocument/2006/relationships/hyperlink" Target="https://product-images.tcgplayer.com/fit-in/437x437/508699.jpg" TargetMode="External"/><Relationship Id="rId1180" Type="http://schemas.openxmlformats.org/officeDocument/2006/relationships/hyperlink" Target="https://tcgplayer-cdn.tcgplayer.com/product/492923_in_1000x1000.jpg" TargetMode="External"/><Relationship Id="rId1181" Type="http://schemas.openxmlformats.org/officeDocument/2006/relationships/hyperlink" Target="https://tcgplayer-cdn.tcgplayer.com/product/492926_in_1000x1000.jpg" TargetMode="External"/><Relationship Id="rId119" Type="http://schemas.openxmlformats.org/officeDocument/2006/relationships/hyperlink" Target="https://tcgplayer-cdn.tcgplayer.com/product/562929_in_1000x1000.jpg" TargetMode="External"/><Relationship Id="rId1182" Type="http://schemas.openxmlformats.org/officeDocument/2006/relationships/hyperlink" Target="https://tcgplayer-cdn.tcgplayer.com/product/493023_in_1000x1000.jpg" TargetMode="External"/><Relationship Id="rId110" Type="http://schemas.openxmlformats.org/officeDocument/2006/relationships/hyperlink" Target="https://tcgplayer-cdn.tcgplayer.com/product/562823_in_1000x1000.jpg" TargetMode="External"/><Relationship Id="rId352" Type="http://schemas.openxmlformats.org/officeDocument/2006/relationships/hyperlink" Target="https://img.yuyu-tei.jp/card_image/ws/front/dc20thext/10018.jpg" TargetMode="External"/><Relationship Id="rId594" Type="http://schemas.openxmlformats.org/officeDocument/2006/relationships/hyperlink" Target="https://product-images.tcgplayer.com/fit-in/437x437/filters:quality(1)/508724.jpg" TargetMode="External"/><Relationship Id="rId1183" Type="http://schemas.openxmlformats.org/officeDocument/2006/relationships/hyperlink" Target="https://product-images.tcgplayer.com/fit-in/585x585/118537.jpg" TargetMode="External"/><Relationship Id="rId351" Type="http://schemas.openxmlformats.org/officeDocument/2006/relationships/hyperlink" Target="https://img.yuyu-tei.jp/card_image/ws/front/dc20th/10008.jpg" TargetMode="External"/><Relationship Id="rId593" Type="http://schemas.openxmlformats.org/officeDocument/2006/relationships/hyperlink" Target="https://product-images.tcgplayer.com/fit-in/437x437/508699.jpg" TargetMode="External"/><Relationship Id="rId1184" Type="http://schemas.openxmlformats.org/officeDocument/2006/relationships/hyperlink" Target="https://product-images.tcgplayer.com/fit-in/585x585/155334.jpg" TargetMode="External"/><Relationship Id="rId350" Type="http://schemas.openxmlformats.org/officeDocument/2006/relationships/hyperlink" Target="https://img.yuyu-tei.jp/card_image/ws/front/dc20thext/10016.jpg" TargetMode="External"/><Relationship Id="rId592" Type="http://schemas.openxmlformats.org/officeDocument/2006/relationships/hyperlink" Target="https://product-images.tcgplayer.com/fit-in/376x376/filters:quality(1)/508822.jpg" TargetMode="External"/><Relationship Id="rId1185" Type="http://schemas.openxmlformats.org/officeDocument/2006/relationships/hyperlink" Target="https://product-images.tcgplayer.com/fit-in/585x585/103340.jpg" TargetMode="External"/><Relationship Id="rId591" Type="http://schemas.openxmlformats.org/officeDocument/2006/relationships/hyperlink" Target="https://tcgplayer-cdn.tcgplayer.com/product/267081_in_1000x1000.jpg" TargetMode="External"/><Relationship Id="rId1186" Type="http://schemas.openxmlformats.org/officeDocument/2006/relationships/hyperlink" Target="https://product-images.tcgplayer.com/fit-in/585x585/118537.jpg" TargetMode="External"/><Relationship Id="rId114" Type="http://schemas.openxmlformats.org/officeDocument/2006/relationships/hyperlink" Target="https://tcgplayer-cdn.tcgplayer.com/product/562861_in_1000x1000.jpg" TargetMode="External"/><Relationship Id="rId356" Type="http://schemas.openxmlformats.org/officeDocument/2006/relationships/hyperlink" Target="https://img.yuyu-tei.jp/card_image/ws/front/ddd/10014.jpg" TargetMode="External"/><Relationship Id="rId598" Type="http://schemas.openxmlformats.org/officeDocument/2006/relationships/hyperlink" Target="https://product-images.tcgplayer.com/fit-in/376x376/filters:quality(1)/508822.jpg" TargetMode="External"/><Relationship Id="rId1187" Type="http://schemas.openxmlformats.org/officeDocument/2006/relationships/hyperlink" Target="https://tcgplayer-cdn.tcgplayer.com/product/493037_in_1000x1000.jpg" TargetMode="External"/><Relationship Id="rId113" Type="http://schemas.openxmlformats.org/officeDocument/2006/relationships/hyperlink" Target="https://tcgplayer-cdn.tcgplayer.com/product/562902_in_1000x1000.jpg" TargetMode="External"/><Relationship Id="rId355" Type="http://schemas.openxmlformats.org/officeDocument/2006/relationships/hyperlink" Target="https://card.yuyu-tei.jp/ws/front/dct/10118.jpg" TargetMode="External"/><Relationship Id="rId597" Type="http://schemas.openxmlformats.org/officeDocument/2006/relationships/hyperlink" Target="https://product-images.tcgplayer.com/fit-in/585x585/267225.jpg" TargetMode="External"/><Relationship Id="rId1188" Type="http://schemas.openxmlformats.org/officeDocument/2006/relationships/hyperlink" Target="https://tcgplayer-cdn.tcgplayer.com/product/492923_in_1000x1000.jpg" TargetMode="External"/><Relationship Id="rId112" Type="http://schemas.openxmlformats.org/officeDocument/2006/relationships/hyperlink" Target="https://tcgplayer-cdn.tcgplayer.com/product/562819_in_1000x1000.jpg" TargetMode="External"/><Relationship Id="rId354" Type="http://schemas.openxmlformats.org/officeDocument/2006/relationships/hyperlink" Target="https://card.yuyu-tei.jp/ws/front/dct/10015.jpg" TargetMode="External"/><Relationship Id="rId596" Type="http://schemas.openxmlformats.org/officeDocument/2006/relationships/hyperlink" Target="https://tcgplayer-cdn.tcgplayer.com/product/267670_in_1000x1000.jpg" TargetMode="External"/><Relationship Id="rId1189" Type="http://schemas.openxmlformats.org/officeDocument/2006/relationships/hyperlink" Target="https://tcgplayer-cdn.tcgplayer.com/product/493023_in_1000x1000.jpg" TargetMode="External"/><Relationship Id="rId111" Type="http://schemas.openxmlformats.org/officeDocument/2006/relationships/hyperlink" Target="https://tcgplayer-cdn.tcgplayer.com/product/562827_in_1000x1000.jpg" TargetMode="External"/><Relationship Id="rId353" Type="http://schemas.openxmlformats.org/officeDocument/2006/relationships/hyperlink" Target="https://card.yuyu-tei.jp/ws/front/dct/10115.jpg" TargetMode="External"/><Relationship Id="rId595" Type="http://schemas.openxmlformats.org/officeDocument/2006/relationships/hyperlink" Target="https://product-images.tcgplayer.com/fit-in/437x437/508699.jpg" TargetMode="External"/><Relationship Id="rId1136" Type="http://schemas.openxmlformats.org/officeDocument/2006/relationships/hyperlink" Target="https://card.yuyu-tei.jp/ws/front/rz4.0/10048.jpg" TargetMode="External"/><Relationship Id="rId1378" Type="http://schemas.openxmlformats.org/officeDocument/2006/relationships/hyperlink" Target="https://card.yuyu-tei.jp/ws/front/uma2.0/10079.jpg" TargetMode="External"/><Relationship Id="rId1137" Type="http://schemas.openxmlformats.org/officeDocument/2006/relationships/hyperlink" Target="https://card.yuyu-tei.jp/ws/front/rz4.0/10049.jpg" TargetMode="External"/><Relationship Id="rId1379" Type="http://schemas.openxmlformats.org/officeDocument/2006/relationships/hyperlink" Target="https://img.yuyu-tei.jp/card_image/ws/front/uma2.0/10056.jpg" TargetMode="External"/><Relationship Id="rId1138" Type="http://schemas.openxmlformats.org/officeDocument/2006/relationships/hyperlink" Target="https://card.yuyu-tei.jp/ws/front/sao10th2.0/10038.jpg" TargetMode="External"/><Relationship Id="rId1139" Type="http://schemas.openxmlformats.org/officeDocument/2006/relationships/hyperlink" Target="https://card.yuyu-tei.jp/ws/front/sao10th2.0/10033.jpg" TargetMode="External"/><Relationship Id="rId305" Type="http://schemas.openxmlformats.org/officeDocument/2006/relationships/hyperlink" Target="https://product-images.tcgplayer.com/fit-in/656x656/553987.jpg" TargetMode="External"/><Relationship Id="rId547" Type="http://schemas.openxmlformats.org/officeDocument/2006/relationships/hyperlink" Target="https://img.yuyu-tei.jp/card_image/ws/front/hbr/10059.jpg" TargetMode="External"/><Relationship Id="rId789" Type="http://schemas.openxmlformats.org/officeDocument/2006/relationships/hyperlink" Target="https://card.yuyu-tei.jp/ws/front/key20th/10043.jpg" TargetMode="External"/><Relationship Id="rId304" Type="http://schemas.openxmlformats.org/officeDocument/2006/relationships/hyperlink" Target="https://product-images.tcgplayer.com/fit-in/656x656/554095.jpg" TargetMode="External"/><Relationship Id="rId546" Type="http://schemas.openxmlformats.org/officeDocument/2006/relationships/hyperlink" Target="https://img.yuyu-tei.jp/card_image/ws/front/godzillaext1.0/10025.jpg" TargetMode="External"/><Relationship Id="rId788" Type="http://schemas.openxmlformats.org/officeDocument/2006/relationships/hyperlink" Target="https://card.yuyu-tei.jp/ws/front/keypb/10030.jpg" TargetMode="External"/><Relationship Id="rId303" Type="http://schemas.openxmlformats.org/officeDocument/2006/relationships/hyperlink" Target="https://product-images.tcgplayer.com/fit-in/656x656/554047.jpg" TargetMode="External"/><Relationship Id="rId545" Type="http://schemas.openxmlformats.org/officeDocument/2006/relationships/hyperlink" Target="https://img.yuyu-tei.jp/card_image/ws/front/godzillaext1.0/10029.jpg" TargetMode="External"/><Relationship Id="rId787" Type="http://schemas.openxmlformats.org/officeDocument/2006/relationships/hyperlink" Target="https://card.yuyu-tei.jp/ws/front/key2.0/10005.jpg" TargetMode="External"/><Relationship Id="rId302" Type="http://schemas.openxmlformats.org/officeDocument/2006/relationships/hyperlink" Target="https://tcgplayer-cdn.tcgplayer.com/product/554063_in_1000x1000.jpg" TargetMode="External"/><Relationship Id="rId544" Type="http://schemas.openxmlformats.org/officeDocument/2006/relationships/hyperlink" Target="https://img.yuyu-tei.jp/card_image/ws/front/godzillaext1.0/10037.jpg" TargetMode="External"/><Relationship Id="rId786" Type="http://schemas.openxmlformats.org/officeDocument/2006/relationships/hyperlink" Target="https://product-images.tcgplayer.com/fit-in/437x437/224745.jpg" TargetMode="External"/><Relationship Id="rId309" Type="http://schemas.openxmlformats.org/officeDocument/2006/relationships/hyperlink" Target="https://card.yuyu-tei.jp/ws/front/key20th/10095.jpg" TargetMode="External"/><Relationship Id="rId308" Type="http://schemas.openxmlformats.org/officeDocument/2006/relationships/hyperlink" Target="https://product-images.tcgplayer.com/fit-in/656x656/553987.jpg" TargetMode="External"/><Relationship Id="rId307" Type="http://schemas.openxmlformats.org/officeDocument/2006/relationships/hyperlink" Target="https://product-images.tcgplayer.com/fit-in/656x656/554015.jpg" TargetMode="External"/><Relationship Id="rId549" Type="http://schemas.openxmlformats.org/officeDocument/2006/relationships/hyperlink" Target="https://img.yuyu-tei.jp/card_image/ws/front/hbr/10056.jpg" TargetMode="External"/><Relationship Id="rId306" Type="http://schemas.openxmlformats.org/officeDocument/2006/relationships/hyperlink" Target="https://product-images.tcgplayer.com/fit-in/656x656/554047.jpg" TargetMode="External"/><Relationship Id="rId548" Type="http://schemas.openxmlformats.org/officeDocument/2006/relationships/hyperlink" Target="https://img.yuyu-tei.jp/card_image/ws/front/hbr/10053.jpg" TargetMode="External"/><Relationship Id="rId781" Type="http://schemas.openxmlformats.org/officeDocument/2006/relationships/hyperlink" Target="https://tcgplayer-cdn.tcgplayer.com/product/181090_in_1000x1000.jpg" TargetMode="External"/><Relationship Id="rId1370" Type="http://schemas.openxmlformats.org/officeDocument/2006/relationships/hyperlink" Target="https://card.yuyu-tei.jp/ws/front/uma3.0/10082.jpg" TargetMode="External"/><Relationship Id="rId780" Type="http://schemas.openxmlformats.org/officeDocument/2006/relationships/hyperlink" Target="https://tcgplayer-cdn.tcgplayer.com/product/224806_in_1000x1000.jpg" TargetMode="External"/><Relationship Id="rId1371" Type="http://schemas.openxmlformats.org/officeDocument/2006/relationships/hyperlink" Target="https://img.yuyu-tei.jp/card_image/ws/front/uma/10030.jpg" TargetMode="External"/><Relationship Id="rId1130" Type="http://schemas.openxmlformats.org/officeDocument/2006/relationships/hyperlink" Target="https://product-images.tcgplayer.com/fit-in/585x585/221210.jpg" TargetMode="External"/><Relationship Id="rId1372" Type="http://schemas.openxmlformats.org/officeDocument/2006/relationships/hyperlink" Target="https://tcgrepublic.com/media/binary/000/449/643/449643.png" TargetMode="External"/><Relationship Id="rId1131" Type="http://schemas.openxmlformats.org/officeDocument/2006/relationships/hyperlink" Target="https://product-images.tcgplayer.com/fit-in/585x585/filters:quality(1)/220646.jpg" TargetMode="External"/><Relationship Id="rId1373" Type="http://schemas.openxmlformats.org/officeDocument/2006/relationships/hyperlink" Target="https://img.yuyu-tei.jp/card_image/ws/front/uma2.0/10056.jpg" TargetMode="External"/><Relationship Id="rId301" Type="http://schemas.openxmlformats.org/officeDocument/2006/relationships/hyperlink" Target="https://tcgplayer-cdn.tcgplayer.com/product/553997_in_1000x1000.jpg" TargetMode="External"/><Relationship Id="rId543" Type="http://schemas.openxmlformats.org/officeDocument/2006/relationships/hyperlink" Target="https://tcgplayer-cdn.tcgplayer.com/product/585817_in_1000x1000.jpg" TargetMode="External"/><Relationship Id="rId785" Type="http://schemas.openxmlformats.org/officeDocument/2006/relationships/hyperlink" Target="https://product-images.tcgplayer.com/fit-in/437x437/224374.jpg" TargetMode="External"/><Relationship Id="rId1132" Type="http://schemas.openxmlformats.org/officeDocument/2006/relationships/hyperlink" Target="https://tcgplayer-cdn.tcgplayer.com/product/221281_in_1000x1000.jpg" TargetMode="External"/><Relationship Id="rId1374" Type="http://schemas.openxmlformats.org/officeDocument/2006/relationships/hyperlink" Target="https://img.yuyu-tei.jp/card_image/ws/front/uma/10030.jpg" TargetMode="External"/><Relationship Id="rId300" Type="http://schemas.openxmlformats.org/officeDocument/2006/relationships/hyperlink" Target="https://tcgplayer-cdn.tcgplayer.com/product/554131_in_1000x1000.jpg" TargetMode="External"/><Relationship Id="rId542" Type="http://schemas.openxmlformats.org/officeDocument/2006/relationships/hyperlink" Target="https://tcgplayer-cdn.tcgplayer.com/product/585583_in_1000x1000.jpg" TargetMode="External"/><Relationship Id="rId784" Type="http://schemas.openxmlformats.org/officeDocument/2006/relationships/hyperlink" Target="https://product-images.tcgplayer.com/fit-in/437x437/filters:quality(1)/224749.jpg" TargetMode="External"/><Relationship Id="rId1133" Type="http://schemas.openxmlformats.org/officeDocument/2006/relationships/hyperlink" Target="https://tcgplayer-cdn.tcgplayer.com/product/221270_in_1000x1000.jpg" TargetMode="External"/><Relationship Id="rId1375" Type="http://schemas.openxmlformats.org/officeDocument/2006/relationships/hyperlink" Target="https://img.yuyu-tei.jp/card_image/ws/front/uma/10109.jpg" TargetMode="External"/><Relationship Id="rId541" Type="http://schemas.openxmlformats.org/officeDocument/2006/relationships/hyperlink" Target="https://tcgplayer-cdn.tcgplayer.com/product/585819_in_1000x1000.jpg" TargetMode="External"/><Relationship Id="rId783" Type="http://schemas.openxmlformats.org/officeDocument/2006/relationships/hyperlink" Target="https://img.yuyu-tei.jp/card_image/ws/front/kadokawas2.0/10142.jpg" TargetMode="External"/><Relationship Id="rId1134" Type="http://schemas.openxmlformats.org/officeDocument/2006/relationships/hyperlink" Target="https://tcgplayer-cdn.tcgplayer.com/product/220847_in_1000x1000.jpg" TargetMode="External"/><Relationship Id="rId1376" Type="http://schemas.openxmlformats.org/officeDocument/2006/relationships/hyperlink" Target="https://img.yuyu-tei.jp/card_image/ws/front/uma/10124.jpg" TargetMode="External"/><Relationship Id="rId540" Type="http://schemas.openxmlformats.org/officeDocument/2006/relationships/hyperlink" Target="https://tcgplayer-cdn.tcgplayer.com/product/585817_in_1000x1000.jpg" TargetMode="External"/><Relationship Id="rId782" Type="http://schemas.openxmlformats.org/officeDocument/2006/relationships/hyperlink" Target="https://img.yuyu-tei.jp/card_image/ws/front/kadokawas2.0/10145.jpg" TargetMode="External"/><Relationship Id="rId1135" Type="http://schemas.openxmlformats.org/officeDocument/2006/relationships/hyperlink" Target="https://card.yuyu-tei.jp/ws/front/rz4.0/10082.jpg" TargetMode="External"/><Relationship Id="rId1377" Type="http://schemas.openxmlformats.org/officeDocument/2006/relationships/hyperlink" Target="https://img.yuyu-tei.jp/card_image/ws/front/uma/10030.jpg" TargetMode="External"/><Relationship Id="rId1125" Type="http://schemas.openxmlformats.org/officeDocument/2006/relationships/hyperlink" Target="https://product-images.tcgplayer.com/fit-in/585x585/filters:quality(1)/256855.jpg" TargetMode="External"/><Relationship Id="rId1367" Type="http://schemas.openxmlformats.org/officeDocument/2006/relationships/hyperlink" Target="https://tcgplayer-cdn.tcgplayer.com/product/249996_in_1000x1000.jpg" TargetMode="External"/><Relationship Id="rId1126" Type="http://schemas.openxmlformats.org/officeDocument/2006/relationships/hyperlink" Target="https://tcgplayer-cdn.tcgplayer.com/product/256849_in_1000x1000.jpg" TargetMode="External"/><Relationship Id="rId1368" Type="http://schemas.openxmlformats.org/officeDocument/2006/relationships/hyperlink" Target="https://card.yuyu-tei.jp/ws/front/uma3.0/10081.jpg" TargetMode="External"/><Relationship Id="rId1127" Type="http://schemas.openxmlformats.org/officeDocument/2006/relationships/hyperlink" Target="https://tcgplayer-cdn.tcgplayer.com/product/255997_in_1000x1000.jpg" TargetMode="External"/><Relationship Id="rId1369" Type="http://schemas.openxmlformats.org/officeDocument/2006/relationships/hyperlink" Target="https://card.yuyu-tei.jp/ws/front/uma3.0/10010.jpg" TargetMode="External"/><Relationship Id="rId1128" Type="http://schemas.openxmlformats.org/officeDocument/2006/relationships/hyperlink" Target="https://tcgplayer-cdn.tcgplayer.com/product/256855_in_1000x1000.jpg" TargetMode="External"/><Relationship Id="rId1129" Type="http://schemas.openxmlformats.org/officeDocument/2006/relationships/hyperlink" Target="https://product-images.tcgplayer.com/fit-in/585x585/221281.jpg" TargetMode="External"/><Relationship Id="rId536" Type="http://schemas.openxmlformats.org/officeDocument/2006/relationships/hyperlink" Target="https://tcgplayer-cdn.tcgplayer.com/product/585685_in_1000x1000.jpg" TargetMode="External"/><Relationship Id="rId778" Type="http://schemas.openxmlformats.org/officeDocument/2006/relationships/hyperlink" Target="https://img.yuyu-tei.jp/card_image/ws/front/kadokawas2.0/10145.jpg" TargetMode="External"/><Relationship Id="rId535" Type="http://schemas.openxmlformats.org/officeDocument/2006/relationships/hyperlink" Target="https://img.yuyu-tei.jp/card_image/ws/front/gochiusare/10072.jpg" TargetMode="External"/><Relationship Id="rId777" Type="http://schemas.openxmlformats.org/officeDocument/2006/relationships/hyperlink" Target="https://img.yuyu-tei.jp/card_image/ws/front/kadokawas2.0/10133.jpg" TargetMode="External"/><Relationship Id="rId534" Type="http://schemas.openxmlformats.org/officeDocument/2006/relationships/hyperlink" Target="https://img.yuyu-tei.jp/card_image/ws/front/gochiusapb/10023.jpg" TargetMode="External"/><Relationship Id="rId776" Type="http://schemas.openxmlformats.org/officeDocument/2006/relationships/hyperlink" Target="https://img.yuyu-tei.jp/card_image/ws/front/kadokawas2.0/10050.jpg" TargetMode="External"/><Relationship Id="rId533" Type="http://schemas.openxmlformats.org/officeDocument/2006/relationships/hyperlink" Target="https://img.yuyu-tei.jp/card_image/ws/front/gochiusare/10071.jpg" TargetMode="External"/><Relationship Id="rId775" Type="http://schemas.openxmlformats.org/officeDocument/2006/relationships/hyperlink" Target="https://img.yuyu-tei.jp/card_image/ws/front/kadokawas2.0/10145.jpg" TargetMode="External"/><Relationship Id="rId539" Type="http://schemas.openxmlformats.org/officeDocument/2006/relationships/hyperlink" Target="https://tcgplayer-cdn.tcgplayer.com/product/585958_in_1000x1000.jpg" TargetMode="External"/><Relationship Id="rId538" Type="http://schemas.openxmlformats.org/officeDocument/2006/relationships/hyperlink" Target="https://tcgplayer-cdn.tcgplayer.com/product/585819_in_1000x1000.jpg" TargetMode="External"/><Relationship Id="rId537" Type="http://schemas.openxmlformats.org/officeDocument/2006/relationships/hyperlink" Target="https://tcgplayer-cdn.tcgplayer.com/product/585661_in_1000x1000.jpg" TargetMode="External"/><Relationship Id="rId779" Type="http://schemas.openxmlformats.org/officeDocument/2006/relationships/hyperlink" Target="https://tcgplayer-cdn.tcgplayer.com/product/141897_in_1000x1000.jpg" TargetMode="External"/><Relationship Id="rId770" Type="http://schemas.openxmlformats.org/officeDocument/2006/relationships/hyperlink" Target="https://tcgplayer-cdn.tcgplayer.com/product/141848_in_1000x1000.jpg" TargetMode="External"/><Relationship Id="rId1360" Type="http://schemas.openxmlformats.org/officeDocument/2006/relationships/hyperlink" Target="https://product-images.tcgplayer.com/fit-in/437x437/filters:quality(1)/503797.jpg" TargetMode="External"/><Relationship Id="rId1361" Type="http://schemas.openxmlformats.org/officeDocument/2006/relationships/hyperlink" Target="https://tcgplayer-cdn.tcgplayer.com/product/503742_in_1000x1000.jpg" TargetMode="External"/><Relationship Id="rId1120" Type="http://schemas.openxmlformats.org/officeDocument/2006/relationships/hyperlink" Target="https://product-images.tcgplayer.com/fit-in/585x585/filters:quality(1)/256796.jpg" TargetMode="External"/><Relationship Id="rId1362" Type="http://schemas.openxmlformats.org/officeDocument/2006/relationships/hyperlink" Target="https://tcgplayer-cdn.tcgplayer.com/product/503730_in_1000x1000.jpg" TargetMode="External"/><Relationship Id="rId532" Type="http://schemas.openxmlformats.org/officeDocument/2006/relationships/hyperlink" Target="https://img.yuyu-tei.jp/card_image/ws/front/gochiusabloom/10081.jpg" TargetMode="External"/><Relationship Id="rId774" Type="http://schemas.openxmlformats.org/officeDocument/2006/relationships/hyperlink" Target="https://tcgplayer-cdn.tcgplayer.com/product/141897_in_1000x1000.jpg" TargetMode="External"/><Relationship Id="rId1121" Type="http://schemas.openxmlformats.org/officeDocument/2006/relationships/hyperlink" Target="https://product-images.tcgplayer.com/fit-in/585x585/555393.jpg" TargetMode="External"/><Relationship Id="rId1363" Type="http://schemas.openxmlformats.org/officeDocument/2006/relationships/hyperlink" Target="https://product-images.tcgplayer.com/fit-in/585x585/218785.jpg" TargetMode="External"/><Relationship Id="rId531" Type="http://schemas.openxmlformats.org/officeDocument/2006/relationships/hyperlink" Target="https://img.yuyu-tei.jp/card_image/ws/front/gochiusapb/10023.jpg" TargetMode="External"/><Relationship Id="rId773" Type="http://schemas.openxmlformats.org/officeDocument/2006/relationships/hyperlink" Target="https://tcgplayer-cdn.tcgplayer.com/product/224180_in_1000x1000.jpg" TargetMode="External"/><Relationship Id="rId1122" Type="http://schemas.openxmlformats.org/officeDocument/2006/relationships/hyperlink" Target="https://product-images.tcgplayer.com/fit-in/585x585/filters:quality(1)/256855.jpg" TargetMode="External"/><Relationship Id="rId1364" Type="http://schemas.openxmlformats.org/officeDocument/2006/relationships/hyperlink" Target="https://product-images.tcgplayer.com/fit-in/585x585/247882.jpg" TargetMode="External"/><Relationship Id="rId530" Type="http://schemas.openxmlformats.org/officeDocument/2006/relationships/hyperlink" Target="https://img.yuyu-tei.jp/card_image/ws/front/gochiusabloom/10077.jpg" TargetMode="External"/><Relationship Id="rId772" Type="http://schemas.openxmlformats.org/officeDocument/2006/relationships/hyperlink" Target="https://tcgplayer-cdn.tcgplayer.com/product/224777_in_1000x1000.jpg" TargetMode="External"/><Relationship Id="rId1123" Type="http://schemas.openxmlformats.org/officeDocument/2006/relationships/hyperlink" Target="https://product-images.tcgplayer.com/fit-in/585x585/256796.jpg" TargetMode="External"/><Relationship Id="rId1365" Type="http://schemas.openxmlformats.org/officeDocument/2006/relationships/hyperlink" Target="https://tcgplayer-cdn.tcgplayer.com/product/503808_in_1000x1000.jpg" TargetMode="External"/><Relationship Id="rId771" Type="http://schemas.openxmlformats.org/officeDocument/2006/relationships/hyperlink" Target="https://tcgplayer-cdn.tcgplayer.com/product/181082_in_1000x1000.jpg" TargetMode="External"/><Relationship Id="rId1124" Type="http://schemas.openxmlformats.org/officeDocument/2006/relationships/hyperlink" Target="https://product-images.tcgplayer.com/fit-in/585x585/filters:quality(1)/256877.jpg" TargetMode="External"/><Relationship Id="rId1366" Type="http://schemas.openxmlformats.org/officeDocument/2006/relationships/hyperlink" Target="https://tcgplayer-cdn.tcgplayer.com/product/503730_in_1000x1000.jpg" TargetMode="External"/><Relationship Id="rId1158" Type="http://schemas.openxmlformats.org/officeDocument/2006/relationships/hyperlink" Target="https://product-images.tcgplayer.com/fit-in/780x780/493148.jpg" TargetMode="External"/><Relationship Id="rId1159" Type="http://schemas.openxmlformats.org/officeDocument/2006/relationships/hyperlink" Target="https://tcgplayer-cdn.tcgplayer.com/product/155317_in_1000x1000.jpg" TargetMode="External"/><Relationship Id="rId327" Type="http://schemas.openxmlformats.org/officeDocument/2006/relationships/hyperlink" Target="https://tcgplayer-cdn.tcgplayer.com/product/534339_in_1000x1000.jpg" TargetMode="External"/><Relationship Id="rId569" Type="http://schemas.openxmlformats.org/officeDocument/2006/relationships/hyperlink" Target="https://tcgplayer-cdn.tcgplayer.com/product/508849_in_1000x1000.jpg" TargetMode="External"/><Relationship Id="rId326" Type="http://schemas.openxmlformats.org/officeDocument/2006/relationships/hyperlink" Target="https://product-images.tcgplayer.com/fit-in/585x585/534255.jpg" TargetMode="External"/><Relationship Id="rId568" Type="http://schemas.openxmlformats.org/officeDocument/2006/relationships/hyperlink" Target="https://tcgplayer-cdn.tcgplayer.com/product/509114_in_1000x1000.jpg" TargetMode="External"/><Relationship Id="rId325" Type="http://schemas.openxmlformats.org/officeDocument/2006/relationships/hyperlink" Target="https://product-images.tcgplayer.com/fit-in/437x437/534352.jpg" TargetMode="External"/><Relationship Id="rId567" Type="http://schemas.openxmlformats.org/officeDocument/2006/relationships/hyperlink" Target="https://tcgplayer-cdn.tcgplayer.com/product/267113_in_1000x1000.jpg" TargetMode="External"/><Relationship Id="rId324" Type="http://schemas.openxmlformats.org/officeDocument/2006/relationships/hyperlink" Target="https://product-images.tcgplayer.com/fit-in/437x437/534339.jpg" TargetMode="External"/><Relationship Id="rId566" Type="http://schemas.openxmlformats.org/officeDocument/2006/relationships/hyperlink" Target="https://tcgplayer-cdn.tcgplayer.com/product/267486_in_1000x1000.jpg" TargetMode="External"/><Relationship Id="rId329" Type="http://schemas.openxmlformats.org/officeDocument/2006/relationships/hyperlink" Target="https://tcgplayer-cdn.tcgplayer.com/product/534216_in_1000x1000.jpg" TargetMode="External"/><Relationship Id="rId1390" Type="http://schemas.openxmlformats.org/officeDocument/2006/relationships/hyperlink" Target="https://img.yuyu-tei.jp/card_image/ws/front/yrc/10058.jpg" TargetMode="External"/><Relationship Id="rId328" Type="http://schemas.openxmlformats.org/officeDocument/2006/relationships/hyperlink" Target="https://tcgplayer-cdn.tcgplayer.com/product/534293_in_1000x1000.jpg" TargetMode="External"/><Relationship Id="rId1391" Type="http://schemas.openxmlformats.org/officeDocument/2006/relationships/hyperlink" Target="https://img.yuyu-tei.jp/card_image/ws/front/yrc/10110.jpg" TargetMode="External"/><Relationship Id="rId561" Type="http://schemas.openxmlformats.org/officeDocument/2006/relationships/hyperlink" Target="https://tcgplayer-cdn.tcgplayer.com/product/267225_in_1000x1000.jpg" TargetMode="External"/><Relationship Id="rId1150" Type="http://schemas.openxmlformats.org/officeDocument/2006/relationships/hyperlink" Target="https://product-images.tcgplayer.com/fit-in/437x437/130798.jpg" TargetMode="External"/><Relationship Id="rId1392" Type="http://schemas.openxmlformats.org/officeDocument/2006/relationships/hyperlink" Target="https://img.yuyu-tei.jp/card_image/ws/front/yrc/10109.jpg" TargetMode="External"/><Relationship Id="rId560" Type="http://schemas.openxmlformats.org/officeDocument/2006/relationships/hyperlink" Target="https://tcgplayer-cdn.tcgplayer.com/product/267443_in_1000x1000.jpg" TargetMode="External"/><Relationship Id="rId1151" Type="http://schemas.openxmlformats.org/officeDocument/2006/relationships/hyperlink" Target="https://product-images.tcgplayer.com/fit-in/437x437/155334.jpg" TargetMode="External"/><Relationship Id="rId1393" Type="http://schemas.openxmlformats.org/officeDocument/2006/relationships/hyperlink" Target="https://img.yuyu-tei.jp/card_image/ws/front/yrc/10122.jpg" TargetMode="External"/><Relationship Id="rId1152" Type="http://schemas.openxmlformats.org/officeDocument/2006/relationships/hyperlink" Target="https://product-images.tcgplayer.com/fit-in/437x437/492923.jpg" TargetMode="External"/><Relationship Id="rId1394" Type="http://schemas.openxmlformats.org/officeDocument/2006/relationships/hyperlink" Target="https://img.yuyu-tei.jp/card_image/ws/front/yrc/10110.jpg" TargetMode="External"/><Relationship Id="rId1153" Type="http://schemas.openxmlformats.org/officeDocument/2006/relationships/hyperlink" Target="https://product-images.tcgplayer.com/fit-in/585x585/493166.jpg" TargetMode="External"/><Relationship Id="rId1395" Type="http://schemas.openxmlformats.org/officeDocument/2006/relationships/hyperlink" Target="https://img.yuyu-tei.jp/card_image/ws/front/yrc/10093.jpg" TargetMode="External"/><Relationship Id="rId323" Type="http://schemas.openxmlformats.org/officeDocument/2006/relationships/hyperlink" Target="https://tcgplayer-cdn.tcgplayer.com/product/534406_in_1000x1000.jpg" TargetMode="External"/><Relationship Id="rId565" Type="http://schemas.openxmlformats.org/officeDocument/2006/relationships/hyperlink" Target="https://tcgplayer-cdn.tcgplayer.com/product/509114_in_1000x1000.jpg" TargetMode="External"/><Relationship Id="rId1154" Type="http://schemas.openxmlformats.org/officeDocument/2006/relationships/hyperlink" Target="https://product-images.tcgplayer.com/fit-in/585x585/493146.jpg" TargetMode="External"/><Relationship Id="rId1396" Type="http://schemas.openxmlformats.org/officeDocument/2006/relationships/hyperlink" Target="https://img.yuyu-tei.jp/card_image/ws/front/yrc/10044.jpg" TargetMode="External"/><Relationship Id="rId322" Type="http://schemas.openxmlformats.org/officeDocument/2006/relationships/hyperlink" Target="https://tcgplayer-cdn.tcgplayer.com/product/534408_in_1000x1000.jpg" TargetMode="External"/><Relationship Id="rId564" Type="http://schemas.openxmlformats.org/officeDocument/2006/relationships/hyperlink" Target="https://tcgplayer-cdn.tcgplayer.com/product/508724_in_1000x1000.jpg" TargetMode="External"/><Relationship Id="rId1155" Type="http://schemas.openxmlformats.org/officeDocument/2006/relationships/hyperlink" Target="https://tcgplayer-cdn.tcgplayer.com/product/492923_in_1000x1000.jpg" TargetMode="External"/><Relationship Id="rId1397" Type="http://schemas.openxmlformats.org/officeDocument/2006/relationships/hyperlink" Target="https://img.yuyu-tei.jp/card_image/ws/front/yrc/10073.jpg" TargetMode="External"/><Relationship Id="rId321" Type="http://schemas.openxmlformats.org/officeDocument/2006/relationships/hyperlink" Target="https://tcgplayer-cdn.tcgplayer.com/product/534397_in_1000x1000.jpg" TargetMode="External"/><Relationship Id="rId563" Type="http://schemas.openxmlformats.org/officeDocument/2006/relationships/hyperlink" Target="https://tcgplayer-cdn.tcgplayer.com/product/508869_in_1000x1000.jpg" TargetMode="External"/><Relationship Id="rId1156" Type="http://schemas.openxmlformats.org/officeDocument/2006/relationships/hyperlink" Target="https://product-images.tcgplayer.com/fit-in/585x585/493166.jpg" TargetMode="External"/><Relationship Id="rId1398" Type="http://schemas.openxmlformats.org/officeDocument/2006/relationships/hyperlink" Target="https://img.yuyu-tei.jp/card_image/ws/front/yrc/10093.jpg" TargetMode="External"/><Relationship Id="rId320" Type="http://schemas.openxmlformats.org/officeDocument/2006/relationships/hyperlink" Target="https://tcgplayer-cdn.tcgplayer.com/product/534216_in_1000x1000.jpg" TargetMode="External"/><Relationship Id="rId562" Type="http://schemas.openxmlformats.org/officeDocument/2006/relationships/hyperlink" Target="https://tcgplayer-cdn.tcgplayer.com/product/509114_in_1000x1000.jpg" TargetMode="External"/><Relationship Id="rId1157" Type="http://schemas.openxmlformats.org/officeDocument/2006/relationships/hyperlink" Target="https://product-images.tcgplayer.com/fit-in/585x585/493146.jpg" TargetMode="External"/><Relationship Id="rId1399" Type="http://schemas.openxmlformats.org/officeDocument/2006/relationships/hyperlink" Target="https://img.yuyu-tei.jp/card_image/ws/front/yrc/10044.jpg" TargetMode="External"/><Relationship Id="rId1147" Type="http://schemas.openxmlformats.org/officeDocument/2006/relationships/hyperlink" Target="https://tcgplayer-cdn.tcgplayer.com/product/493023_in_1000x1000.jpg" TargetMode="External"/><Relationship Id="rId1389" Type="http://schemas.openxmlformats.org/officeDocument/2006/relationships/hyperlink" Target="https://img.yuyu-tei.jp/card_image/ws/front/yrc/10044.jpg" TargetMode="External"/><Relationship Id="rId1148" Type="http://schemas.openxmlformats.org/officeDocument/2006/relationships/hyperlink" Target="https://tcgplayer-cdn.tcgplayer.com/product/493037_in_1000x1000.jpg" TargetMode="External"/><Relationship Id="rId1149" Type="http://schemas.openxmlformats.org/officeDocument/2006/relationships/hyperlink" Target="https://tcgplayer-cdn.tcgplayer.com/product/492923_in_1000x1000.jpg" TargetMode="External"/><Relationship Id="rId316" Type="http://schemas.openxmlformats.org/officeDocument/2006/relationships/hyperlink" Target="https://tcgplayer-cdn.tcgplayer.com/product/534212_in_1000x1000.jpg" TargetMode="External"/><Relationship Id="rId558" Type="http://schemas.openxmlformats.org/officeDocument/2006/relationships/hyperlink" Target="https://tcgplayer-cdn.tcgplayer.com/product/267187_in_1000x1000.jpg" TargetMode="External"/><Relationship Id="rId315" Type="http://schemas.openxmlformats.org/officeDocument/2006/relationships/hyperlink" Target="https://tcgplayer-cdn.tcgplayer.com/product/534218_in_1000x1000.jpg" TargetMode="External"/><Relationship Id="rId557" Type="http://schemas.openxmlformats.org/officeDocument/2006/relationships/hyperlink" Target="https://tcgplayer-cdn.tcgplayer.com/product/267283_in_1000x1000.jpg" TargetMode="External"/><Relationship Id="rId799" Type="http://schemas.openxmlformats.org/officeDocument/2006/relationships/hyperlink" Target="https://img.yuyu-tei.jp/card_image/ws/front/lovelivesif3.0/10053.jpg" TargetMode="External"/><Relationship Id="rId314" Type="http://schemas.openxmlformats.org/officeDocument/2006/relationships/hyperlink" Target="https://product-images.tcgplayer.com/fit-in/585x585/534255.jpg" TargetMode="External"/><Relationship Id="rId556" Type="http://schemas.openxmlformats.org/officeDocument/2006/relationships/hyperlink" Target="https://tcgplayer-cdn.tcgplayer.com/product/509045_in_1000x1000.jpg" TargetMode="External"/><Relationship Id="rId798" Type="http://schemas.openxmlformats.org/officeDocument/2006/relationships/hyperlink" Target="https://img.yuyu-tei.jp/card_image/ws/front/lhs/10083.jpg" TargetMode="External"/><Relationship Id="rId313" Type="http://schemas.openxmlformats.org/officeDocument/2006/relationships/hyperlink" Target="https://tcgplayer-cdn.tcgplayer.com/product/534267_in_1000x1000.jpg" TargetMode="External"/><Relationship Id="rId555" Type="http://schemas.openxmlformats.org/officeDocument/2006/relationships/hyperlink" Target="https://img.yuyu-tei.jp/card_image/ws/front/hbr/10053.jpg" TargetMode="External"/><Relationship Id="rId797" Type="http://schemas.openxmlformats.org/officeDocument/2006/relationships/hyperlink" Target="https://img.yuyu-tei.jp/card_image/ws/front/lhs/10119.jpg" TargetMode="External"/><Relationship Id="rId319" Type="http://schemas.openxmlformats.org/officeDocument/2006/relationships/hyperlink" Target="https://tcgplayer-cdn.tcgplayer.com/product/534295_in_1000x1000.jpg" TargetMode="External"/><Relationship Id="rId318" Type="http://schemas.openxmlformats.org/officeDocument/2006/relationships/hyperlink" Target="https://tcgplayer-cdn.tcgplayer.com/product/534212_in_1000x1000.jpg" TargetMode="External"/><Relationship Id="rId317" Type="http://schemas.openxmlformats.org/officeDocument/2006/relationships/hyperlink" Target="https://tcgplayer-cdn.tcgplayer.com/product/534216_in_1000x1000.jpg" TargetMode="External"/><Relationship Id="rId559" Type="http://schemas.openxmlformats.org/officeDocument/2006/relationships/hyperlink" Target="https://tcgplayer-cdn.tcgplayer.com/product/267437_in_1000x1000.jpg" TargetMode="External"/><Relationship Id="rId1380" Type="http://schemas.openxmlformats.org/officeDocument/2006/relationships/hyperlink" Target="https://card.yuyu-tei.jp/ws/front/uma3.0/10046.jpg" TargetMode="External"/><Relationship Id="rId550" Type="http://schemas.openxmlformats.org/officeDocument/2006/relationships/hyperlink" Target="https://img.yuyu-tei.jp/card_image/ws/front/hbr2.0/10046.jpg" TargetMode="External"/><Relationship Id="rId792" Type="http://schemas.openxmlformats.org/officeDocument/2006/relationships/hyperlink" Target="https://img.yuyu-tei.jp/card_image/ws/front/lhs/10082.jpg" TargetMode="External"/><Relationship Id="rId1381" Type="http://schemas.openxmlformats.org/officeDocument/2006/relationships/hyperlink" Target="https://card.yuyu-tei.jp/ws/front/uma3.0/10064.jpg" TargetMode="External"/><Relationship Id="rId791" Type="http://schemas.openxmlformats.org/officeDocument/2006/relationships/hyperlink" Target="https://img.yuyu-tei.jp/card_image/ws/front/lhs/10098.jpg" TargetMode="External"/><Relationship Id="rId1140" Type="http://schemas.openxmlformats.org/officeDocument/2006/relationships/hyperlink" Target="https://card.yuyu-tei.jp/ws/front/sao10th/10038.jpg" TargetMode="External"/><Relationship Id="rId1382" Type="http://schemas.openxmlformats.org/officeDocument/2006/relationships/hyperlink" Target="https://card.yuyu-tei.jp/ws/front/uma3.0/10068.jpg" TargetMode="External"/><Relationship Id="rId790" Type="http://schemas.openxmlformats.org/officeDocument/2006/relationships/hyperlink" Target="https://img.yuyu-tei.jp/card_image/ws/front/lhs/10060.jpg" TargetMode="External"/><Relationship Id="rId1141" Type="http://schemas.openxmlformats.org/officeDocument/2006/relationships/hyperlink" Target="https://product-images.tcgplayer.com/fit-in/818x818/252385.jpg" TargetMode="External"/><Relationship Id="rId1383" Type="http://schemas.openxmlformats.org/officeDocument/2006/relationships/hyperlink" Target="https://img.yuyu-tei.jp/card_image/ws/front/yhn/10116.jpg" TargetMode="External"/><Relationship Id="rId1142" Type="http://schemas.openxmlformats.org/officeDocument/2006/relationships/hyperlink" Target="https://product-images.tcgplayer.com/fit-in/818x818/252381.jpg" TargetMode="External"/><Relationship Id="rId1384" Type="http://schemas.openxmlformats.org/officeDocument/2006/relationships/hyperlink" Target="https://img.yuyu-tei.jp/card_image/ws/front/yhn/10127.jpg" TargetMode="External"/><Relationship Id="rId312" Type="http://schemas.openxmlformats.org/officeDocument/2006/relationships/hyperlink" Target="https://product-images.tcgplayer.com/fit-in/437x437/534352.jpg" TargetMode="External"/><Relationship Id="rId554" Type="http://schemas.openxmlformats.org/officeDocument/2006/relationships/hyperlink" Target="https://img.yuyu-tei.jp/card_image/ws/front/hbr/10061.jpg" TargetMode="External"/><Relationship Id="rId796" Type="http://schemas.openxmlformats.org/officeDocument/2006/relationships/hyperlink" Target="https://img.yuyu-tei.jp/card_image/ws/front/lhs/10128.jpg" TargetMode="External"/><Relationship Id="rId1143" Type="http://schemas.openxmlformats.org/officeDocument/2006/relationships/hyperlink" Target="https://product-images.tcgplayer.com/fit-in/818x818/493148.jpg" TargetMode="External"/><Relationship Id="rId1385" Type="http://schemas.openxmlformats.org/officeDocument/2006/relationships/hyperlink" Target="https://img.yuyu-tei.jp/card_image/ws/front/yhn/10112.jpg" TargetMode="External"/><Relationship Id="rId311" Type="http://schemas.openxmlformats.org/officeDocument/2006/relationships/hyperlink" Target="https://card.yuyu-tei.jp/ws/front/charlotte1.0/10102.jpg" TargetMode="External"/><Relationship Id="rId553" Type="http://schemas.openxmlformats.org/officeDocument/2006/relationships/hyperlink" Target="https://img.yuyu-tei.jp/card_image/ws/front/hbr2.0/10093.jpg" TargetMode="External"/><Relationship Id="rId795" Type="http://schemas.openxmlformats.org/officeDocument/2006/relationships/hyperlink" Target="https://img.yuyu-tei.jp/card_image/ws/front/lhs/10082.jpg" TargetMode="External"/><Relationship Id="rId1144" Type="http://schemas.openxmlformats.org/officeDocument/2006/relationships/hyperlink" Target="https://product-images.tcgplayer.com/fit-in/585x585/493166.jpg" TargetMode="External"/><Relationship Id="rId1386" Type="http://schemas.openxmlformats.org/officeDocument/2006/relationships/hyperlink" Target="https://img.yuyu-tei.jp/card_image/ws/front/yrc/10044.jpg" TargetMode="External"/><Relationship Id="rId310" Type="http://schemas.openxmlformats.org/officeDocument/2006/relationships/hyperlink" Target="https://card.yuyu-tei.jp/ws/front/charlotte1.0/10077.jpg" TargetMode="External"/><Relationship Id="rId552" Type="http://schemas.openxmlformats.org/officeDocument/2006/relationships/hyperlink" Target="https://img.yuyu-tei.jp/card_image/ws/front/hbr2.0/10045.jpg" TargetMode="External"/><Relationship Id="rId794" Type="http://schemas.openxmlformats.org/officeDocument/2006/relationships/hyperlink" Target="https://img.yuyu-tei.jp/card_image/ws/front/lhs/10098.jpg" TargetMode="External"/><Relationship Id="rId1145" Type="http://schemas.openxmlformats.org/officeDocument/2006/relationships/hyperlink" Target="https://product-images.tcgplayer.com/fit-in/585x585/493146.jpg" TargetMode="External"/><Relationship Id="rId1387" Type="http://schemas.openxmlformats.org/officeDocument/2006/relationships/hyperlink" Target="https://img.yuyu-tei.jp/card_image/ws/front/yrc/10058.jpg" TargetMode="External"/><Relationship Id="rId551" Type="http://schemas.openxmlformats.org/officeDocument/2006/relationships/hyperlink" Target="https://img.yuyu-tei.jp/card_image/ws/front/hbr/10053.jpg" TargetMode="External"/><Relationship Id="rId793" Type="http://schemas.openxmlformats.org/officeDocument/2006/relationships/hyperlink" Target="https://img.yuyu-tei.jp/card_image/ws/front/lhs/10063.jpg" TargetMode="External"/><Relationship Id="rId1146" Type="http://schemas.openxmlformats.org/officeDocument/2006/relationships/hyperlink" Target="https://tcgplayer-cdn.tcgplayer.com/product/493148_in_1000x1000.jpg" TargetMode="External"/><Relationship Id="rId1388" Type="http://schemas.openxmlformats.org/officeDocument/2006/relationships/hyperlink" Target="https://img.yuyu-tei.jp/card_image/ws/front/yrc/10110.jpg" TargetMode="External"/><Relationship Id="rId297" Type="http://schemas.openxmlformats.org/officeDocument/2006/relationships/hyperlink" Target="https://product-images.tcgplayer.com/fit-in/415x415/553916.jpg" TargetMode="External"/><Relationship Id="rId296" Type="http://schemas.openxmlformats.org/officeDocument/2006/relationships/hyperlink" Target="https://img.yuyu-tei.jp/card_image/ws/front/btr/10119.jpg" TargetMode="External"/><Relationship Id="rId295" Type="http://schemas.openxmlformats.org/officeDocument/2006/relationships/hyperlink" Target="https://img.yuyu-tei.jp/card_image/ws/front/btr/10086.jpg" TargetMode="External"/><Relationship Id="rId294" Type="http://schemas.openxmlformats.org/officeDocument/2006/relationships/hyperlink" Target="https://img.yuyu-tei.jp/card_image/ws/front/btr/10118.jpg" TargetMode="External"/><Relationship Id="rId299" Type="http://schemas.openxmlformats.org/officeDocument/2006/relationships/hyperlink" Target="https://product-images.tcgplayer.com/fit-in/656x656/553987.jpg" TargetMode="External"/><Relationship Id="rId298" Type="http://schemas.openxmlformats.org/officeDocument/2006/relationships/hyperlink" Target="https://product-images.tcgplayer.com/fit-in/415x415/553948.jpg" TargetMode="External"/><Relationship Id="rId271" Type="http://schemas.openxmlformats.org/officeDocument/2006/relationships/hyperlink" Target="https://card.yuyu-tei.jp/ws/front/bd5.0/10138.jpg" TargetMode="External"/><Relationship Id="rId270" Type="http://schemas.openxmlformats.org/officeDocument/2006/relationships/hyperlink" Target="https://tcgplayer-cdn.tcgplayer.com/product/198348_in_1000x1000.jpg" TargetMode="External"/><Relationship Id="rId269" Type="http://schemas.openxmlformats.org/officeDocument/2006/relationships/hyperlink" Target="https://tcgplayer-cdn.tcgplayer.com/product/490823_in_1000x1000.jpg" TargetMode="External"/><Relationship Id="rId264" Type="http://schemas.openxmlformats.org/officeDocument/2006/relationships/hyperlink" Target="https://product-images.tcgplayer.com/fit-in/804x804/260354.jpg" TargetMode="External"/><Relationship Id="rId263" Type="http://schemas.openxmlformats.org/officeDocument/2006/relationships/hyperlink" Target="https://en.ws-tcg.com/wp/wp-content/images/cardimages/b/bd_w47/BD_W47_E035.png" TargetMode="External"/><Relationship Id="rId262" Type="http://schemas.openxmlformats.org/officeDocument/2006/relationships/hyperlink" Target="https://product-images.tcgplayer.com/fit-in/804x804/173260.jpg" TargetMode="External"/><Relationship Id="rId261" Type="http://schemas.openxmlformats.org/officeDocument/2006/relationships/hyperlink" Target="https://tcgplayer-cdn.tcgplayer.com/product/173281_in_1000x1000.jpg" TargetMode="External"/><Relationship Id="rId268" Type="http://schemas.openxmlformats.org/officeDocument/2006/relationships/hyperlink" Target="https://tcgplayer-cdn.tcgplayer.com/product/173194_in_1000x1000.jpg" TargetMode="External"/><Relationship Id="rId267" Type="http://schemas.openxmlformats.org/officeDocument/2006/relationships/hyperlink" Target="https://tcgplayer-cdn.tcgplayer.com/product/490812_in_1000x1000.jpg" TargetMode="External"/><Relationship Id="rId266" Type="http://schemas.openxmlformats.org/officeDocument/2006/relationships/hyperlink" Target="https://tcgplayer-cdn.tcgplayer.com/product/490987_in_1000x1000.jpg" TargetMode="External"/><Relationship Id="rId265" Type="http://schemas.openxmlformats.org/officeDocument/2006/relationships/hyperlink" Target="https://tcgplayer-cdn.tcgplayer.com/product/217116_in_1000x1000.jpg" TargetMode="External"/><Relationship Id="rId260" Type="http://schemas.openxmlformats.org/officeDocument/2006/relationships/hyperlink" Target="https://tcgplayer-cdn.tcgplayer.com/product/171519_in_1000x1000.jpg" TargetMode="External"/><Relationship Id="rId259" Type="http://schemas.openxmlformats.org/officeDocument/2006/relationships/hyperlink" Target="https://tcgplayer-cdn.tcgplayer.com/product/491168_in_1000x1000.jpg" TargetMode="External"/><Relationship Id="rId258" Type="http://schemas.openxmlformats.org/officeDocument/2006/relationships/hyperlink" Target="https://en.ws-tcg.com/wp/wp-content/images/cardimages/GBP21/PPR/WE35_E35.png" TargetMode="External"/><Relationship Id="rId253" Type="http://schemas.openxmlformats.org/officeDocument/2006/relationships/hyperlink" Target="https://product-images.tcgplayer.com/fit-in/656x656/547479.jpg" TargetMode="External"/><Relationship Id="rId495" Type="http://schemas.openxmlformats.org/officeDocument/2006/relationships/hyperlink" Target="https://img.yuyu-tei.jp/card_image/ws/front/gim/10094.jpg" TargetMode="External"/><Relationship Id="rId252" Type="http://schemas.openxmlformats.org/officeDocument/2006/relationships/hyperlink" Target="https://product-images.tcgplayer.com/fit-in/585x585/490987.jpg" TargetMode="External"/><Relationship Id="rId494" Type="http://schemas.openxmlformats.org/officeDocument/2006/relationships/hyperlink" Target="https://img.yuyu-tei.jp/card_image/ws/front/gim/10084.jpg" TargetMode="External"/><Relationship Id="rId251" Type="http://schemas.openxmlformats.org/officeDocument/2006/relationships/hyperlink" Target="https://product-images.tcgplayer.com/fit-in/585x585/490742.jpg" TargetMode="External"/><Relationship Id="rId493" Type="http://schemas.openxmlformats.org/officeDocument/2006/relationships/hyperlink" Target="https://img.yuyu-tei.jp/card_image/ws/front/gim/10094.jpg" TargetMode="External"/><Relationship Id="rId250" Type="http://schemas.openxmlformats.org/officeDocument/2006/relationships/hyperlink" Target="https://product-images.tcgplayer.com/fit-in/585x585/490749.jpg" TargetMode="External"/><Relationship Id="rId492" Type="http://schemas.openxmlformats.org/officeDocument/2006/relationships/hyperlink" Target="https://img.yuyu-tei.jp/card_image/ws/front/gim/10093.jpg" TargetMode="External"/><Relationship Id="rId257" Type="http://schemas.openxmlformats.org/officeDocument/2006/relationships/hyperlink" Target="https://en.ws-tcg.com/wp/wp-content/images/cardimages/b/bd_w54/BD_W54_E073.png" TargetMode="External"/><Relationship Id="rId499" Type="http://schemas.openxmlformats.org/officeDocument/2006/relationships/hyperlink" Target="https://card.yuyu-tei.jp/ws/front/gim/10058.jpg" TargetMode="External"/><Relationship Id="rId256" Type="http://schemas.openxmlformats.org/officeDocument/2006/relationships/hyperlink" Target="https://tcgplayer-cdn.tcgplayer.com/product/547522_in_1000x1000.jpg" TargetMode="External"/><Relationship Id="rId498" Type="http://schemas.openxmlformats.org/officeDocument/2006/relationships/hyperlink" Target="https://card.yuyu-tei.jp/ws/front/gim/10133.jpg" TargetMode="External"/><Relationship Id="rId255" Type="http://schemas.openxmlformats.org/officeDocument/2006/relationships/hyperlink" Target="https://product-images.tcgplayer.com/fit-in/656x656/547587.jpg" TargetMode="External"/><Relationship Id="rId497" Type="http://schemas.openxmlformats.org/officeDocument/2006/relationships/hyperlink" Target="https://card.yuyu-tei.jp/ws/front/gim/10120.jpg" TargetMode="External"/><Relationship Id="rId254" Type="http://schemas.openxmlformats.org/officeDocument/2006/relationships/hyperlink" Target="https://product-images.tcgplayer.com/fit-in/804x804/173271.jpg" TargetMode="External"/><Relationship Id="rId496" Type="http://schemas.openxmlformats.org/officeDocument/2006/relationships/hyperlink" Target="https://img.yuyu-tei.jp/card_image/ws/front/gim/10086.jpg" TargetMode="External"/><Relationship Id="rId293" Type="http://schemas.openxmlformats.org/officeDocument/2006/relationships/hyperlink" Target="https://tcgplayer-cdn.tcgplayer.com/product/554051_in_1000x1000.jpg" TargetMode="External"/><Relationship Id="rId292" Type="http://schemas.openxmlformats.org/officeDocument/2006/relationships/hyperlink" Target="https://tcgplayer-cdn.tcgplayer.com/product/554102_in_1000x1000.jpg" TargetMode="External"/><Relationship Id="rId291" Type="http://schemas.openxmlformats.org/officeDocument/2006/relationships/hyperlink" Target="https://tcgplayer-cdn.tcgplayer.com/product/554047_in_1000x1000.jpg" TargetMode="External"/><Relationship Id="rId290" Type="http://schemas.openxmlformats.org/officeDocument/2006/relationships/hyperlink" Target="https://tcgplayer-cdn.tcgplayer.com/product/553932_in_1000x1000.jpg" TargetMode="External"/><Relationship Id="rId286" Type="http://schemas.openxmlformats.org/officeDocument/2006/relationships/hyperlink" Target="https://tcgplayer-cdn.tcgplayer.com/product/239072_in_1000x1000.jpg" TargetMode="External"/><Relationship Id="rId285" Type="http://schemas.openxmlformats.org/officeDocument/2006/relationships/hyperlink" Target="https://tcgplayer-cdn.tcgplayer.com/product/237683_in_1000x1000.jpg" TargetMode="External"/><Relationship Id="rId284" Type="http://schemas.openxmlformats.org/officeDocument/2006/relationships/hyperlink" Target="https://tcgplayer-cdn.tcgplayer.com/product/239072_in_1000x1000.jpg" TargetMode="External"/><Relationship Id="rId283" Type="http://schemas.openxmlformats.org/officeDocument/2006/relationships/hyperlink" Target="https://tcgplayer-cdn.tcgplayer.com/product/237683_in_1000x1000.jpg" TargetMode="External"/><Relationship Id="rId289" Type="http://schemas.openxmlformats.org/officeDocument/2006/relationships/hyperlink" Target="https://tcgplayer-cdn.tcgplayer.com/product/553948_in_1000x1000.jpg" TargetMode="External"/><Relationship Id="rId288" Type="http://schemas.openxmlformats.org/officeDocument/2006/relationships/hyperlink" Target="https://tcgplayer-cdn.tcgplayer.com/product/554131_in_1000x1000.jpg" TargetMode="External"/><Relationship Id="rId287" Type="http://schemas.openxmlformats.org/officeDocument/2006/relationships/hyperlink" Target="https://tcgplayer-cdn.tcgplayer.com/product/238918_in_1000x1000.jpg" TargetMode="External"/><Relationship Id="rId282" Type="http://schemas.openxmlformats.org/officeDocument/2006/relationships/hyperlink" Target="https://tcgplayer-cdn.tcgplayer.com/product/237669_in_1000x1000.jpg" TargetMode="External"/><Relationship Id="rId281" Type="http://schemas.openxmlformats.org/officeDocument/2006/relationships/hyperlink" Target="https://tcgplayer-cdn.tcgplayer.com/product/238869_in_1000x1000.jpg" TargetMode="External"/><Relationship Id="rId280" Type="http://schemas.openxmlformats.org/officeDocument/2006/relationships/hyperlink" Target="https://tcgplayer-cdn.tcgplayer.com/product/239011_in_1000x1000.jpg" TargetMode="External"/><Relationship Id="rId275" Type="http://schemas.openxmlformats.org/officeDocument/2006/relationships/hyperlink" Target="https://tcgplayer-cdn.tcgplayer.com/product/238981_in_1000x1000.jpg" TargetMode="External"/><Relationship Id="rId274" Type="http://schemas.openxmlformats.org/officeDocument/2006/relationships/hyperlink" Target="https://tcgplayer-cdn.tcgplayer.com/product/238867_in_1000x1000.jpg" TargetMode="External"/><Relationship Id="rId273" Type="http://schemas.openxmlformats.org/officeDocument/2006/relationships/hyperlink" Target="https://card.yuyu-tei.jp/ws/front/bd5.0/10101.jpg" TargetMode="External"/><Relationship Id="rId272" Type="http://schemas.openxmlformats.org/officeDocument/2006/relationships/hyperlink" Target="https://card.yuyu-tei.jp/ws/front/bd5.0/10139.jpg" TargetMode="External"/><Relationship Id="rId279" Type="http://schemas.openxmlformats.org/officeDocument/2006/relationships/hyperlink" Target="https://tcgplayer-cdn.tcgplayer.com/product/238918_in_1000x1000.jpg" TargetMode="External"/><Relationship Id="rId278" Type="http://schemas.openxmlformats.org/officeDocument/2006/relationships/hyperlink" Target="https://tcgplayer-cdn.tcgplayer.com/product/238867_in_1000x1000.jpg" TargetMode="External"/><Relationship Id="rId277" Type="http://schemas.openxmlformats.org/officeDocument/2006/relationships/hyperlink" Target="https://tcgplayer-cdn.tcgplayer.com/product/238744_in_1000x1000.jpg" TargetMode="External"/><Relationship Id="rId276" Type="http://schemas.openxmlformats.org/officeDocument/2006/relationships/hyperlink" Target="https://tcgplayer-cdn.tcgplayer.com/product/237669_in_1000x1000.jpg" TargetMode="External"/><Relationship Id="rId907" Type="http://schemas.openxmlformats.org/officeDocument/2006/relationships/hyperlink" Target="https://tcgplayer-cdn.tcgplayer.com/product/626184_in_1000x1000.jpg" TargetMode="External"/><Relationship Id="rId906" Type="http://schemas.openxmlformats.org/officeDocument/2006/relationships/hyperlink" Target="https://tcgplayer-cdn.tcgplayer.com/product/626198_in_1000x1000.jpg" TargetMode="External"/><Relationship Id="rId905" Type="http://schemas.openxmlformats.org/officeDocument/2006/relationships/hyperlink" Target="https://tcgplayer-cdn.tcgplayer.com/product/626177_in_1000x1000.jpg" TargetMode="External"/><Relationship Id="rId904" Type="http://schemas.openxmlformats.org/officeDocument/2006/relationships/hyperlink" Target="https://tcgplayer-cdn.tcgplayer.com/product/626184_in_1000x1000.jpg" TargetMode="External"/><Relationship Id="rId909" Type="http://schemas.openxmlformats.org/officeDocument/2006/relationships/hyperlink" Target="https://tcgplayer-cdn.tcgplayer.com/product/626112_in_1000x1000.jpg" TargetMode="External"/><Relationship Id="rId908" Type="http://schemas.openxmlformats.org/officeDocument/2006/relationships/hyperlink" Target="https://tcgplayer-cdn.tcgplayer.com/product/626108_in_1000x1000.jpg" TargetMode="External"/><Relationship Id="rId903" Type="http://schemas.openxmlformats.org/officeDocument/2006/relationships/hyperlink" Target="https://tcgplayer-cdn.tcgplayer.com/product/626200_in_1000x1000.jpg" TargetMode="External"/><Relationship Id="rId902" Type="http://schemas.openxmlformats.org/officeDocument/2006/relationships/hyperlink" Target="https://tcgplayer-cdn.tcgplayer.com/product/626118_in_1000x1000.jpg" TargetMode="External"/><Relationship Id="rId901" Type="http://schemas.openxmlformats.org/officeDocument/2006/relationships/hyperlink" Target="https://tcgplayer-cdn.tcgplayer.com/product/626184_in_1000x1000.jpg" TargetMode="External"/><Relationship Id="rId900" Type="http://schemas.openxmlformats.org/officeDocument/2006/relationships/hyperlink" Target="https://tcgplayer-cdn.tcgplayer.com/product/626200_in_1000x1000.jpg" TargetMode="External"/><Relationship Id="rId929" Type="http://schemas.openxmlformats.org/officeDocument/2006/relationships/hyperlink" Target="https://tcgplayer-cdn.tcgplayer.com/product/626273_in_1000x1000.jpg" TargetMode="External"/><Relationship Id="rId928" Type="http://schemas.openxmlformats.org/officeDocument/2006/relationships/hyperlink" Target="https://tcgplayer-cdn.tcgplayer.com/product/626250_in_1000x1000.jpg" TargetMode="External"/><Relationship Id="rId927" Type="http://schemas.openxmlformats.org/officeDocument/2006/relationships/hyperlink" Target="https://tcgplayer-cdn.tcgplayer.com/product/626273_in_1000x1000.jpg" TargetMode="External"/><Relationship Id="rId926" Type="http://schemas.openxmlformats.org/officeDocument/2006/relationships/hyperlink" Target="https://tcgplayer-cdn.tcgplayer.com/product/626254_in_1000x1000.jpg" TargetMode="External"/><Relationship Id="rId921" Type="http://schemas.openxmlformats.org/officeDocument/2006/relationships/hyperlink" Target="https://tcgplayer-cdn.tcgplayer.com/product/626320_in_1000x1000.jpg" TargetMode="External"/><Relationship Id="rId920" Type="http://schemas.openxmlformats.org/officeDocument/2006/relationships/hyperlink" Target="https://tcgplayer-cdn.tcgplayer.com/product/626317_in_1000x1000.jpg" TargetMode="External"/><Relationship Id="rId925" Type="http://schemas.openxmlformats.org/officeDocument/2006/relationships/hyperlink" Target="https://tcgplayer-cdn.tcgplayer.com/product/626250_in_1000x1000.jpg" TargetMode="External"/><Relationship Id="rId924" Type="http://schemas.openxmlformats.org/officeDocument/2006/relationships/hyperlink" Target="https://tcgplayer-cdn.tcgplayer.com/product/626132_in_1000x1000.jpg" TargetMode="External"/><Relationship Id="rId923" Type="http://schemas.openxmlformats.org/officeDocument/2006/relationships/hyperlink" Target="https://tcgplayer-cdn.tcgplayer.com/product/626432_in_1000x1000.jpg" TargetMode="External"/><Relationship Id="rId922" Type="http://schemas.openxmlformats.org/officeDocument/2006/relationships/hyperlink" Target="https://tcgplayer-cdn.tcgplayer.com/product/626446_in_1000x1000.jpg" TargetMode="External"/><Relationship Id="rId918" Type="http://schemas.openxmlformats.org/officeDocument/2006/relationships/hyperlink" Target="https://tcgplayer-cdn.tcgplayer.com/product/626427_in_1000x1000.jpg" TargetMode="External"/><Relationship Id="rId917" Type="http://schemas.openxmlformats.org/officeDocument/2006/relationships/hyperlink" Target="https://tcgplayer-cdn.tcgplayer.com/product/626250_in_1000x1000.jpg" TargetMode="External"/><Relationship Id="rId916" Type="http://schemas.openxmlformats.org/officeDocument/2006/relationships/hyperlink" Target="https://tcgplayer-cdn.tcgplayer.com/product/626320_in_1000x1000.jpg" TargetMode="External"/><Relationship Id="rId915" Type="http://schemas.openxmlformats.org/officeDocument/2006/relationships/hyperlink" Target="https://tcgplayer-cdn.tcgplayer.com/product/626317_in_1000x1000.jpg" TargetMode="External"/><Relationship Id="rId919" Type="http://schemas.openxmlformats.org/officeDocument/2006/relationships/hyperlink" Target="https://tcgplayer-cdn.tcgplayer.com/product/626250_in_1000x1000.jpg" TargetMode="External"/><Relationship Id="rId910" Type="http://schemas.openxmlformats.org/officeDocument/2006/relationships/hyperlink" Target="https://tcgplayer-cdn.tcgplayer.com/product/626149_in_1000x1000.jpg" TargetMode="External"/><Relationship Id="rId914" Type="http://schemas.openxmlformats.org/officeDocument/2006/relationships/hyperlink" Target="https://tcgplayer-cdn.tcgplayer.com/product/626340_in_1000x1000.jpg" TargetMode="External"/><Relationship Id="rId913" Type="http://schemas.openxmlformats.org/officeDocument/2006/relationships/hyperlink" Target="https://tcgplayer-cdn.tcgplayer.com/product/626271_in_1000x1000.jpg" TargetMode="External"/><Relationship Id="rId912" Type="http://schemas.openxmlformats.org/officeDocument/2006/relationships/hyperlink" Target="https://img.yuyu-tei.jp/card_image/ws/front/nik/10141.jpg" TargetMode="External"/><Relationship Id="rId911" Type="http://schemas.openxmlformats.org/officeDocument/2006/relationships/hyperlink" Target="https://tcgplayer-cdn.tcgplayer.com/product/626250_in_1000x1000.jpg" TargetMode="External"/><Relationship Id="rId1213" Type="http://schemas.openxmlformats.org/officeDocument/2006/relationships/hyperlink" Target="https://tcgplayer-cdn.tcgplayer.com/product/237470_in_1000x1000.jpg" TargetMode="External"/><Relationship Id="rId1214" Type="http://schemas.openxmlformats.org/officeDocument/2006/relationships/hyperlink" Target="https://tcgplayer-cdn.tcgplayer.com/product/456501_in_1000x1000.jpg" TargetMode="External"/><Relationship Id="rId1215" Type="http://schemas.openxmlformats.org/officeDocument/2006/relationships/hyperlink" Target="https://tcgplayer-cdn.tcgplayer.com/product/237469_in_1000x1000.jpg" TargetMode="External"/><Relationship Id="rId1216" Type="http://schemas.openxmlformats.org/officeDocument/2006/relationships/hyperlink" Target="https://product-images.tcgplayer.com/fit-in/585x585/456338.jpg" TargetMode="External"/><Relationship Id="rId1217" Type="http://schemas.openxmlformats.org/officeDocument/2006/relationships/hyperlink" Target="https://product-images.tcgplayer.com/fit-in/585x585/filters:quality(1)/456347.jpg" TargetMode="External"/><Relationship Id="rId1218" Type="http://schemas.openxmlformats.org/officeDocument/2006/relationships/hyperlink" Target="https://product-images.tcgplayer.com/fit-in/585x585/237555.jpg" TargetMode="External"/><Relationship Id="rId1219" Type="http://schemas.openxmlformats.org/officeDocument/2006/relationships/hyperlink" Target="https://product-images.tcgplayer.com/fit-in/585x585/456338.jpg" TargetMode="External"/><Relationship Id="rId629" Type="http://schemas.openxmlformats.org/officeDocument/2006/relationships/hyperlink" Target="https://tcgplayer-cdn.tcgplayer.com/product/267670_in_1000x1000.jpg" TargetMode="External"/><Relationship Id="rId624" Type="http://schemas.openxmlformats.org/officeDocument/2006/relationships/hyperlink" Target="https://product-images.tcgplayer.com/fit-in/437x437/267225.jpg" TargetMode="External"/><Relationship Id="rId866" Type="http://schemas.openxmlformats.org/officeDocument/2006/relationships/hyperlink" Target="https://tcgplayer-cdn.tcgplayer.com/product/601693_in_1000x1000.jpg" TargetMode="External"/><Relationship Id="rId623" Type="http://schemas.openxmlformats.org/officeDocument/2006/relationships/hyperlink" Target="https://product-images.tcgplayer.com/fit-in/437x437/267425.jpg" TargetMode="External"/><Relationship Id="rId865" Type="http://schemas.openxmlformats.org/officeDocument/2006/relationships/hyperlink" Target="https://en.ws-tcg.com/wordpress/wp-content/images/cardimages/MAR/S89_E034.png" TargetMode="External"/><Relationship Id="rId622" Type="http://schemas.openxmlformats.org/officeDocument/2006/relationships/hyperlink" Target="https://product-images.tcgplayer.com/fit-in/437x437/267422.jpg" TargetMode="External"/><Relationship Id="rId864" Type="http://schemas.openxmlformats.org/officeDocument/2006/relationships/hyperlink" Target="https://en.ws-tcg.com/wordpress/wp-content/images/cardimages/MAR/S89_E040.png" TargetMode="External"/><Relationship Id="rId621" Type="http://schemas.openxmlformats.org/officeDocument/2006/relationships/hyperlink" Target="https://tcgplayer-cdn.tcgplayer.com/product/508990_in_1000x1000.jpg" TargetMode="External"/><Relationship Id="rId863" Type="http://schemas.openxmlformats.org/officeDocument/2006/relationships/hyperlink" Target="https://card.yuyu-tei.jp/ws/front/mar3.0/10086.jpg" TargetMode="External"/><Relationship Id="rId628" Type="http://schemas.openxmlformats.org/officeDocument/2006/relationships/hyperlink" Target="https://tcgplayer-cdn.tcgplayer.com/product/508849_in_1000x1000.jpg" TargetMode="External"/><Relationship Id="rId627" Type="http://schemas.openxmlformats.org/officeDocument/2006/relationships/hyperlink" Target="https://tcgplayer-cdn.tcgplayer.com/product/267225_in_1000x1000.jpg" TargetMode="External"/><Relationship Id="rId869" Type="http://schemas.openxmlformats.org/officeDocument/2006/relationships/hyperlink" Target="https://tcgplayer-cdn.tcgplayer.com/product/601769_in_1000x1000.jpg" TargetMode="External"/><Relationship Id="rId626" Type="http://schemas.openxmlformats.org/officeDocument/2006/relationships/hyperlink" Target="https://tcgplayer-cdn.tcgplayer.com/product/267670_in_1000x1000.jpg" TargetMode="External"/><Relationship Id="rId868" Type="http://schemas.openxmlformats.org/officeDocument/2006/relationships/hyperlink" Target="https://tcgplayer-cdn.tcgplayer.com/product/601716_in_1000x1000.jpg" TargetMode="External"/><Relationship Id="rId625" Type="http://schemas.openxmlformats.org/officeDocument/2006/relationships/hyperlink" Target="https://tcgplayer-cdn.tcgplayer.com/product/267667_in_1000x1000.jpg" TargetMode="External"/><Relationship Id="rId867" Type="http://schemas.openxmlformats.org/officeDocument/2006/relationships/hyperlink" Target="https://tcgplayer-cdn.tcgplayer.com/product/601704_in_1000x1000.jpg" TargetMode="External"/><Relationship Id="rId620" Type="http://schemas.openxmlformats.org/officeDocument/2006/relationships/hyperlink" Target="https://product-images.tcgplayer.com/fit-in/376x376/509063.jpg" TargetMode="External"/><Relationship Id="rId862" Type="http://schemas.openxmlformats.org/officeDocument/2006/relationships/hyperlink" Target="https://card.yuyu-tei.jp/ws/front/mar/10095.jpg" TargetMode="External"/><Relationship Id="rId861" Type="http://schemas.openxmlformats.org/officeDocument/2006/relationships/hyperlink" Target="https://card.yuyu-tei.jp/ws/front/mar3.0/10058.jpg" TargetMode="External"/><Relationship Id="rId1210" Type="http://schemas.openxmlformats.org/officeDocument/2006/relationships/hyperlink" Target="https://tcgplayer-cdn.tcgplayer.com/product/625451_in_1000x1000.jpg" TargetMode="External"/><Relationship Id="rId860" Type="http://schemas.openxmlformats.org/officeDocument/2006/relationships/hyperlink" Target="https://img.yuyu-tei.jp/card_image/ws/front/mar/10103.jpg" TargetMode="External"/><Relationship Id="rId1211" Type="http://schemas.openxmlformats.org/officeDocument/2006/relationships/hyperlink" Target="https://tcgplayer-cdn.tcgplayer.com/product/625454_in_1000x1000.jpg" TargetMode="External"/><Relationship Id="rId1212" Type="http://schemas.openxmlformats.org/officeDocument/2006/relationships/hyperlink" Target="https://tcgplayer-cdn.tcgplayer.com/product/625362_in_1000x1000.jpg" TargetMode="External"/><Relationship Id="rId1202" Type="http://schemas.openxmlformats.org/officeDocument/2006/relationships/hyperlink" Target="https://tcgplayer-cdn.tcgplayer.com/product/625413_in_1000x1000.jpg" TargetMode="External"/><Relationship Id="rId1203" Type="http://schemas.openxmlformats.org/officeDocument/2006/relationships/hyperlink" Target="https://tcgplayer-cdn.tcgplayer.com/product/625362_in_1000x1000.jpg" TargetMode="External"/><Relationship Id="rId1204" Type="http://schemas.openxmlformats.org/officeDocument/2006/relationships/hyperlink" Target="https://tcgplayer-cdn.tcgplayer.com/product/625451_in_1000x1000.jpg" TargetMode="External"/><Relationship Id="rId1205" Type="http://schemas.openxmlformats.org/officeDocument/2006/relationships/hyperlink" Target="https://tcgplayer-cdn.tcgplayer.com/product/625454_in_1000x1000.jpg" TargetMode="External"/><Relationship Id="rId1206" Type="http://schemas.openxmlformats.org/officeDocument/2006/relationships/hyperlink" Target="https://tcgplayer-cdn.tcgplayer.com/product/625456_in_1000x1000.jpg" TargetMode="External"/><Relationship Id="rId1207" Type="http://schemas.openxmlformats.org/officeDocument/2006/relationships/hyperlink" Target="https://tcgplayer-cdn.tcgplayer.com/product/625451_in_1000x1000.jpg" TargetMode="External"/><Relationship Id="rId1208" Type="http://schemas.openxmlformats.org/officeDocument/2006/relationships/hyperlink" Target="https://tcgplayer-cdn.tcgplayer.com/product/625454_in_1000x1000.jpg" TargetMode="External"/><Relationship Id="rId1209" Type="http://schemas.openxmlformats.org/officeDocument/2006/relationships/hyperlink" Target="https://tcgplayer-cdn.tcgplayer.com/product/625456_in_1000x1000.jpg" TargetMode="External"/><Relationship Id="rId619" Type="http://schemas.openxmlformats.org/officeDocument/2006/relationships/hyperlink" Target="https://tcgplayer-cdn.tcgplayer.com/product/267425_in_1000x1000.jpg" TargetMode="External"/><Relationship Id="rId618" Type="http://schemas.openxmlformats.org/officeDocument/2006/relationships/hyperlink" Target="https://tcgplayer-cdn.tcgplayer.com/product/267113_in_1000x1000.jpg" TargetMode="External"/><Relationship Id="rId613" Type="http://schemas.openxmlformats.org/officeDocument/2006/relationships/hyperlink" Target="https://product-images.tcgplayer.com/fit-in/585x585/267524.jpg" TargetMode="External"/><Relationship Id="rId855" Type="http://schemas.openxmlformats.org/officeDocument/2006/relationships/hyperlink" Target="https://tcgplayer-cdn.tcgplayer.com/product/128721_in_1000x1000.jpg" TargetMode="External"/><Relationship Id="rId612" Type="http://schemas.openxmlformats.org/officeDocument/2006/relationships/hyperlink" Target="https://tcgplayer-cdn.tcgplayer.com/product/267241_in_1000x1000.jpg" TargetMode="External"/><Relationship Id="rId854" Type="http://schemas.openxmlformats.org/officeDocument/2006/relationships/hyperlink" Target="https://tcgplayer-cdn.tcgplayer.com/product/591350_in_1000x1000.jpg" TargetMode="External"/><Relationship Id="rId611" Type="http://schemas.openxmlformats.org/officeDocument/2006/relationships/hyperlink" Target="https://tcgplayer-cdn.tcgplayer.com/product/509149_in_1000x1000.jpg" TargetMode="External"/><Relationship Id="rId853" Type="http://schemas.openxmlformats.org/officeDocument/2006/relationships/hyperlink" Target="https://tcgplayer-cdn.tcgplayer.com/product/591346_in_1000x1000.jpg" TargetMode="External"/><Relationship Id="rId610" Type="http://schemas.openxmlformats.org/officeDocument/2006/relationships/hyperlink" Target="https://product-images.tcgplayer.com/fit-in/585x585/509053.jpg" TargetMode="External"/><Relationship Id="rId852" Type="http://schemas.openxmlformats.org/officeDocument/2006/relationships/hyperlink" Target="https://tcgplayer-cdn.tcgplayer.com/product/591340_in_1000x1000.jpg" TargetMode="External"/><Relationship Id="rId617" Type="http://schemas.openxmlformats.org/officeDocument/2006/relationships/hyperlink" Target="https://tcgplayer-cdn.tcgplayer.com/product/267212_in_1000x1000.jpg" TargetMode="External"/><Relationship Id="rId859" Type="http://schemas.openxmlformats.org/officeDocument/2006/relationships/hyperlink" Target="https://img.yuyu-tei.jp/card_image/ws/front/mar2.0/10058.jpg" TargetMode="External"/><Relationship Id="rId616" Type="http://schemas.openxmlformats.org/officeDocument/2006/relationships/hyperlink" Target="https://tcgplayer-cdn.tcgplayer.com/product/267425_in_1000x1000.jpg" TargetMode="External"/><Relationship Id="rId858" Type="http://schemas.openxmlformats.org/officeDocument/2006/relationships/hyperlink" Target="https://img.yuyu-tei.jp/card_image/ws/front/mar/10061.jpg" TargetMode="External"/><Relationship Id="rId615" Type="http://schemas.openxmlformats.org/officeDocument/2006/relationships/hyperlink" Target="https://product-images.tcgplayer.com/fit-in/585x585/filters:quality(1)/267548.jpg" TargetMode="External"/><Relationship Id="rId857" Type="http://schemas.openxmlformats.org/officeDocument/2006/relationships/hyperlink" Target="https://tcgplayer-cdn.tcgplayer.com/product/167160_in_1000x1000.jpg" TargetMode="External"/><Relationship Id="rId614" Type="http://schemas.openxmlformats.org/officeDocument/2006/relationships/hyperlink" Target="https://product-images.tcgplayer.com/fit-in/585x585/filters:quality(1)/267526.jpg" TargetMode="External"/><Relationship Id="rId856" Type="http://schemas.openxmlformats.org/officeDocument/2006/relationships/hyperlink" Target="https://tcgplayer-cdn.tcgplayer.com/product/167159_in_1000x1000.jpg" TargetMode="External"/><Relationship Id="rId851" Type="http://schemas.openxmlformats.org/officeDocument/2006/relationships/hyperlink" Target="https://card.yuyu-tei.jp/ws/front/lovelivesp/10076.jpg" TargetMode="External"/><Relationship Id="rId850" Type="http://schemas.openxmlformats.org/officeDocument/2006/relationships/hyperlink" Target="https://card.yuyu-tei.jp/ws/front/lovelivesp/10101.jpg" TargetMode="External"/><Relationship Id="rId1200" Type="http://schemas.openxmlformats.org/officeDocument/2006/relationships/hyperlink" Target="https://card.yuyu-tei.jp/ws/front/sby4.0/10003.jpg" TargetMode="External"/><Relationship Id="rId1201" Type="http://schemas.openxmlformats.org/officeDocument/2006/relationships/hyperlink" Target="https://tcgplayer-cdn.tcgplayer.com/product/625373_in_1000x1000.jpg" TargetMode="External"/><Relationship Id="rId1235" Type="http://schemas.openxmlformats.org/officeDocument/2006/relationships/hyperlink" Target="https://tcgplayer-cdn.tcgplayer.com/product/595082_in_1000x1000.jpg" TargetMode="External"/><Relationship Id="rId1236" Type="http://schemas.openxmlformats.org/officeDocument/2006/relationships/hyperlink" Target="https://tcgplayer-cdn.tcgplayer.com/product/595054_in_1000x1000.jpg" TargetMode="External"/><Relationship Id="rId1237" Type="http://schemas.openxmlformats.org/officeDocument/2006/relationships/hyperlink" Target="https://tcgplayer-cdn.tcgplayer.com/product/595280_in_1000x1000.jpg" TargetMode="External"/><Relationship Id="rId1238" Type="http://schemas.openxmlformats.org/officeDocument/2006/relationships/hyperlink" Target="https://tcgplayer-cdn.tcgplayer.com/product/595066_in_1000x1000.jpg" TargetMode="External"/><Relationship Id="rId1239" Type="http://schemas.openxmlformats.org/officeDocument/2006/relationships/hyperlink" Target="https://tcgplayer-cdn.tcgplayer.com/product/595054_in_1000x1000.jpg" TargetMode="External"/><Relationship Id="rId409" Type="http://schemas.openxmlformats.org/officeDocument/2006/relationships/hyperlink" Target="https://img.yuyu-tei.jp/card_image/ws/front/fujimif2.0/10127.jpg" TargetMode="External"/><Relationship Id="rId404" Type="http://schemas.openxmlformats.org/officeDocument/2006/relationships/hyperlink" Target="https://en.ws-tcg.com/wordpress/wp-content/images/cardimages/FJM2/W120_E107.png" TargetMode="External"/><Relationship Id="rId646" Type="http://schemas.openxmlformats.org/officeDocument/2006/relationships/hyperlink" Target="https://product-images.tcgplayer.com/fit-in/585x585/filters:quality(1)/267145.jpg" TargetMode="External"/><Relationship Id="rId888" Type="http://schemas.openxmlformats.org/officeDocument/2006/relationships/hyperlink" Target="https://product-images.tcgplayer.com/fit-in/437x437/222879.jpg" TargetMode="External"/><Relationship Id="rId403" Type="http://schemas.openxmlformats.org/officeDocument/2006/relationships/hyperlink" Target="https://en.ws-tcg.com/wordpress/wp-content/images/cardimages/FJM2/W120_E085.png" TargetMode="External"/><Relationship Id="rId645" Type="http://schemas.openxmlformats.org/officeDocument/2006/relationships/hyperlink" Target="https://product-images.tcgplayer.com/fit-in/376x376/508990.jpg" TargetMode="External"/><Relationship Id="rId887" Type="http://schemas.openxmlformats.org/officeDocument/2006/relationships/hyperlink" Target="https://product-images.tcgplayer.com/fit-in/437x437/224154.jpg" TargetMode="External"/><Relationship Id="rId402" Type="http://schemas.openxmlformats.org/officeDocument/2006/relationships/hyperlink" Target="https://en.ws-tcg.com/wordpress/wp-content/images/cardimages/FJM2/W120_E076.png" TargetMode="External"/><Relationship Id="rId644" Type="http://schemas.openxmlformats.org/officeDocument/2006/relationships/hyperlink" Target="https://product-images.tcgplayer.com/fit-in/376x376/267145.jpg" TargetMode="External"/><Relationship Id="rId886" Type="http://schemas.openxmlformats.org/officeDocument/2006/relationships/hyperlink" Target="https://tcgplayer-cdn.tcgplayer.com/product/678389_in_1000x1000.jpg" TargetMode="External"/><Relationship Id="rId401" Type="http://schemas.openxmlformats.org/officeDocument/2006/relationships/hyperlink" Target="https://img.yuyu-tei.jp/card_image/ws/front/fujimif2.0/10158.jpg" TargetMode="External"/><Relationship Id="rId643" Type="http://schemas.openxmlformats.org/officeDocument/2006/relationships/hyperlink" Target="https://product-images.tcgplayer.com/fit-in/437x437/508865.jpg" TargetMode="External"/><Relationship Id="rId885" Type="http://schemas.openxmlformats.org/officeDocument/2006/relationships/hyperlink" Target="https://tcgplayer-cdn.tcgplayer.com/product/678424_in_1000x1000.jpg" TargetMode="External"/><Relationship Id="rId408" Type="http://schemas.openxmlformats.org/officeDocument/2006/relationships/hyperlink" Target="https://img.yuyu-tei.jp/card_image/ws/front/fujimif2.0/10120.jpg" TargetMode="External"/><Relationship Id="rId407" Type="http://schemas.openxmlformats.org/officeDocument/2006/relationships/hyperlink" Target="https://img.yuyu-tei.jp/card_image/ws/front/fujimif2.0/10166.jpg" TargetMode="External"/><Relationship Id="rId649" Type="http://schemas.openxmlformats.org/officeDocument/2006/relationships/hyperlink" Target="https://product-images.tcgplayer.com/fit-in/585x585/filters:quality(1)/267145.jpg" TargetMode="External"/><Relationship Id="rId406" Type="http://schemas.openxmlformats.org/officeDocument/2006/relationships/hyperlink" Target="https://img.yuyu-tei.jp/card_image/ws/front/fujimif2.0/10182.jpg" TargetMode="External"/><Relationship Id="rId648" Type="http://schemas.openxmlformats.org/officeDocument/2006/relationships/hyperlink" Target="https://product-images.tcgplayer.com/fit-in/585x585/filters:quality(1)/267225.jpg" TargetMode="External"/><Relationship Id="rId405" Type="http://schemas.openxmlformats.org/officeDocument/2006/relationships/hyperlink" Target="https://img.yuyu-tei.jp/card_image/ws/front/fujimif2.0/10045.jpg" TargetMode="External"/><Relationship Id="rId647" Type="http://schemas.openxmlformats.org/officeDocument/2006/relationships/hyperlink" Target="https://product-images.tcgplayer.com/fit-in/585x585/267163.jpg" TargetMode="External"/><Relationship Id="rId889" Type="http://schemas.openxmlformats.org/officeDocument/2006/relationships/hyperlink" Target="https://product-images.tcgplayer.com/fit-in/437x437/filters:quality(1)/222876.jpg" TargetMode="External"/><Relationship Id="rId880" Type="http://schemas.openxmlformats.org/officeDocument/2006/relationships/hyperlink" Target="https://en.ws-tcg.com/wordpress/wp-content/images/cardimages/MKI/W126-E077.png" TargetMode="External"/><Relationship Id="rId1230" Type="http://schemas.openxmlformats.org/officeDocument/2006/relationships/hyperlink" Target="https://tcgplayer-cdn.tcgplayer.com/product/595100_in_1000x1000.jpg" TargetMode="External"/><Relationship Id="rId400" Type="http://schemas.openxmlformats.org/officeDocument/2006/relationships/hyperlink" Target="https://img.yuyu-tei.jp/card_image/ws/front/fujimif2.0/10156.jpg" TargetMode="External"/><Relationship Id="rId642" Type="http://schemas.openxmlformats.org/officeDocument/2006/relationships/hyperlink" Target="https://tcgplayer-cdn.tcgplayer.com/product/267548_in_1000x1000.jpg" TargetMode="External"/><Relationship Id="rId884" Type="http://schemas.openxmlformats.org/officeDocument/2006/relationships/hyperlink" Target="https://tcgplayer-cdn.tcgplayer.com/product/678385_in_1000x1000.jpg" TargetMode="External"/><Relationship Id="rId1231" Type="http://schemas.openxmlformats.org/officeDocument/2006/relationships/hyperlink" Target="https://tcgplayer-cdn.tcgplayer.com/product/595199_in_1000x1000.jpg" TargetMode="External"/><Relationship Id="rId641" Type="http://schemas.openxmlformats.org/officeDocument/2006/relationships/hyperlink" Target="https://tcgplayer-cdn.tcgplayer.com/product/267548_in_1000x1000.jpg" TargetMode="External"/><Relationship Id="rId883" Type="http://schemas.openxmlformats.org/officeDocument/2006/relationships/hyperlink" Target="https://en.ws-tcg.com/wordpress/wp-content/images/cardimages/MKI/W126-E061.png" TargetMode="External"/><Relationship Id="rId1232" Type="http://schemas.openxmlformats.org/officeDocument/2006/relationships/hyperlink" Target="https://tcgplayer-cdn.tcgplayer.com/product/595207_in_1000x1000.jpg" TargetMode="External"/><Relationship Id="rId640" Type="http://schemas.openxmlformats.org/officeDocument/2006/relationships/hyperlink" Target="https://tcgplayer-cdn.tcgplayer.com/product/508847_in_1000x1000.jpg" TargetMode="External"/><Relationship Id="rId882" Type="http://schemas.openxmlformats.org/officeDocument/2006/relationships/hyperlink" Target="https://en.ws-tcg.com/wordpress/wp-content/images/cardimages/MKI/W126-E054.png" TargetMode="External"/><Relationship Id="rId1233" Type="http://schemas.openxmlformats.org/officeDocument/2006/relationships/hyperlink" Target="https://tcgplayer-cdn.tcgplayer.com/product/595215_in_1000x1000.jpg" TargetMode="External"/><Relationship Id="rId881" Type="http://schemas.openxmlformats.org/officeDocument/2006/relationships/hyperlink" Target="https://en.ws-tcg.com/wordpress/wp-content/images/cardimages/MKI/W126-E053.png" TargetMode="External"/><Relationship Id="rId1234" Type="http://schemas.openxmlformats.org/officeDocument/2006/relationships/hyperlink" Target="https://tcgplayer-cdn.tcgplayer.com/product/595280_in_1000x1000.jpg" TargetMode="External"/><Relationship Id="rId1224" Type="http://schemas.openxmlformats.org/officeDocument/2006/relationships/hyperlink" Target="https://tcgplayer-cdn.tcgplayer.com/product/456354_in_1000x1000.jpg" TargetMode="External"/><Relationship Id="rId1225" Type="http://schemas.openxmlformats.org/officeDocument/2006/relationships/hyperlink" Target="https://tcgplayer-cdn.tcgplayer.com/product/595191_in_1000x1000.jpg" TargetMode="External"/><Relationship Id="rId1226" Type="http://schemas.openxmlformats.org/officeDocument/2006/relationships/hyperlink" Target="https://tcgplayer-cdn.tcgplayer.com/product/595148_in_1000x1000.jpg" TargetMode="External"/><Relationship Id="rId1227" Type="http://schemas.openxmlformats.org/officeDocument/2006/relationships/hyperlink" Target="https://tcgplayer-cdn.tcgplayer.com/product/595215_in_1000x1000.jpg" TargetMode="External"/><Relationship Id="rId1228" Type="http://schemas.openxmlformats.org/officeDocument/2006/relationships/hyperlink" Target="https://tcgplayer-cdn.tcgplayer.com/product/595102_in_1000x1000.jpg" TargetMode="External"/><Relationship Id="rId1229" Type="http://schemas.openxmlformats.org/officeDocument/2006/relationships/hyperlink" Target="https://tcgplayer-cdn.tcgplayer.com/product/595132_in_1000x1000.jpg" TargetMode="External"/><Relationship Id="rId635" Type="http://schemas.openxmlformats.org/officeDocument/2006/relationships/hyperlink" Target="https://tcgplayer-cdn.tcgplayer.com/product/508965_in_1000x1000.jpg" TargetMode="External"/><Relationship Id="rId877" Type="http://schemas.openxmlformats.org/officeDocument/2006/relationships/hyperlink" Target="https://tcgplayer-cdn.tcgplayer.com/product/678263_in_1000x1000.jpg" TargetMode="External"/><Relationship Id="rId634" Type="http://schemas.openxmlformats.org/officeDocument/2006/relationships/hyperlink" Target="https://tcgplayer-cdn.tcgplayer.com/product/267486_in_1000x1000.jpg" TargetMode="External"/><Relationship Id="rId876" Type="http://schemas.openxmlformats.org/officeDocument/2006/relationships/hyperlink" Target="https://tcgplayer-cdn.tcgplayer.com/product/678270_in_1000x1000.jpg" TargetMode="External"/><Relationship Id="rId633" Type="http://schemas.openxmlformats.org/officeDocument/2006/relationships/hyperlink" Target="https://product-images.tcgplayer.com/fit-in/437x437/267225.jpg" TargetMode="External"/><Relationship Id="rId875" Type="http://schemas.openxmlformats.org/officeDocument/2006/relationships/hyperlink" Target="https://tcgplayer-cdn.tcgplayer.com/product/678280_in_1000x1000.jpg" TargetMode="External"/><Relationship Id="rId632" Type="http://schemas.openxmlformats.org/officeDocument/2006/relationships/hyperlink" Target="https://product-images.tcgplayer.com/fit-in/437x437/267091.jpg" TargetMode="External"/><Relationship Id="rId874" Type="http://schemas.openxmlformats.org/officeDocument/2006/relationships/hyperlink" Target="https://img.yuyu-tei.jp/card_image/ws/front/mdepb/10018.jpg" TargetMode="External"/><Relationship Id="rId639" Type="http://schemas.openxmlformats.org/officeDocument/2006/relationships/hyperlink" Target="https://tcgplayer-cdn.tcgplayer.com/product/267225_in_1000x1000.jpg" TargetMode="External"/><Relationship Id="rId638" Type="http://schemas.openxmlformats.org/officeDocument/2006/relationships/hyperlink" Target="https://tcgplayer-cdn.tcgplayer.com/product/267662_in_1000x1000.jpg" TargetMode="External"/><Relationship Id="rId637" Type="http://schemas.openxmlformats.org/officeDocument/2006/relationships/hyperlink" Target="https://tcgplayer-cdn.tcgplayer.com/product/267562_in_1000x1000.jpg" TargetMode="External"/><Relationship Id="rId879" Type="http://schemas.openxmlformats.org/officeDocument/2006/relationships/hyperlink" Target="https://en.ws-tcg.com/wordpress/wp-content/images/cardimages/MKI/W126-E081.png" TargetMode="External"/><Relationship Id="rId636" Type="http://schemas.openxmlformats.org/officeDocument/2006/relationships/hyperlink" Target="https://tcgplayer-cdn.tcgplayer.com/product/508864_in_1000x1000.jpg" TargetMode="External"/><Relationship Id="rId878" Type="http://schemas.openxmlformats.org/officeDocument/2006/relationships/hyperlink" Target="https://en.ws-tcg.com/wordpress/wp-content/images/cardimages/MKI/W126-E059.png" TargetMode="External"/><Relationship Id="rId631" Type="http://schemas.openxmlformats.org/officeDocument/2006/relationships/hyperlink" Target="https://tcgplayer-cdn.tcgplayer.com/product/560569_in_1000x1000.jpg" TargetMode="External"/><Relationship Id="rId873" Type="http://schemas.openxmlformats.org/officeDocument/2006/relationships/hyperlink" Target="https://img.yuyu-tei.jp/card_image/ws/front/mdepb/10059.jpg" TargetMode="External"/><Relationship Id="rId1220" Type="http://schemas.openxmlformats.org/officeDocument/2006/relationships/hyperlink" Target="https://product-images.tcgplayer.com/fit-in/585x585/filters:quality(1)/456347.jpg" TargetMode="External"/><Relationship Id="rId630" Type="http://schemas.openxmlformats.org/officeDocument/2006/relationships/hyperlink" Target="https://tcgplayer-cdn.tcgplayer.com/product/564458_in_1000x1000.jpg" TargetMode="External"/><Relationship Id="rId872" Type="http://schemas.openxmlformats.org/officeDocument/2006/relationships/hyperlink" Target="https://img.yuyu-tei.jp/card_image/ws/front/mdepb/10029.jpg" TargetMode="External"/><Relationship Id="rId1221" Type="http://schemas.openxmlformats.org/officeDocument/2006/relationships/hyperlink" Target="https://product-images.tcgplayer.com/fit-in/585x585/237555.jpg" TargetMode="External"/><Relationship Id="rId871" Type="http://schemas.openxmlformats.org/officeDocument/2006/relationships/hyperlink" Target="https://tcgplayer-cdn.tcgplayer.com/product/601716_in_1000x1000.jpg" TargetMode="External"/><Relationship Id="rId1222" Type="http://schemas.openxmlformats.org/officeDocument/2006/relationships/hyperlink" Target="https://tcgplayer-cdn.tcgplayer.com/product/456338_in_1000x1000.jpg" TargetMode="External"/><Relationship Id="rId870" Type="http://schemas.openxmlformats.org/officeDocument/2006/relationships/hyperlink" Target="https://tcgplayer-cdn.tcgplayer.com/product/601704_in_1000x1000.jpg" TargetMode="External"/><Relationship Id="rId1223" Type="http://schemas.openxmlformats.org/officeDocument/2006/relationships/hyperlink" Target="https://tcgplayer-cdn.tcgplayer.com/product/456347_in_1000x1000.jpg" TargetMode="External"/><Relationship Id="rId1411" Type="http://schemas.openxmlformats.org/officeDocument/2006/relationships/hyperlink" Target="https://ws-tcg.com/wordpress/wp-content/images/cardlist/w/ws_wspr/ws_wspr_p06.png" TargetMode="External"/><Relationship Id="rId1412" Type="http://schemas.openxmlformats.org/officeDocument/2006/relationships/hyperlink" Target="https://ws-tcg.com/wordpress/wp-content/images/cardlist/w/ws_wspr/ws_wspr_p06.png" TargetMode="External"/><Relationship Id="rId1413" Type="http://schemas.openxmlformats.org/officeDocument/2006/relationships/drawing" Target="../drawings/drawing14.xml"/><Relationship Id="rId1415" Type="http://schemas.openxmlformats.org/officeDocument/2006/relationships/table" Target="../tables/table19.xml"/><Relationship Id="rId829" Type="http://schemas.openxmlformats.org/officeDocument/2006/relationships/hyperlink" Target="https://product-images.tcgplayer.com/fit-in/804x804/538958.jpg" TargetMode="External"/><Relationship Id="rId828" Type="http://schemas.openxmlformats.org/officeDocument/2006/relationships/hyperlink" Target="https://img.yuyu-tei.jp/card_image/ws/front/lrcpb/10018.jpg" TargetMode="External"/><Relationship Id="rId827" Type="http://schemas.openxmlformats.org/officeDocument/2006/relationships/hyperlink" Target="https://tcgplayer-cdn.tcgplayer.com/product/539047_in_1000x1000.jpg" TargetMode="External"/><Relationship Id="rId822" Type="http://schemas.openxmlformats.org/officeDocument/2006/relationships/hyperlink" Target="https://card.yuyu-tei.jp/ws/front/lovelivenj2.0/10070.jpg" TargetMode="External"/><Relationship Id="rId821" Type="http://schemas.openxmlformats.org/officeDocument/2006/relationships/hyperlink" Target="https://card.yuyu-tei.jp/ws/front/lovelivenj2.0/10034.jpg" TargetMode="External"/><Relationship Id="rId820" Type="http://schemas.openxmlformats.org/officeDocument/2006/relationships/hyperlink" Target="https://card.yuyu-tei.jp/ws/front/lovelivenj2.0/10031.jpg" TargetMode="External"/><Relationship Id="rId826" Type="http://schemas.openxmlformats.org/officeDocument/2006/relationships/hyperlink" Target="https://tcgplayer-cdn.tcgplayer.com/product/538956_in_1000x1000.jpg" TargetMode="External"/><Relationship Id="rId825" Type="http://schemas.openxmlformats.org/officeDocument/2006/relationships/hyperlink" Target="https://tcgplayer-cdn.tcgplayer.com/product/639489_in_1000x1000.jpg" TargetMode="External"/><Relationship Id="rId824" Type="http://schemas.openxmlformats.org/officeDocument/2006/relationships/hyperlink" Target="https://card.yuyu-tei.jp/ws/front/lovelivenj2.0/10097.jpg" TargetMode="External"/><Relationship Id="rId823" Type="http://schemas.openxmlformats.org/officeDocument/2006/relationships/hyperlink" Target="https://card.yuyu-tei.jp/ws/front/lovelivenj/10106.jpg" TargetMode="External"/><Relationship Id="rId1410" Type="http://schemas.openxmlformats.org/officeDocument/2006/relationships/hyperlink" Target="https://ws-tcg.com/wordpress/wp-content/images/cardlist/w/ws_wspr/ws_wspr_p06.png" TargetMode="External"/><Relationship Id="rId1400" Type="http://schemas.openxmlformats.org/officeDocument/2006/relationships/hyperlink" Target="https://img.yuyu-tei.jp/card_image/ws/front/yrc/10073.jpg" TargetMode="External"/><Relationship Id="rId1401" Type="http://schemas.openxmlformats.org/officeDocument/2006/relationships/hyperlink" Target="https://card.yuyu-tei.jp/ws/front/yrc/10071.jpg" TargetMode="External"/><Relationship Id="rId1402" Type="http://schemas.openxmlformats.org/officeDocument/2006/relationships/hyperlink" Target="https://card.yuyu-tei.jp/ws/front/yrc/10006.jpg" TargetMode="External"/><Relationship Id="rId1403" Type="http://schemas.openxmlformats.org/officeDocument/2006/relationships/hyperlink" Target="https://card.yuyu-tei.jp/ws/front/yrc/10009.jpg" TargetMode="External"/><Relationship Id="rId1404" Type="http://schemas.openxmlformats.org/officeDocument/2006/relationships/hyperlink" Target="https://img.yuyu-tei.jp/card_image/ws/front/zls/10014.jpg" TargetMode="External"/><Relationship Id="rId1405" Type="http://schemas.openxmlformats.org/officeDocument/2006/relationships/hyperlink" Target="https://img.yuyu-tei.jp/card_image/ws/front/zls/10087.jpg" TargetMode="External"/><Relationship Id="rId1406" Type="http://schemas.openxmlformats.org/officeDocument/2006/relationships/hyperlink" Target="https://img.yuyu-tei.jp/card_image/ws/front/zls/10083.jpg" TargetMode="External"/><Relationship Id="rId1407" Type="http://schemas.openxmlformats.org/officeDocument/2006/relationships/hyperlink" Target="https://img.yuyu-tei.jp/card_image/ws/front/zls/10050.jpg" TargetMode="External"/><Relationship Id="rId819" Type="http://schemas.openxmlformats.org/officeDocument/2006/relationships/hyperlink" Target="https://card.yuyu-tei.jp/ws/front/lovelivenj2.0/10046.jpg" TargetMode="External"/><Relationship Id="rId1408" Type="http://schemas.openxmlformats.org/officeDocument/2006/relationships/hyperlink" Target="https://img.yuyu-tei.jp/card_image/ws/front/zls/10087.jpg" TargetMode="External"/><Relationship Id="rId818" Type="http://schemas.openxmlformats.org/officeDocument/2006/relationships/hyperlink" Target="https://img.yuyu-tei.jp/card_image/ws/front/lovelivenj2.0/10042.jpg" TargetMode="External"/><Relationship Id="rId1409" Type="http://schemas.openxmlformats.org/officeDocument/2006/relationships/hyperlink" Target="https://img.yuyu-tei.jp/card_image/ws/front/zls/10083.jpg" TargetMode="External"/><Relationship Id="rId817" Type="http://schemas.openxmlformats.org/officeDocument/2006/relationships/hyperlink" Target="https://img.yuyu-tei.jp/card_image/ws/front/lovelivenj/10082.jpg" TargetMode="External"/><Relationship Id="rId816" Type="http://schemas.openxmlformats.org/officeDocument/2006/relationships/hyperlink" Target="https://img.yuyu-tei.jp/card_image/ws/front/lovelivenj2.0/10033.jpg" TargetMode="External"/><Relationship Id="rId811" Type="http://schemas.openxmlformats.org/officeDocument/2006/relationships/hyperlink" Target="https://tcgplayer-cdn.tcgplayer.com/product/591474_in_1000x1000.jpg" TargetMode="External"/><Relationship Id="rId810" Type="http://schemas.openxmlformats.org/officeDocument/2006/relationships/hyperlink" Target="https://tcgplayer-cdn.tcgplayer.com/product/572333_in_1000x1000.jpg" TargetMode="External"/><Relationship Id="rId815" Type="http://schemas.openxmlformats.org/officeDocument/2006/relationships/hyperlink" Target="https://card.yuyu-tei.jp/ws/front/lovelivenj2.0/10071.jpg" TargetMode="External"/><Relationship Id="rId814" Type="http://schemas.openxmlformats.org/officeDocument/2006/relationships/hyperlink" Target="https://img.yuyu-tei.jp/card_image/ws/front/lovelivenj2.0/10033.jpg" TargetMode="External"/><Relationship Id="rId813" Type="http://schemas.openxmlformats.org/officeDocument/2006/relationships/hyperlink" Target="https://card.yuyu-tei.jp/ws/front/lovelivenj/10039.jpg" TargetMode="External"/><Relationship Id="rId812" Type="http://schemas.openxmlformats.org/officeDocument/2006/relationships/hyperlink" Target="https://tcgplayer-cdn.tcgplayer.com/product/572059_in_1000x1000.jpg" TargetMode="External"/><Relationship Id="rId609" Type="http://schemas.openxmlformats.org/officeDocument/2006/relationships/hyperlink" Target="https://tcgplayer-cdn.tcgplayer.com/product/267417_in_1000x1000.jpg" TargetMode="External"/><Relationship Id="rId608" Type="http://schemas.openxmlformats.org/officeDocument/2006/relationships/hyperlink" Target="https://tcgplayer-cdn.tcgplayer.com/product/509063_in_1000x1000.jpg" TargetMode="External"/><Relationship Id="rId607" Type="http://schemas.openxmlformats.org/officeDocument/2006/relationships/hyperlink" Target="https://product-images.tcgplayer.com/fit-in/585x585/509053.jpg" TargetMode="External"/><Relationship Id="rId849" Type="http://schemas.openxmlformats.org/officeDocument/2006/relationships/hyperlink" Target="https://card.yuyu-tei.jp/ws/front/lovelivesp/10075.jpg" TargetMode="External"/><Relationship Id="rId602" Type="http://schemas.openxmlformats.org/officeDocument/2006/relationships/hyperlink" Target="https://product-images.tcgplayer.com/fit-in/585x585/filters:quality(1)/508718.jpg" TargetMode="External"/><Relationship Id="rId844" Type="http://schemas.openxmlformats.org/officeDocument/2006/relationships/hyperlink" Target="https://card.yuyu-tei.jp/ws/front/lovelivesp/10075.jpg" TargetMode="External"/><Relationship Id="rId601" Type="http://schemas.openxmlformats.org/officeDocument/2006/relationships/hyperlink" Target="https://product-images.tcgplayer.com/fit-in/585x585/509053.jpg" TargetMode="External"/><Relationship Id="rId843" Type="http://schemas.openxmlformats.org/officeDocument/2006/relationships/hyperlink" Target="https://card.yuyu-tei.jp/ws/front/lovelivesp/10030.jpg" TargetMode="External"/><Relationship Id="rId600" Type="http://schemas.openxmlformats.org/officeDocument/2006/relationships/hyperlink" Target="https://product-images.tcgplayer.com/fit-in/585x585/267225.jpg" TargetMode="External"/><Relationship Id="rId842" Type="http://schemas.openxmlformats.org/officeDocument/2006/relationships/hyperlink" Target="https://tcgplayer-cdn.tcgplayer.com/product/591540_in_1000x1000.jpg" TargetMode="External"/><Relationship Id="rId841" Type="http://schemas.openxmlformats.org/officeDocument/2006/relationships/hyperlink" Target="https://tcgplayer-cdn.tcgplayer.com/product/591420_in_1000x1000.jpg" TargetMode="External"/><Relationship Id="rId606" Type="http://schemas.openxmlformats.org/officeDocument/2006/relationships/hyperlink" Target="https://product-images.tcgplayer.com/fit-in/585x585/267225.jpg" TargetMode="External"/><Relationship Id="rId848" Type="http://schemas.openxmlformats.org/officeDocument/2006/relationships/hyperlink" Target="https://card.yuyu-tei.jp/ws/front/lsf/10100.jpg" TargetMode="External"/><Relationship Id="rId605" Type="http://schemas.openxmlformats.org/officeDocument/2006/relationships/hyperlink" Target="https://product-images.tcgplayer.com/fit-in/585x585/filters:quality(1)/508718.jpg" TargetMode="External"/><Relationship Id="rId847" Type="http://schemas.openxmlformats.org/officeDocument/2006/relationships/hyperlink" Target="https://card.yuyu-tei.jp/ws/front/lovelivesp/10041.jpg" TargetMode="External"/><Relationship Id="rId604" Type="http://schemas.openxmlformats.org/officeDocument/2006/relationships/hyperlink" Target="https://product-images.tcgplayer.com/fit-in/585x585/509053.jpg" TargetMode="External"/><Relationship Id="rId846" Type="http://schemas.openxmlformats.org/officeDocument/2006/relationships/hyperlink" Target="https://card.yuyu-tei.jp/ws/front/lovelivesp/10109.jpg" TargetMode="External"/><Relationship Id="rId603" Type="http://schemas.openxmlformats.org/officeDocument/2006/relationships/hyperlink" Target="https://product-images.tcgplayer.com/fit-in/585x585/267225.jpg" TargetMode="External"/><Relationship Id="rId845" Type="http://schemas.openxmlformats.org/officeDocument/2006/relationships/hyperlink" Target="https://card.yuyu-tei.jp/ws/front/lovelivesp/10034.jpg" TargetMode="External"/><Relationship Id="rId840" Type="http://schemas.openxmlformats.org/officeDocument/2006/relationships/hyperlink" Target="https://tcgplayer-cdn.tcgplayer.com/product/591408_in_1000x1000.jpg" TargetMode="External"/><Relationship Id="rId839" Type="http://schemas.openxmlformats.org/officeDocument/2006/relationships/hyperlink" Target="https://tcgplayer-cdn.tcgplayer.com/product/591540_in_1000x1000.jpg" TargetMode="External"/><Relationship Id="rId838" Type="http://schemas.openxmlformats.org/officeDocument/2006/relationships/hyperlink" Target="https://tcgplayer-cdn.tcgplayer.com/product/591474_in_1000x1000.jpg" TargetMode="External"/><Relationship Id="rId833" Type="http://schemas.openxmlformats.org/officeDocument/2006/relationships/hyperlink" Target="https://tcgplayer-cdn.tcgplayer.com/product/538981_in_1000x1000.jpg" TargetMode="External"/><Relationship Id="rId832" Type="http://schemas.openxmlformats.org/officeDocument/2006/relationships/hyperlink" Target="https://tcgplayer-cdn.tcgplayer.com/product/538956_in_1000x1000.jpg" TargetMode="External"/><Relationship Id="rId831" Type="http://schemas.openxmlformats.org/officeDocument/2006/relationships/hyperlink" Target="https://tcgplayer-cdn.tcgplayer.com/product/639489_in_1000x1000.jpg" TargetMode="External"/><Relationship Id="rId830" Type="http://schemas.openxmlformats.org/officeDocument/2006/relationships/hyperlink" Target="https://product-images.tcgplayer.com/fit-in/804x804/538910.jpg" TargetMode="External"/><Relationship Id="rId837" Type="http://schemas.openxmlformats.org/officeDocument/2006/relationships/hyperlink" Target="https://tcgplayer-cdn.tcgplayer.com/product/591392_in_1000x1000.jpg" TargetMode="External"/><Relationship Id="rId836" Type="http://schemas.openxmlformats.org/officeDocument/2006/relationships/hyperlink" Target="https://product-images.tcgplayer.com/fit-in/804x804/538910.jpg" TargetMode="External"/><Relationship Id="rId835" Type="http://schemas.openxmlformats.org/officeDocument/2006/relationships/hyperlink" Target="https://product-images.tcgplayer.com/fit-in/804x804/538958.jpg" TargetMode="External"/><Relationship Id="rId834" Type="http://schemas.openxmlformats.org/officeDocument/2006/relationships/hyperlink" Target="https://product-images.tcgplayer.com/fit-in/804x804/filters:quality(1)/538956.jpg" TargetMode="External"/><Relationship Id="rId1059" Type="http://schemas.openxmlformats.org/officeDocument/2006/relationships/hyperlink" Target="https://tcgplayer-cdn.tcgplayer.com/product/634687_in_1000x1000.jpg" TargetMode="External"/><Relationship Id="rId228" Type="http://schemas.openxmlformats.org/officeDocument/2006/relationships/hyperlink" Target="https://tcgplayer-cdn.tcgplayer.com/product/644031_in_1000x1000.jpg" TargetMode="External"/><Relationship Id="rId227" Type="http://schemas.openxmlformats.org/officeDocument/2006/relationships/hyperlink" Target="https://tcgplayer-cdn.tcgplayer.com/product/644028_in_1000x1000.jpg" TargetMode="External"/><Relationship Id="rId469" Type="http://schemas.openxmlformats.org/officeDocument/2006/relationships/hyperlink" Target="https://tcgplayer-cdn.tcgplayer.com/product/529047_in_1000x1000.jpg" TargetMode="External"/><Relationship Id="rId226" Type="http://schemas.openxmlformats.org/officeDocument/2006/relationships/hyperlink" Target="https://tcgplayer-cdn.tcgplayer.com/product/643965_in_1000x1000.jpg" TargetMode="External"/><Relationship Id="rId468" Type="http://schemas.openxmlformats.org/officeDocument/2006/relationships/hyperlink" Target="https://tcgplayer-cdn.tcgplayer.com/product/529040_in_1000x1000.jpg" TargetMode="External"/><Relationship Id="rId225" Type="http://schemas.openxmlformats.org/officeDocument/2006/relationships/hyperlink" Target="https://tcgplayer-cdn.tcgplayer.com/product/644162_in_1000x1000.jpg" TargetMode="External"/><Relationship Id="rId467" Type="http://schemas.openxmlformats.org/officeDocument/2006/relationships/hyperlink" Target="https://tcgplayer-cdn.tcgplayer.com/product/529078_in_1000x1000.jpg" TargetMode="External"/><Relationship Id="rId1290" Type="http://schemas.openxmlformats.org/officeDocument/2006/relationships/hyperlink" Target="https://img.yuyu-tei.jp/card_image/ws/front/sspb/10016.jpg" TargetMode="External"/><Relationship Id="rId1291" Type="http://schemas.openxmlformats.org/officeDocument/2006/relationships/hyperlink" Target="https://img.yuyu-tei.jp/card_image/ws/front/sspb/10005.jpg" TargetMode="External"/><Relationship Id="rId229" Type="http://schemas.openxmlformats.org/officeDocument/2006/relationships/hyperlink" Target="https://tcgplayer-cdn.tcgplayer.com/product/643965_in_1000x1000.jpg" TargetMode="External"/><Relationship Id="rId1050" Type="http://schemas.openxmlformats.org/officeDocument/2006/relationships/hyperlink" Target="https://img.yuyu-tei.jp/card_image/ws/front/puyopuyo/10102.jpg" TargetMode="External"/><Relationship Id="rId1292" Type="http://schemas.openxmlformats.org/officeDocument/2006/relationships/hyperlink" Target="https://tcgplayer-cdn.tcgplayer.com/product/559367_in_1000x1000.jpg" TargetMode="External"/><Relationship Id="rId220" Type="http://schemas.openxmlformats.org/officeDocument/2006/relationships/hyperlink" Target="https://tcgplayer-cdn.tcgplayer.com/product/643965_in_1000x1000.jpg" TargetMode="External"/><Relationship Id="rId462" Type="http://schemas.openxmlformats.org/officeDocument/2006/relationships/hyperlink" Target="https://product-images.tcgplayer.com/fit-in/437x437/filters:quality(1)/528842.jpg" TargetMode="External"/><Relationship Id="rId1051" Type="http://schemas.openxmlformats.org/officeDocument/2006/relationships/hyperlink" Target="https://card.yuyu-tei.jp/ws/front/puyopuyo/10088.jpg" TargetMode="External"/><Relationship Id="rId1293" Type="http://schemas.openxmlformats.org/officeDocument/2006/relationships/hyperlink" Target="https://img.yuyu-tei.jp/card_image/ws/front/dengeki/10159.jpg" TargetMode="External"/><Relationship Id="rId461" Type="http://schemas.openxmlformats.org/officeDocument/2006/relationships/hyperlink" Target="https://product-images.tcgplayer.com/fit-in/437x437/529182.jpg" TargetMode="External"/><Relationship Id="rId1052" Type="http://schemas.openxmlformats.org/officeDocument/2006/relationships/hyperlink" Target="https://card.yuyu-tei.jp/ws/front/puyopuyo/10027.jpg" TargetMode="External"/><Relationship Id="rId1294" Type="http://schemas.openxmlformats.org/officeDocument/2006/relationships/hyperlink" Target="https://img.yuyu-tei.jp/card_image/ws/front/kadokawas2.0/10105.jpg" TargetMode="External"/><Relationship Id="rId460" Type="http://schemas.openxmlformats.org/officeDocument/2006/relationships/hyperlink" Target="https://product-images.tcgplayer.com/fit-in/818x818/528814.jpg" TargetMode="External"/><Relationship Id="rId1053" Type="http://schemas.openxmlformats.org/officeDocument/2006/relationships/hyperlink" Target="https://tcgplayer-cdn.tcgplayer.com/product/634809_in_1000x1000.jpg" TargetMode="External"/><Relationship Id="rId1295" Type="http://schemas.openxmlformats.org/officeDocument/2006/relationships/hyperlink" Target="https://img.yuyu-tei.jp/card_image/ws/front/kadokawas2.0/10042.jpg" TargetMode="External"/><Relationship Id="rId1054" Type="http://schemas.openxmlformats.org/officeDocument/2006/relationships/hyperlink" Target="https://tcgplayer-cdn.tcgplayer.com/product/634823_in_1000x1000.jpg" TargetMode="External"/><Relationship Id="rId1296" Type="http://schemas.openxmlformats.org/officeDocument/2006/relationships/hyperlink" Target="https://img.yuyu-tei.jp/card_image/ws/front/kadokawas2.0/10114.jpg" TargetMode="External"/><Relationship Id="rId224" Type="http://schemas.openxmlformats.org/officeDocument/2006/relationships/hyperlink" Target="https://tcgplayer-cdn.tcgplayer.com/product/644055_in_1000x1000.jpg" TargetMode="External"/><Relationship Id="rId466" Type="http://schemas.openxmlformats.org/officeDocument/2006/relationships/hyperlink" Target="https://tcgplayer-cdn.tcgplayer.com/product/529047_in_1000x1000.jpg" TargetMode="External"/><Relationship Id="rId1055" Type="http://schemas.openxmlformats.org/officeDocument/2006/relationships/hyperlink" Target="https://tcgplayer-cdn.tcgplayer.com/product/634812_in_1000x1000.jpg" TargetMode="External"/><Relationship Id="rId1297" Type="http://schemas.openxmlformats.org/officeDocument/2006/relationships/hyperlink" Target="https://img.yuyu-tei.jp/card_image/ws/front/kadokawas2.0/10105.jpg" TargetMode="External"/><Relationship Id="rId223" Type="http://schemas.openxmlformats.org/officeDocument/2006/relationships/hyperlink" Target="https://tcgplayer-cdn.tcgplayer.com/product/643965_in_1000x1000.jpg" TargetMode="External"/><Relationship Id="rId465" Type="http://schemas.openxmlformats.org/officeDocument/2006/relationships/hyperlink" Target="https://tcgplayer-cdn.tcgplayer.com/product/529040_in_1000x1000.jpg" TargetMode="External"/><Relationship Id="rId1056" Type="http://schemas.openxmlformats.org/officeDocument/2006/relationships/hyperlink" Target="https://tcgplayer-cdn.tcgplayer.com/product/634687_in_1000x1000.jpg" TargetMode="External"/><Relationship Id="rId1298" Type="http://schemas.openxmlformats.org/officeDocument/2006/relationships/hyperlink" Target="https://img.yuyu-tei.jp/card_image/ws/front/sh/10064.jpg" TargetMode="External"/><Relationship Id="rId222" Type="http://schemas.openxmlformats.org/officeDocument/2006/relationships/hyperlink" Target="https://img.yuyu-tei.jp/card_image/ws/front/bd5.0/10126.jpg" TargetMode="External"/><Relationship Id="rId464" Type="http://schemas.openxmlformats.org/officeDocument/2006/relationships/hyperlink" Target="https://tcgplayer-cdn.tcgplayer.com/product/528842_in_1000x1000.jpg" TargetMode="External"/><Relationship Id="rId1057" Type="http://schemas.openxmlformats.org/officeDocument/2006/relationships/hyperlink" Target="https://tcgplayer-cdn.tcgplayer.com/product/634880_in_1000x1000.jpg" TargetMode="External"/><Relationship Id="rId1299" Type="http://schemas.openxmlformats.org/officeDocument/2006/relationships/hyperlink" Target="https://img.yuyu-tei.jp/card_image/ws/front/kadokawas2.0/10103.jpg" TargetMode="External"/><Relationship Id="rId221" Type="http://schemas.openxmlformats.org/officeDocument/2006/relationships/hyperlink" Target="https://tcgplayer-cdn.tcgplayer.com/product/173271_in_1000x1000.jpg" TargetMode="External"/><Relationship Id="rId463" Type="http://schemas.openxmlformats.org/officeDocument/2006/relationships/hyperlink" Target="https://product-images.tcgplayer.com/fit-in/437x437/529040.jpg" TargetMode="External"/><Relationship Id="rId1058" Type="http://schemas.openxmlformats.org/officeDocument/2006/relationships/hyperlink" Target="https://tcgplayer-cdn.tcgplayer.com/product/634716_in_1000x1000.jpg" TargetMode="External"/><Relationship Id="rId1048" Type="http://schemas.openxmlformats.org/officeDocument/2006/relationships/hyperlink" Target="https://card.yuyu-tei.jp/ws/front/pxr2.0/10071.jpg" TargetMode="External"/><Relationship Id="rId1049" Type="http://schemas.openxmlformats.org/officeDocument/2006/relationships/hyperlink" Target="https://card.yuyu-tei.jp/ws/front/pxr/10155.jpg" TargetMode="External"/><Relationship Id="rId217" Type="http://schemas.openxmlformats.org/officeDocument/2006/relationships/hyperlink" Target="https://tcgplayer-cdn.tcgplayer.com/product/643965_in_1000x1000.jpg" TargetMode="External"/><Relationship Id="rId459" Type="http://schemas.openxmlformats.org/officeDocument/2006/relationships/hyperlink" Target="https://product-images.tcgplayer.com/fit-in/818x818/529201.jpg" TargetMode="External"/><Relationship Id="rId216" Type="http://schemas.openxmlformats.org/officeDocument/2006/relationships/hyperlink" Target="https://tcgplayer-cdn.tcgplayer.com/product/644253_in_1000x1000.jpg" TargetMode="External"/><Relationship Id="rId458" Type="http://schemas.openxmlformats.org/officeDocument/2006/relationships/hyperlink" Target="https://product-images.tcgplayer.com/fit-in/818x818/529182.jpg" TargetMode="External"/><Relationship Id="rId215" Type="http://schemas.openxmlformats.org/officeDocument/2006/relationships/hyperlink" Target="https://tcgplayer-cdn.tcgplayer.com/product/644227_in_1000x1000.jpg" TargetMode="External"/><Relationship Id="rId457" Type="http://schemas.openxmlformats.org/officeDocument/2006/relationships/hyperlink" Target="https://product-images.tcgplayer.com/fit-in/437x437/529040.jpg" TargetMode="External"/><Relationship Id="rId699" Type="http://schemas.openxmlformats.org/officeDocument/2006/relationships/hyperlink" Target="https://card.yuyu-tei.jp/ws/front/isc2.0/10137.jpg" TargetMode="External"/><Relationship Id="rId214" Type="http://schemas.openxmlformats.org/officeDocument/2006/relationships/hyperlink" Target="https://tcgplayer-cdn.tcgplayer.com/product/644225_in_1000x1000.jpg" TargetMode="External"/><Relationship Id="rId456" Type="http://schemas.openxmlformats.org/officeDocument/2006/relationships/hyperlink" Target="https://tcgplayer-cdn.tcgplayer.com/product/529199_in_1000x1000.jpg" TargetMode="External"/><Relationship Id="rId698" Type="http://schemas.openxmlformats.org/officeDocument/2006/relationships/hyperlink" Target="https://card.yuyu-tei.jp/ws/front/isc2.0/10038.jpg" TargetMode="External"/><Relationship Id="rId219" Type="http://schemas.openxmlformats.org/officeDocument/2006/relationships/hyperlink" Target="https://img.yuyu-tei.jp/card_image/ws/front/bd5.0/10126.jpg" TargetMode="External"/><Relationship Id="rId1280" Type="http://schemas.openxmlformats.org/officeDocument/2006/relationships/hyperlink" Target="https://product-images.tcgplayer.com/fit-in/585x585/filters:quality(1)/532133.jpg" TargetMode="External"/><Relationship Id="rId218" Type="http://schemas.openxmlformats.org/officeDocument/2006/relationships/hyperlink" Target="https://tcgplayer-cdn.tcgplayer.com/product/173271_in_1000x1000.jpg" TargetMode="External"/><Relationship Id="rId1281" Type="http://schemas.openxmlformats.org/officeDocument/2006/relationships/hyperlink" Target="https://tcgplayer-cdn.tcgplayer.com/product/532508_in_1000x1000.jpg" TargetMode="External"/><Relationship Id="rId451" Type="http://schemas.openxmlformats.org/officeDocument/2006/relationships/hyperlink" Target="https://tcgplayer-cdn.tcgplayer.com/product/529102_in_1000x1000.jpg" TargetMode="External"/><Relationship Id="rId693" Type="http://schemas.openxmlformats.org/officeDocument/2006/relationships/hyperlink" Target="https://card.yuyu-tei.jp/ws/front/isc/10014.jpg" TargetMode="External"/><Relationship Id="rId1040" Type="http://schemas.openxmlformats.org/officeDocument/2006/relationships/hyperlink" Target="https://img.yuyu-tei.jp/card_image/ws/front/pjs2.0/10060.jpg" TargetMode="External"/><Relationship Id="rId1282" Type="http://schemas.openxmlformats.org/officeDocument/2006/relationships/hyperlink" Target="https://product-images.tcgplayer.com/fit-in/376x376/532400.jpg" TargetMode="External"/><Relationship Id="rId450" Type="http://schemas.openxmlformats.org/officeDocument/2006/relationships/hyperlink" Target="https://tcgplayer-cdn.tcgplayer.com/product/529382_in_1000x1000.jpg" TargetMode="External"/><Relationship Id="rId692" Type="http://schemas.openxmlformats.org/officeDocument/2006/relationships/hyperlink" Target="https://card.yuyu-tei.jp/ws/front/isc2.0/10038.jpg" TargetMode="External"/><Relationship Id="rId1041" Type="http://schemas.openxmlformats.org/officeDocument/2006/relationships/hyperlink" Target="https://card.yuyu-tei.jp/ws/front/prd/10062.jpg" TargetMode="External"/><Relationship Id="rId1283" Type="http://schemas.openxmlformats.org/officeDocument/2006/relationships/hyperlink" Target="https://product-images.tcgplayer.com/fit-in/376x376/532481.jpg" TargetMode="External"/><Relationship Id="rId691" Type="http://schemas.openxmlformats.org/officeDocument/2006/relationships/hyperlink" Target="https://card.yuyu-tei.jp/ws/front/iscpb/10034.jpg" TargetMode="External"/><Relationship Id="rId1042" Type="http://schemas.openxmlformats.org/officeDocument/2006/relationships/hyperlink" Target="https://card.yuyu-tei.jp/ws/front/prd/10069.jpg" TargetMode="External"/><Relationship Id="rId1284" Type="http://schemas.openxmlformats.org/officeDocument/2006/relationships/hyperlink" Target="https://product-images.tcgplayer.com/fit-in/376x376/532403.jpg" TargetMode="External"/><Relationship Id="rId690" Type="http://schemas.openxmlformats.org/officeDocument/2006/relationships/hyperlink" Target="https://card.yuyu-tei.jp/ws/front/ims2.0/10047.jpg" TargetMode="External"/><Relationship Id="rId1043" Type="http://schemas.openxmlformats.org/officeDocument/2006/relationships/hyperlink" Target="https://card.yuyu-tei.jp/ws/front/prd2.0/10002.jpg" TargetMode="External"/><Relationship Id="rId1285" Type="http://schemas.openxmlformats.org/officeDocument/2006/relationships/hyperlink" Target="https://en.ws-tcg.com/wordpress/wp-content/images/cardimages/SS/WE41_E04.png" TargetMode="External"/><Relationship Id="rId213" Type="http://schemas.openxmlformats.org/officeDocument/2006/relationships/hyperlink" Target="https://tcgplayer-cdn.tcgplayer.com/product/260354_in_1000x1000.jpg" TargetMode="External"/><Relationship Id="rId455" Type="http://schemas.openxmlformats.org/officeDocument/2006/relationships/hyperlink" Target="https://product-images.tcgplayer.com/fit-in/818x818/529182.jpg" TargetMode="External"/><Relationship Id="rId697" Type="http://schemas.openxmlformats.org/officeDocument/2006/relationships/hyperlink" Target="https://card.yuyu-tei.jp/ws/front/iscpb/10034.jpg" TargetMode="External"/><Relationship Id="rId1044" Type="http://schemas.openxmlformats.org/officeDocument/2006/relationships/hyperlink" Target="https://card.yuyu-tei.jp/ws/front/pxr2.0/10015.jpg" TargetMode="External"/><Relationship Id="rId1286" Type="http://schemas.openxmlformats.org/officeDocument/2006/relationships/hyperlink" Target="https://tcgplayer-cdn.tcgplayer.com/product/559367_in_1000x1000.jpg" TargetMode="External"/><Relationship Id="rId212" Type="http://schemas.openxmlformats.org/officeDocument/2006/relationships/hyperlink" Target="https://tcgplayer-cdn.tcgplayer.com/product/643965_in_1000x1000.jpg" TargetMode="External"/><Relationship Id="rId454" Type="http://schemas.openxmlformats.org/officeDocument/2006/relationships/hyperlink" Target="https://tcgplayer-cdn.tcgplayer.com/product/529080_in_1000x1000.jpg" TargetMode="External"/><Relationship Id="rId696" Type="http://schemas.openxmlformats.org/officeDocument/2006/relationships/hyperlink" Target="https://card.yuyu-tei.jp/ws/front/iscpb/10030.jpg" TargetMode="External"/><Relationship Id="rId1045" Type="http://schemas.openxmlformats.org/officeDocument/2006/relationships/hyperlink" Target="https://card.yuyu-tei.jp/ws/front/pxr2.0/10071.jpg" TargetMode="External"/><Relationship Id="rId1287" Type="http://schemas.openxmlformats.org/officeDocument/2006/relationships/hyperlink" Target="https://en.ws-tcg.com/wordpress/wp-content/images/cardimages/Gxx/WS02_E077.png" TargetMode="External"/><Relationship Id="rId211" Type="http://schemas.openxmlformats.org/officeDocument/2006/relationships/hyperlink" Target="https://tcgplayer-cdn.tcgplayer.com/product/260394_in_1000x1000.jpg" TargetMode="External"/><Relationship Id="rId453" Type="http://schemas.openxmlformats.org/officeDocument/2006/relationships/hyperlink" Target="https://tcgplayer-cdn.tcgplayer.com/product/529647_in_1000x1000.jpg" TargetMode="External"/><Relationship Id="rId695" Type="http://schemas.openxmlformats.org/officeDocument/2006/relationships/hyperlink" Target="https://card.yuyu-tei.jp/ws/front/isc2.0/10038.jpg" TargetMode="External"/><Relationship Id="rId1046" Type="http://schemas.openxmlformats.org/officeDocument/2006/relationships/hyperlink" Target="https://card.yuyu-tei.jp/ws/front/pxr2.0/10039.jpg" TargetMode="External"/><Relationship Id="rId1288" Type="http://schemas.openxmlformats.org/officeDocument/2006/relationships/hyperlink" Target="https://img.yuyu-tei.jp/card_image/ws/front/sspb/10005.jpg" TargetMode="External"/><Relationship Id="rId210" Type="http://schemas.openxmlformats.org/officeDocument/2006/relationships/hyperlink" Target="https://tcgplayer-cdn.tcgplayer.com/product/173281_in_1000x1000.jpg" TargetMode="External"/><Relationship Id="rId452" Type="http://schemas.openxmlformats.org/officeDocument/2006/relationships/hyperlink" Target="https://tcgplayer-cdn.tcgplayer.com/product/529006_in_1000x1000.jpg" TargetMode="External"/><Relationship Id="rId694" Type="http://schemas.openxmlformats.org/officeDocument/2006/relationships/hyperlink" Target="https://card.yuyu-tei.jp/ws/front/iscpb/10034.jpg" TargetMode="External"/><Relationship Id="rId1047" Type="http://schemas.openxmlformats.org/officeDocument/2006/relationships/hyperlink" Target="https://card.yuyu-tei.jp/ws/front/pxr2.0/10070.jpg" TargetMode="External"/><Relationship Id="rId1289" Type="http://schemas.openxmlformats.org/officeDocument/2006/relationships/hyperlink" Target="https://img.yuyu-tei.jp/card_image/ws/front/sspb/10034.jpg" TargetMode="External"/><Relationship Id="rId491" Type="http://schemas.openxmlformats.org/officeDocument/2006/relationships/hyperlink" Target="https://img.yuyu-tei.jp/card_image/ws/front/gim/10080.jpg" TargetMode="External"/><Relationship Id="rId490" Type="http://schemas.openxmlformats.org/officeDocument/2006/relationships/hyperlink" Target="https://img.yuyu-tei.jp/card_image/ws/front/gim/10124.jpg" TargetMode="External"/><Relationship Id="rId249" Type="http://schemas.openxmlformats.org/officeDocument/2006/relationships/hyperlink" Target="https://tcgplayer-cdn.tcgplayer.com/product/217145_in_1000x1000.jpg" TargetMode="External"/><Relationship Id="rId248" Type="http://schemas.openxmlformats.org/officeDocument/2006/relationships/hyperlink" Target="https://tcgplayer-cdn.tcgplayer.com/product/173270_in_1000x1000.jpg" TargetMode="External"/><Relationship Id="rId247" Type="http://schemas.openxmlformats.org/officeDocument/2006/relationships/hyperlink" Target="https://tcgplayer-cdn.tcgplayer.com/product/490742_in_1000x1000.jpg" TargetMode="External"/><Relationship Id="rId489" Type="http://schemas.openxmlformats.org/officeDocument/2006/relationships/hyperlink" Target="https://img.yuyu-tei.jp/card_image/ws/front/gim/10084.jpg" TargetMode="External"/><Relationship Id="rId1070" Type="http://schemas.openxmlformats.org/officeDocument/2006/relationships/hyperlink" Target="https://tcgplayer-cdn.tcgplayer.com/product/514911_in_1000x1000.jpg" TargetMode="External"/><Relationship Id="rId1071" Type="http://schemas.openxmlformats.org/officeDocument/2006/relationships/hyperlink" Target="https://product-images.tcgplayer.com/fit-in/585x585/501952.jpg" TargetMode="External"/><Relationship Id="rId1072" Type="http://schemas.openxmlformats.org/officeDocument/2006/relationships/hyperlink" Target="https://tcgplayer-cdn.tcgplayer.com/product/514457_in_1000x1000.jpg" TargetMode="External"/><Relationship Id="rId242" Type="http://schemas.openxmlformats.org/officeDocument/2006/relationships/hyperlink" Target="https://product-images.tcgplayer.com/fit-in/585x585/filters:quality(1)/491104.jpg" TargetMode="External"/><Relationship Id="rId484" Type="http://schemas.openxmlformats.org/officeDocument/2006/relationships/hyperlink" Target="https://img.yuyu-tei.jp/card_image/ws/front/gim/10094.jpg" TargetMode="External"/><Relationship Id="rId1073" Type="http://schemas.openxmlformats.org/officeDocument/2006/relationships/hyperlink" Target="https://tcgplayer-cdn.tcgplayer.com/product/514469_in_1000x1000.jpg" TargetMode="External"/><Relationship Id="rId241" Type="http://schemas.openxmlformats.org/officeDocument/2006/relationships/hyperlink" Target="https://product-images.tcgplayer.com/fit-in/416x416/217116.jpg" TargetMode="External"/><Relationship Id="rId483" Type="http://schemas.openxmlformats.org/officeDocument/2006/relationships/hyperlink" Target="https://img.yuyu-tei.jp/card_image/ws/front/gim/10093.jpg" TargetMode="External"/><Relationship Id="rId1074" Type="http://schemas.openxmlformats.org/officeDocument/2006/relationships/hyperlink" Target="https://tcgplayer-cdn.tcgplayer.com/product/514539_in_1000x1000.jpg" TargetMode="External"/><Relationship Id="rId240" Type="http://schemas.openxmlformats.org/officeDocument/2006/relationships/hyperlink" Target="https://tcgplayer-cdn.tcgplayer.com/product/216766_in_1000x1000.jpg" TargetMode="External"/><Relationship Id="rId482" Type="http://schemas.openxmlformats.org/officeDocument/2006/relationships/hyperlink" Target="https://img.yuyu-tei.jp/card_image/ws/front/gim/10084.jpg" TargetMode="External"/><Relationship Id="rId1075" Type="http://schemas.openxmlformats.org/officeDocument/2006/relationships/hyperlink" Target="https://tcgplayer-cdn.tcgplayer.com/product/514457_in_1000x1000.jpg" TargetMode="External"/><Relationship Id="rId481" Type="http://schemas.openxmlformats.org/officeDocument/2006/relationships/hyperlink" Target="https://img.yuyu-tei.jp/card_image/ws/front/gim/10086.jpg" TargetMode="External"/><Relationship Id="rId1076" Type="http://schemas.openxmlformats.org/officeDocument/2006/relationships/hyperlink" Target="https://tcgplayer-cdn.tcgplayer.com/product/514929_in_1000x1000.jpg" TargetMode="External"/><Relationship Id="rId246" Type="http://schemas.openxmlformats.org/officeDocument/2006/relationships/hyperlink" Target="https://img.yuyu-tei.jp/card_image/ws/front/bd5.0/10126.jpg" TargetMode="External"/><Relationship Id="rId488" Type="http://schemas.openxmlformats.org/officeDocument/2006/relationships/hyperlink" Target="https://img.yuyu-tei.jp/card_image/ws/front/gim/10045.jpg" TargetMode="External"/><Relationship Id="rId1077" Type="http://schemas.openxmlformats.org/officeDocument/2006/relationships/hyperlink" Target="https://product-images.tcgplayer.com/fit-in/804x804/514914.jpg" TargetMode="External"/><Relationship Id="rId245" Type="http://schemas.openxmlformats.org/officeDocument/2006/relationships/hyperlink" Target="https://img.yuyu-tei.jp/card_image/ws/front/bd5.0/10114.jpg" TargetMode="External"/><Relationship Id="rId487" Type="http://schemas.openxmlformats.org/officeDocument/2006/relationships/hyperlink" Target="https://img.yuyu-tei.jp/card_image/ws/front/gim/10124.jpg" TargetMode="External"/><Relationship Id="rId1078" Type="http://schemas.openxmlformats.org/officeDocument/2006/relationships/hyperlink" Target="https://tcgplayer-cdn.tcgplayer.com/product/515100_in_1000x1000.jpg" TargetMode="External"/><Relationship Id="rId244" Type="http://schemas.openxmlformats.org/officeDocument/2006/relationships/hyperlink" Target="https://img.yuyu-tei.jp/card_image/ws/front/bd5.0/10125.jpg" TargetMode="External"/><Relationship Id="rId486" Type="http://schemas.openxmlformats.org/officeDocument/2006/relationships/hyperlink" Target="https://img.yuyu-tei.jp/card_image/ws/front/gim/10084.jpg" TargetMode="External"/><Relationship Id="rId1079" Type="http://schemas.openxmlformats.org/officeDocument/2006/relationships/hyperlink" Target="https://tcgplayer-cdn.tcgplayer.com/product/514457_in_1000x1000.jpg" TargetMode="External"/><Relationship Id="rId243" Type="http://schemas.openxmlformats.org/officeDocument/2006/relationships/hyperlink" Target="https://tcgplayer-cdn.tcgplayer.com/product/173281_in_1000x1000.jpg" TargetMode="External"/><Relationship Id="rId485" Type="http://schemas.openxmlformats.org/officeDocument/2006/relationships/hyperlink" Target="https://img.yuyu-tei.jp/card_image/ws/front/gim/10045.jpg" TargetMode="External"/><Relationship Id="rId480" Type="http://schemas.openxmlformats.org/officeDocument/2006/relationships/hyperlink" Target="https://img.yuyu-tei.jp/card_image/ws/front/gim/10084.jpg" TargetMode="External"/><Relationship Id="rId239" Type="http://schemas.openxmlformats.org/officeDocument/2006/relationships/hyperlink" Target="https://product-images.tcgplayer.com/fit-in/585x585/490742.jpg" TargetMode="External"/><Relationship Id="rId238" Type="http://schemas.openxmlformats.org/officeDocument/2006/relationships/hyperlink" Target="https://product-images.tcgplayer.com/fit-in/585x585/490749.jpg" TargetMode="External"/><Relationship Id="rId237" Type="http://schemas.openxmlformats.org/officeDocument/2006/relationships/hyperlink" Target="https://tcgplayer-cdn.tcgplayer.com/product/490899_in_1000x1000.jpg" TargetMode="External"/><Relationship Id="rId479" Type="http://schemas.openxmlformats.org/officeDocument/2006/relationships/hyperlink" Target="https://img.yuyu-tei.jp/card_image/ws/front/gim/10045.jpg" TargetMode="External"/><Relationship Id="rId236" Type="http://schemas.openxmlformats.org/officeDocument/2006/relationships/hyperlink" Target="https://tcgplayer-cdn.tcgplayer.com/product/173271_in_1000x1000.jpg" TargetMode="External"/><Relationship Id="rId478" Type="http://schemas.openxmlformats.org/officeDocument/2006/relationships/hyperlink" Target="https://img.yuyu-tei.jp/card_image/ws/front/gim/10086.jpg" TargetMode="External"/><Relationship Id="rId1060" Type="http://schemas.openxmlformats.org/officeDocument/2006/relationships/hyperlink" Target="https://tcgplayer-cdn.tcgplayer.com/product/634741_in_1000x1000.jpg" TargetMode="External"/><Relationship Id="rId1061" Type="http://schemas.openxmlformats.org/officeDocument/2006/relationships/hyperlink" Target="https://tcgplayer-cdn.tcgplayer.com/product/634746_in_1000x1000.jpg" TargetMode="External"/><Relationship Id="rId231" Type="http://schemas.openxmlformats.org/officeDocument/2006/relationships/hyperlink" Target="https://tcgplayer-cdn.tcgplayer.com/product/173281_in_1000x1000.jpg" TargetMode="External"/><Relationship Id="rId473" Type="http://schemas.openxmlformats.org/officeDocument/2006/relationships/hyperlink" Target="https://img.yuyu-tei.jp/card_image/ws/front/gim/10084.jpg" TargetMode="External"/><Relationship Id="rId1062" Type="http://schemas.openxmlformats.org/officeDocument/2006/relationships/hyperlink" Target="https://tcgplayer-cdn.tcgplayer.com/product/634812_in_1000x1000.jpg" TargetMode="External"/><Relationship Id="rId230" Type="http://schemas.openxmlformats.org/officeDocument/2006/relationships/hyperlink" Target="https://tcgplayer-cdn.tcgplayer.com/product/643987_in_1000x1000.jpg" TargetMode="External"/><Relationship Id="rId472" Type="http://schemas.openxmlformats.org/officeDocument/2006/relationships/hyperlink" Target="https://product-images.tcgplayer.com/fit-in/585x585/529102.jpg" TargetMode="External"/><Relationship Id="rId1063" Type="http://schemas.openxmlformats.org/officeDocument/2006/relationships/hyperlink" Target="https://tcgplayer-cdn.tcgplayer.com/product/634741_in_1000x1000.jpg" TargetMode="External"/><Relationship Id="rId471" Type="http://schemas.openxmlformats.org/officeDocument/2006/relationships/hyperlink" Target="https://product-images.tcgplayer.com/fit-in/437x437/529382.jpg" TargetMode="External"/><Relationship Id="rId1064" Type="http://schemas.openxmlformats.org/officeDocument/2006/relationships/hyperlink" Target="https://tcgplayer-cdn.tcgplayer.com/product/634746_in_1000x1000.jpg" TargetMode="External"/><Relationship Id="rId470" Type="http://schemas.openxmlformats.org/officeDocument/2006/relationships/hyperlink" Target="https://product-images.tcgplayer.com/fit-in/376x376/529163.jpg" TargetMode="External"/><Relationship Id="rId1065" Type="http://schemas.openxmlformats.org/officeDocument/2006/relationships/hyperlink" Target="https://tcgplayer-cdn.tcgplayer.com/product/634748_in_1000x1000.jpg" TargetMode="External"/><Relationship Id="rId235" Type="http://schemas.openxmlformats.org/officeDocument/2006/relationships/hyperlink" Target="https://tcgplayer-cdn.tcgplayer.com/product/491004_in_1000x1000.jpg" TargetMode="External"/><Relationship Id="rId477" Type="http://schemas.openxmlformats.org/officeDocument/2006/relationships/hyperlink" Target="https://card.yuyu-tei.jp/ws/front/gim/10047.jpg" TargetMode="External"/><Relationship Id="rId1066" Type="http://schemas.openxmlformats.org/officeDocument/2006/relationships/hyperlink" Target="https://tcgplayer-cdn.tcgplayer.com/product/514457_in_1000x1000.jpg" TargetMode="External"/><Relationship Id="rId234" Type="http://schemas.openxmlformats.org/officeDocument/2006/relationships/hyperlink" Target="https://tcgplayer-cdn.tcgplayer.com/product/260112_in_1000x1000.jpg" TargetMode="External"/><Relationship Id="rId476" Type="http://schemas.openxmlformats.org/officeDocument/2006/relationships/hyperlink" Target="https://card.yuyu-tei.jp/ws/front/gim/10120.jpg" TargetMode="External"/><Relationship Id="rId1067" Type="http://schemas.openxmlformats.org/officeDocument/2006/relationships/hyperlink" Target="https://tcgplayer-cdn.tcgplayer.com/product/190847_in_1000x1000.jpg" TargetMode="External"/><Relationship Id="rId233" Type="http://schemas.openxmlformats.org/officeDocument/2006/relationships/hyperlink" Target="https://tcgplayer-cdn.tcgplayer.com/product/643987_in_1000x1000.jpg" TargetMode="External"/><Relationship Id="rId475" Type="http://schemas.openxmlformats.org/officeDocument/2006/relationships/hyperlink" Target="https://img.yuyu-tei.jp/card_image/ws/front/gim/10086.jpg" TargetMode="External"/><Relationship Id="rId1068" Type="http://schemas.openxmlformats.org/officeDocument/2006/relationships/hyperlink" Target="https://tcgplayer-cdn.tcgplayer.com/product/514473_in_1000x1000.jpg" TargetMode="External"/><Relationship Id="rId232" Type="http://schemas.openxmlformats.org/officeDocument/2006/relationships/hyperlink" Target="https://tcgplayer-cdn.tcgplayer.com/product/643965_in_1000x1000.jpg" TargetMode="External"/><Relationship Id="rId474" Type="http://schemas.openxmlformats.org/officeDocument/2006/relationships/hyperlink" Target="https://card.yuyu-tei.jp/ws/front/gim/10047.jpg" TargetMode="External"/><Relationship Id="rId1069" Type="http://schemas.openxmlformats.org/officeDocument/2006/relationships/hyperlink" Target="https://tcgplayer-cdn.tcgplayer.com/product/514925_in_1000x1000.jpg" TargetMode="External"/><Relationship Id="rId1015" Type="http://schemas.openxmlformats.org/officeDocument/2006/relationships/hyperlink" Target="https://card.yuyu-tei.jp/ws/front/pjs3.0/10014.jpg" TargetMode="External"/><Relationship Id="rId1257" Type="http://schemas.openxmlformats.org/officeDocument/2006/relationships/hyperlink" Target="https://card.yuyu-tei.jp/ws/front/symphogearxv/10028.jpg" TargetMode="External"/><Relationship Id="rId1016" Type="http://schemas.openxmlformats.org/officeDocument/2006/relationships/hyperlink" Target="https://card.yuyu-tei.jp/ws/front/pjs3.0/10009.jpg" TargetMode="External"/><Relationship Id="rId1258" Type="http://schemas.openxmlformats.org/officeDocument/2006/relationships/hyperlink" Target="https://product-images.tcgplayer.com/fit-in/437x437/449676.jpg" TargetMode="External"/><Relationship Id="rId1017" Type="http://schemas.openxmlformats.org/officeDocument/2006/relationships/hyperlink" Target="https://img.yuyu-tei.jp/card_image/ws/front/pjs/10153.jpg" TargetMode="External"/><Relationship Id="rId1259" Type="http://schemas.openxmlformats.org/officeDocument/2006/relationships/hyperlink" Target="https://product-images.tcgplayer.com/fit-in/437x437/493957.jpg" TargetMode="External"/><Relationship Id="rId1018" Type="http://schemas.openxmlformats.org/officeDocument/2006/relationships/hyperlink" Target="https://card.yuyu-tei.jp/ws/front/pjs2.0/10030.jpg" TargetMode="External"/><Relationship Id="rId1019" Type="http://schemas.openxmlformats.org/officeDocument/2006/relationships/hyperlink" Target="https://card.yuyu-tei.jp/ws/front/pjs3.0/10033.jpg" TargetMode="External"/><Relationship Id="rId426" Type="http://schemas.openxmlformats.org/officeDocument/2006/relationships/hyperlink" Target="https://img.yuyu-tei.jp/card_image/ws/front/gcrpb/10066.jpg" TargetMode="External"/><Relationship Id="rId668" Type="http://schemas.openxmlformats.org/officeDocument/2006/relationships/hyperlink" Target="https://card.yuyu-tei.jp/ws/front/imcpb/10042.jpg" TargetMode="External"/><Relationship Id="rId425" Type="http://schemas.openxmlformats.org/officeDocument/2006/relationships/hyperlink" Target="https://img.yuyu-tei.jp/card_image/ws/front/gcrpb/10032.jpg" TargetMode="External"/><Relationship Id="rId667" Type="http://schemas.openxmlformats.org/officeDocument/2006/relationships/hyperlink" Target="https://card.yuyu-tei.jp/ws/front/imc3.0/10191.jpg" TargetMode="External"/><Relationship Id="rId424" Type="http://schemas.openxmlformats.org/officeDocument/2006/relationships/hyperlink" Target="https://img.yuyu-tei.jp/card_image/ws/front/gcrpb/10059.jpg" TargetMode="External"/><Relationship Id="rId666" Type="http://schemas.openxmlformats.org/officeDocument/2006/relationships/hyperlink" Target="https://product-images.tcgplayer.com/fit-in/437x437/267225.jpg" TargetMode="External"/><Relationship Id="rId423" Type="http://schemas.openxmlformats.org/officeDocument/2006/relationships/hyperlink" Target="https://img.yuyu-tei.jp/card_image/ws/front/gcrpb/10042.jpg" TargetMode="External"/><Relationship Id="rId665" Type="http://schemas.openxmlformats.org/officeDocument/2006/relationships/hyperlink" Target="https://product-images.tcgplayer.com/fit-in/437x437/267091.jpg" TargetMode="External"/><Relationship Id="rId429" Type="http://schemas.openxmlformats.org/officeDocument/2006/relationships/hyperlink" Target="https://img.yuyu-tei.jp/card_image/ws/front/gcrpb/10066.jpg" TargetMode="External"/><Relationship Id="rId428" Type="http://schemas.openxmlformats.org/officeDocument/2006/relationships/hyperlink" Target="https://tcgplayer-cdn.tcgplayer.com/product/673231_in_1000x1000.jpg" TargetMode="External"/><Relationship Id="rId427" Type="http://schemas.openxmlformats.org/officeDocument/2006/relationships/hyperlink" Target="https://img.yuyu-tei.jp/card_image/ws/front/gcrpb/10059.jpg" TargetMode="External"/><Relationship Id="rId669" Type="http://schemas.openxmlformats.org/officeDocument/2006/relationships/hyperlink" Target="https://card.yuyu-tei.jp/ws/front/imcpb/10041.jpg" TargetMode="External"/><Relationship Id="rId660" Type="http://schemas.openxmlformats.org/officeDocument/2006/relationships/hyperlink" Target="https://tcgplayer-cdn.tcgplayer.com/product/267303_in_1000x1000.jpg" TargetMode="External"/><Relationship Id="rId1250" Type="http://schemas.openxmlformats.org/officeDocument/2006/relationships/hyperlink" Target="https://tcgplayer-cdn.tcgplayer.com/product/595257_in_1000x1000.jpg" TargetMode="External"/><Relationship Id="rId1251" Type="http://schemas.openxmlformats.org/officeDocument/2006/relationships/hyperlink" Target="https://tcgplayer-cdn.tcgplayer.com/product/595215_in_1000x1000.jpg" TargetMode="External"/><Relationship Id="rId1010" Type="http://schemas.openxmlformats.org/officeDocument/2006/relationships/hyperlink" Target="https://card.yuyu-tei.jp/ws/front/pjs3.0/10088.jpg" TargetMode="External"/><Relationship Id="rId1252" Type="http://schemas.openxmlformats.org/officeDocument/2006/relationships/hyperlink" Target="https://tcgplayer-cdn.tcgplayer.com/product/595195_in_1000x1000.jpg" TargetMode="External"/><Relationship Id="rId422" Type="http://schemas.openxmlformats.org/officeDocument/2006/relationships/hyperlink" Target="https://img.yuyu-tei.jp/card_image/ws/front/gcrpb/10043.jpg" TargetMode="External"/><Relationship Id="rId664" Type="http://schemas.openxmlformats.org/officeDocument/2006/relationships/hyperlink" Target="https://product-images.tcgplayer.com/fit-in/437x437/267079.jpg" TargetMode="External"/><Relationship Id="rId1011" Type="http://schemas.openxmlformats.org/officeDocument/2006/relationships/hyperlink" Target="https://card.yuyu-tei.jp/ws/front/pjs3.0/10065.jpg" TargetMode="External"/><Relationship Id="rId1253" Type="http://schemas.openxmlformats.org/officeDocument/2006/relationships/hyperlink" Target="https://tcgplayer-cdn.tcgplayer.com/product/595257_in_1000x1000.jpg" TargetMode="External"/><Relationship Id="rId421" Type="http://schemas.openxmlformats.org/officeDocument/2006/relationships/hyperlink" Target="https://img.yuyu-tei.jp/card_image/ws/front/gcrpb/10059.jpg" TargetMode="External"/><Relationship Id="rId663" Type="http://schemas.openxmlformats.org/officeDocument/2006/relationships/hyperlink" Target="https://tcgplayer-cdn.tcgplayer.com/product/267241_in_1000x1000.jpg" TargetMode="External"/><Relationship Id="rId1012" Type="http://schemas.openxmlformats.org/officeDocument/2006/relationships/hyperlink" Target="https://card.yuyu-tei.jp/ws/front/pjs3.0/10071.jpg" TargetMode="External"/><Relationship Id="rId1254" Type="http://schemas.openxmlformats.org/officeDocument/2006/relationships/hyperlink" Target="https://tcgplayer-cdn.tcgplayer.com/product/595054_in_1000x1000.jpg" TargetMode="External"/><Relationship Id="rId420" Type="http://schemas.openxmlformats.org/officeDocument/2006/relationships/hyperlink" Target="https://img.yuyu-tei.jp/card_image/ws/front/gcrpb/10042.jpg" TargetMode="External"/><Relationship Id="rId662" Type="http://schemas.openxmlformats.org/officeDocument/2006/relationships/hyperlink" Target="https://tcgplayer-cdn.tcgplayer.com/product/509149_in_1000x1000.jpg" TargetMode="External"/><Relationship Id="rId1013" Type="http://schemas.openxmlformats.org/officeDocument/2006/relationships/hyperlink" Target="https://card.yuyu-tei.jp/ws/front/pjs2.0/10060.jpg" TargetMode="External"/><Relationship Id="rId1255" Type="http://schemas.openxmlformats.org/officeDocument/2006/relationships/hyperlink" Target="https://card.yuyu-tei.jp/ws/front/symphogearxv/10002.jpg" TargetMode="External"/><Relationship Id="rId661" Type="http://schemas.openxmlformats.org/officeDocument/2006/relationships/hyperlink" Target="https://tcgplayer-cdn.tcgplayer.com/product/508712_in_1000x1000.jpg" TargetMode="External"/><Relationship Id="rId1014" Type="http://schemas.openxmlformats.org/officeDocument/2006/relationships/hyperlink" Target="https://card.yuyu-tei.jp/ws/front/pjs3.0/10001.jpg" TargetMode="External"/><Relationship Id="rId1256" Type="http://schemas.openxmlformats.org/officeDocument/2006/relationships/hyperlink" Target="https://card.yuyu-tei.jp/ws/front/symphogearxv/10027.jpg" TargetMode="External"/><Relationship Id="rId1004" Type="http://schemas.openxmlformats.org/officeDocument/2006/relationships/hyperlink" Target="https://card.yuyu-tei.jp/ws/front/pjs2.0/10060.jpg" TargetMode="External"/><Relationship Id="rId1246" Type="http://schemas.openxmlformats.org/officeDocument/2006/relationships/hyperlink" Target="https://tcgplayer-cdn.tcgplayer.com/product/595274_in_1000x1000.jpg" TargetMode="External"/><Relationship Id="rId1005" Type="http://schemas.openxmlformats.org/officeDocument/2006/relationships/hyperlink" Target="https://card.yuyu-tei.jp/ws/front/pjs3.0/10087.jpg" TargetMode="External"/><Relationship Id="rId1247" Type="http://schemas.openxmlformats.org/officeDocument/2006/relationships/hyperlink" Target="https://tcgplayer-cdn.tcgplayer.com/product/595280_in_1000x1000.jpg" TargetMode="External"/><Relationship Id="rId1006" Type="http://schemas.openxmlformats.org/officeDocument/2006/relationships/hyperlink" Target="https://card.yuyu-tei.jp/ws/front/pjs3.0/10095.jpg" TargetMode="External"/><Relationship Id="rId1248" Type="http://schemas.openxmlformats.org/officeDocument/2006/relationships/hyperlink" Target="https://tcgplayer-cdn.tcgplayer.com/product/595306_in_1000x1000.jpg" TargetMode="External"/><Relationship Id="rId1007" Type="http://schemas.openxmlformats.org/officeDocument/2006/relationships/hyperlink" Target="https://card.yuyu-tei.jp/ws/front/pjs2.0/10087.jpg" TargetMode="External"/><Relationship Id="rId1249" Type="http://schemas.openxmlformats.org/officeDocument/2006/relationships/hyperlink" Target="https://tcgplayer-cdn.tcgplayer.com/product/595195_in_1000x1000.jpg" TargetMode="External"/><Relationship Id="rId1008" Type="http://schemas.openxmlformats.org/officeDocument/2006/relationships/hyperlink" Target="https://card.yuyu-tei.jp/ws/front/pjs3.0/10005.jpg" TargetMode="External"/><Relationship Id="rId1009" Type="http://schemas.openxmlformats.org/officeDocument/2006/relationships/hyperlink" Target="https://card.yuyu-tei.jp/ws/front/pjs2.0/10103.jpg" TargetMode="External"/><Relationship Id="rId415" Type="http://schemas.openxmlformats.org/officeDocument/2006/relationships/hyperlink" Target="https://img.yuyu-tei.jp/card_image/ws/front/fujimif2.0/10082.jpg" TargetMode="External"/><Relationship Id="rId657" Type="http://schemas.openxmlformats.org/officeDocument/2006/relationships/hyperlink" Target="https://tcgplayer-cdn.tcgplayer.com/product/267187_in_1000x1000.jpg" TargetMode="External"/><Relationship Id="rId899" Type="http://schemas.openxmlformats.org/officeDocument/2006/relationships/hyperlink" Target="https://img.yuyu-tei.jp/card_image/ws/front/nik/10110.jpg" TargetMode="External"/><Relationship Id="rId414" Type="http://schemas.openxmlformats.org/officeDocument/2006/relationships/hyperlink" Target="https://img.yuyu-tei.jp/card_image/ws/front/fujimif2.0/10099.jpg" TargetMode="External"/><Relationship Id="rId656" Type="http://schemas.openxmlformats.org/officeDocument/2006/relationships/hyperlink" Target="https://tcgplayer-cdn.tcgplayer.com/product/267263_in_1000x1000.jpg" TargetMode="External"/><Relationship Id="rId898" Type="http://schemas.openxmlformats.org/officeDocument/2006/relationships/hyperlink" Target="https://tcgplayer-cdn.tcgplayer.com/product/110497_in_1000x1000.jpg" TargetMode="External"/><Relationship Id="rId413" Type="http://schemas.openxmlformats.org/officeDocument/2006/relationships/hyperlink" Target="https://img.yuyu-tei.jp/card_image/ws/front/fujimif2.0/10047.jpg" TargetMode="External"/><Relationship Id="rId655" Type="http://schemas.openxmlformats.org/officeDocument/2006/relationships/hyperlink" Target="https://tcgplayer-cdn.tcgplayer.com/product/509134_in_1000x1000.jpg" TargetMode="External"/><Relationship Id="rId897" Type="http://schemas.openxmlformats.org/officeDocument/2006/relationships/hyperlink" Target="https://tcgplayer-cdn.tcgplayer.com/product/110497_in_1000x1000.jpg" TargetMode="External"/><Relationship Id="rId412" Type="http://schemas.openxmlformats.org/officeDocument/2006/relationships/hyperlink" Target="https://img.yuyu-tei.jp/card_image/ws/front/fujimif2.0/10166.jpg" TargetMode="External"/><Relationship Id="rId654" Type="http://schemas.openxmlformats.org/officeDocument/2006/relationships/hyperlink" Target="https://tcgplayer-cdn.tcgplayer.com/product/267241_in_1000x1000.jpg" TargetMode="External"/><Relationship Id="rId896" Type="http://schemas.openxmlformats.org/officeDocument/2006/relationships/hyperlink" Target="https://tcgplayer-cdn.tcgplayer.com/product/110497_in_1000x1000.jpg" TargetMode="External"/><Relationship Id="rId419" Type="http://schemas.openxmlformats.org/officeDocument/2006/relationships/hyperlink" Target="https://img.yuyu-tei.jp/card_image/ws/front/gcrpb/10043.jpg" TargetMode="External"/><Relationship Id="rId418" Type="http://schemas.openxmlformats.org/officeDocument/2006/relationships/hyperlink" Target="https://img.yuyu-tei.jp/card_image/ws/front/gcrpb/10168.jpg" TargetMode="External"/><Relationship Id="rId417" Type="http://schemas.openxmlformats.org/officeDocument/2006/relationships/hyperlink" Target="https://img.yuyu-tei.jp/card_image/ws/front/fujimif2.0/10047.jpg" TargetMode="External"/><Relationship Id="rId659" Type="http://schemas.openxmlformats.org/officeDocument/2006/relationships/hyperlink" Target="https://img.yuyu-tei.jp/card_image/ws/front/holpb2.0/10048.jpg" TargetMode="External"/><Relationship Id="rId416" Type="http://schemas.openxmlformats.org/officeDocument/2006/relationships/hyperlink" Target="https://img.yuyu-tei.jp/card_image/ws/front/fujimif2.0/10047.jpg" TargetMode="External"/><Relationship Id="rId658" Type="http://schemas.openxmlformats.org/officeDocument/2006/relationships/hyperlink" Target="https://tcgplayer-cdn.tcgplayer.com/product/267327_in_1000x1000.jpg" TargetMode="External"/><Relationship Id="rId891" Type="http://schemas.openxmlformats.org/officeDocument/2006/relationships/hyperlink" Target="https://product-images.tcgplayer.com/fit-in/585x585/265125.jpg" TargetMode="External"/><Relationship Id="rId890" Type="http://schemas.openxmlformats.org/officeDocument/2006/relationships/hyperlink" Target="https://product-images.tcgplayer.com/fit-in/585x585/265068.jpg" TargetMode="External"/><Relationship Id="rId1240" Type="http://schemas.openxmlformats.org/officeDocument/2006/relationships/hyperlink" Target="https://tcgplayer-cdn.tcgplayer.com/product/595195_in_1000x1000.jpg" TargetMode="External"/><Relationship Id="rId1241" Type="http://schemas.openxmlformats.org/officeDocument/2006/relationships/hyperlink" Target="https://tcgplayer-cdn.tcgplayer.com/product/595257_in_1000x1000.jpg" TargetMode="External"/><Relationship Id="rId411" Type="http://schemas.openxmlformats.org/officeDocument/2006/relationships/hyperlink" Target="https://img.yuyu-tei.jp/card_image/ws/front/fujimif2.0/10127.jpg" TargetMode="External"/><Relationship Id="rId653" Type="http://schemas.openxmlformats.org/officeDocument/2006/relationships/hyperlink" Target="https://tcgplayer-cdn.tcgplayer.com/product/509149_in_1000x1000.jpg" TargetMode="External"/><Relationship Id="rId895" Type="http://schemas.openxmlformats.org/officeDocument/2006/relationships/hyperlink" Target="https://tcgplayer-cdn.tcgplayer.com/product/265096_in_1000x1000.jpg" TargetMode="External"/><Relationship Id="rId1000" Type="http://schemas.openxmlformats.org/officeDocument/2006/relationships/hyperlink" Target="https://tcgplayer-cdn.tcgplayer.com/product/639017_in_1000x1000.jpg" TargetMode="External"/><Relationship Id="rId1242" Type="http://schemas.openxmlformats.org/officeDocument/2006/relationships/hyperlink" Target="https://tcgplayer-cdn.tcgplayer.com/product/595197_in_1000x1000.jpg" TargetMode="External"/><Relationship Id="rId410" Type="http://schemas.openxmlformats.org/officeDocument/2006/relationships/hyperlink" Target="https://img.yuyu-tei.jp/card_image/ws/front/fujimif2.0/10018.jpg" TargetMode="External"/><Relationship Id="rId652" Type="http://schemas.openxmlformats.org/officeDocument/2006/relationships/hyperlink" Target="https://tcgplayer-cdn.tcgplayer.com/product/509134_in_1000x1000.jpg" TargetMode="External"/><Relationship Id="rId894" Type="http://schemas.openxmlformats.org/officeDocument/2006/relationships/hyperlink" Target="https://tcgplayer-cdn.tcgplayer.com/product/265136_in_1000x1000.jpg" TargetMode="External"/><Relationship Id="rId1001" Type="http://schemas.openxmlformats.org/officeDocument/2006/relationships/hyperlink" Target="https://tcgplayer-cdn.tcgplayer.com/product/639245_in_1000x1000.jpg" TargetMode="External"/><Relationship Id="rId1243" Type="http://schemas.openxmlformats.org/officeDocument/2006/relationships/hyperlink" Target="https://tcgplayer-cdn.tcgplayer.com/product/595195_in_1000x1000.jpg" TargetMode="External"/><Relationship Id="rId651" Type="http://schemas.openxmlformats.org/officeDocument/2006/relationships/hyperlink" Target="https://tcgplayer-cdn.tcgplayer.com/product/267185_in_1000x1000.jpg" TargetMode="External"/><Relationship Id="rId893" Type="http://schemas.openxmlformats.org/officeDocument/2006/relationships/hyperlink" Target="https://tcgplayer-cdn.tcgplayer.com/product/265068_in_1000x1000.jpg" TargetMode="External"/><Relationship Id="rId1002" Type="http://schemas.openxmlformats.org/officeDocument/2006/relationships/hyperlink" Target="https://card.yuyu-tei.jp/ws/front/pjs3.0/10005.jpg" TargetMode="External"/><Relationship Id="rId1244" Type="http://schemas.openxmlformats.org/officeDocument/2006/relationships/hyperlink" Target="https://tcgplayer-cdn.tcgplayer.com/product/595257_in_1000x1000.jpg" TargetMode="External"/><Relationship Id="rId650" Type="http://schemas.openxmlformats.org/officeDocument/2006/relationships/hyperlink" Target="https://tcgplayer-cdn.tcgplayer.com/product/267578_in_1000x1000.jpg" TargetMode="External"/><Relationship Id="rId892" Type="http://schemas.openxmlformats.org/officeDocument/2006/relationships/hyperlink" Target="https://product-images.tcgplayer.com/fit-in/585x585/265096.jpg" TargetMode="External"/><Relationship Id="rId1003" Type="http://schemas.openxmlformats.org/officeDocument/2006/relationships/hyperlink" Target="https://card.yuyu-tei.jp/ws/front/pjs2.0/10103.jpg" TargetMode="External"/><Relationship Id="rId1245" Type="http://schemas.openxmlformats.org/officeDocument/2006/relationships/hyperlink" Target="https://tcgplayer-cdn.tcgplayer.com/product/595306_in_1000x1000.jpg" TargetMode="External"/><Relationship Id="rId1037" Type="http://schemas.openxmlformats.org/officeDocument/2006/relationships/hyperlink" Target="https://img.yuyu-tei.jp/card_image/ws/front/pjs2.0/10060.jpg" TargetMode="External"/><Relationship Id="rId1279" Type="http://schemas.openxmlformats.org/officeDocument/2006/relationships/hyperlink" Target="https://product-images.tcgplayer.com/fit-in/585x585/filters:quality(1)/532248.jpg" TargetMode="External"/><Relationship Id="rId1038" Type="http://schemas.openxmlformats.org/officeDocument/2006/relationships/hyperlink" Target="https://img.yuyu-tei.jp/card_image/ws/front/pjs2.0/10001.jpg" TargetMode="External"/><Relationship Id="rId1039" Type="http://schemas.openxmlformats.org/officeDocument/2006/relationships/hyperlink" Target="https://img.yuyu-tei.jp/card_image/ws/front/pjs2.0/10004.jpg" TargetMode="External"/><Relationship Id="rId206" Type="http://schemas.openxmlformats.org/officeDocument/2006/relationships/hyperlink" Target="https://tcgplayer-cdn.tcgplayer.com/product/491004_in_1000x1000.jpg" TargetMode="External"/><Relationship Id="rId448" Type="http://schemas.openxmlformats.org/officeDocument/2006/relationships/hyperlink" Target="https://img.yuyu-tei.jp/card_image/ws/front/ggoext/10026.jpg" TargetMode="External"/><Relationship Id="rId205" Type="http://schemas.openxmlformats.org/officeDocument/2006/relationships/hyperlink" Target="https://tcgplayer-cdn.tcgplayer.com/product/644031_in_1000x1000.jpg" TargetMode="External"/><Relationship Id="rId447" Type="http://schemas.openxmlformats.org/officeDocument/2006/relationships/hyperlink" Target="https://img.yuyu-tei.jp/card_image/ws/front/ggo/10125.jpg" TargetMode="External"/><Relationship Id="rId689" Type="http://schemas.openxmlformats.org/officeDocument/2006/relationships/hyperlink" Target="https://card.yuyu-tei.jp/ws/front/impb/10055.jpg" TargetMode="External"/><Relationship Id="rId204" Type="http://schemas.openxmlformats.org/officeDocument/2006/relationships/hyperlink" Target="https://tcgplayer-cdn.tcgplayer.com/product/173271_in_1000x1000.jpg" TargetMode="External"/><Relationship Id="rId446" Type="http://schemas.openxmlformats.org/officeDocument/2006/relationships/hyperlink" Target="https://img.yuyu-tei.jp/card_image/ws/front/ggoext/10041.jpg" TargetMode="External"/><Relationship Id="rId688" Type="http://schemas.openxmlformats.org/officeDocument/2006/relationships/hyperlink" Target="https://card.yuyu-tei.jp/ws/front/impb/10032.jpg" TargetMode="External"/><Relationship Id="rId203" Type="http://schemas.openxmlformats.org/officeDocument/2006/relationships/hyperlink" Target="https://tcgplayer-cdn.tcgplayer.com/product/643965_in_1000x1000.jpg" TargetMode="External"/><Relationship Id="rId445" Type="http://schemas.openxmlformats.org/officeDocument/2006/relationships/hyperlink" Target="https://img.yuyu-tei.jp/card_image/ws/front/ggoext/10022.jpg" TargetMode="External"/><Relationship Id="rId687" Type="http://schemas.openxmlformats.org/officeDocument/2006/relationships/hyperlink" Target="https://img.yuyu-tei.jp/card_image/ws/front/imc3.0/10238.jpg" TargetMode="External"/><Relationship Id="rId209" Type="http://schemas.openxmlformats.org/officeDocument/2006/relationships/hyperlink" Target="https://tcgplayer-cdn.tcgplayer.com/product/644134_in_1000x1000.jpg" TargetMode="External"/><Relationship Id="rId208" Type="http://schemas.openxmlformats.org/officeDocument/2006/relationships/hyperlink" Target="https://tcgplayer-cdn.tcgplayer.com/product/644131_in_1000x1000.jpg" TargetMode="External"/><Relationship Id="rId207" Type="http://schemas.openxmlformats.org/officeDocument/2006/relationships/hyperlink" Target="https://tcgplayer-cdn.tcgplayer.com/product/491175_in_1000x1000.jpg" TargetMode="External"/><Relationship Id="rId449" Type="http://schemas.openxmlformats.org/officeDocument/2006/relationships/hyperlink" Target="https://tcgplayer-cdn.tcgplayer.com/product/528805_in_1000x1000.jpg" TargetMode="External"/><Relationship Id="rId1270" Type="http://schemas.openxmlformats.org/officeDocument/2006/relationships/hyperlink" Target="https://product-images.tcgplayer.com/fit-in/818x818/532248.jpg" TargetMode="External"/><Relationship Id="rId440" Type="http://schemas.openxmlformats.org/officeDocument/2006/relationships/hyperlink" Target="https://img.yuyu-tei.jp/card_image/ws/front/ggoext/10004.jpg" TargetMode="External"/><Relationship Id="rId682" Type="http://schemas.openxmlformats.org/officeDocument/2006/relationships/hyperlink" Target="https://tcgplayer-cdn.tcgplayer.com/product/115603_in_1000x1000.jpg" TargetMode="External"/><Relationship Id="rId1271" Type="http://schemas.openxmlformats.org/officeDocument/2006/relationships/hyperlink" Target="https://product-images.tcgplayer.com/fit-in/818x818/532133.jpg" TargetMode="External"/><Relationship Id="rId681" Type="http://schemas.openxmlformats.org/officeDocument/2006/relationships/hyperlink" Target="https://card.yuyu-tei.jp/ws/front/imcpb/10041.jpg" TargetMode="External"/><Relationship Id="rId1030" Type="http://schemas.openxmlformats.org/officeDocument/2006/relationships/hyperlink" Target="https://img.yuyu-tei.jp/card_image/ws/front/pjs2.0/10004.jpg" TargetMode="External"/><Relationship Id="rId1272" Type="http://schemas.openxmlformats.org/officeDocument/2006/relationships/hyperlink" Target="https://product-images.tcgplayer.com/fit-in/818x818/532191.jpg" TargetMode="External"/><Relationship Id="rId680" Type="http://schemas.openxmlformats.org/officeDocument/2006/relationships/hyperlink" Target="https://card.yuyu-tei.jp/ws/front/imcpb/10034.jpg" TargetMode="External"/><Relationship Id="rId1031" Type="http://schemas.openxmlformats.org/officeDocument/2006/relationships/hyperlink" Target="https://img.yuyu-tei.jp/card_image/ws/front/pjs/10119.jpg" TargetMode="External"/><Relationship Id="rId1273" Type="http://schemas.openxmlformats.org/officeDocument/2006/relationships/hyperlink" Target="https://product-images.tcgplayer.com/fit-in/804x804/filters:quality(1)/532248.jpg" TargetMode="External"/><Relationship Id="rId1032" Type="http://schemas.openxmlformats.org/officeDocument/2006/relationships/hyperlink" Target="https://img.yuyu-tei.jp/card_image/ws/front/pjs/10173.jpg" TargetMode="External"/><Relationship Id="rId1274" Type="http://schemas.openxmlformats.org/officeDocument/2006/relationships/hyperlink" Target="https://product-images.tcgplayer.com/fit-in/804x804/filters:quality(1)/532133.jpg" TargetMode="External"/><Relationship Id="rId202" Type="http://schemas.openxmlformats.org/officeDocument/2006/relationships/hyperlink" Target="https://tcgplayer-cdn.tcgplayer.com/product/644162_in_1000x1000.jpg" TargetMode="External"/><Relationship Id="rId444" Type="http://schemas.openxmlformats.org/officeDocument/2006/relationships/hyperlink" Target="https://img.yuyu-tei.jp/card_image/ws/front/ggo/10125.jpg" TargetMode="External"/><Relationship Id="rId686" Type="http://schemas.openxmlformats.org/officeDocument/2006/relationships/hyperlink" Target="https://img.yuyu-tei.jp/card_image/ws/front/imc3.0/10236.jpg" TargetMode="External"/><Relationship Id="rId1033" Type="http://schemas.openxmlformats.org/officeDocument/2006/relationships/hyperlink" Target="https://img.yuyu-tei.jp/card_image/ws/front/pjs/10217.jpg" TargetMode="External"/><Relationship Id="rId1275" Type="http://schemas.openxmlformats.org/officeDocument/2006/relationships/hyperlink" Target="https://product-images.tcgplayer.com/fit-in/1078x1078/532403.jpg" TargetMode="External"/><Relationship Id="rId201" Type="http://schemas.openxmlformats.org/officeDocument/2006/relationships/hyperlink" Target="https://tcgplayer-cdn.tcgplayer.com/product/644055_in_1000x1000.jpg" TargetMode="External"/><Relationship Id="rId443" Type="http://schemas.openxmlformats.org/officeDocument/2006/relationships/hyperlink" Target="https://img.yuyu-tei.jp/card_image/ws/front/ggoext/10041.jpg" TargetMode="External"/><Relationship Id="rId685" Type="http://schemas.openxmlformats.org/officeDocument/2006/relationships/hyperlink" Target="https://img.yuyu-tei.jp/card_image/ws/front/imc3.0/10031.jpg" TargetMode="External"/><Relationship Id="rId1034" Type="http://schemas.openxmlformats.org/officeDocument/2006/relationships/hyperlink" Target="https://img.yuyu-tei.jp/card_image/ws/front/pjs/10172.jpg" TargetMode="External"/><Relationship Id="rId1276" Type="http://schemas.openxmlformats.org/officeDocument/2006/relationships/hyperlink" Target="https://product-images.tcgplayer.com/fit-in/585x585/filters:quality(1)/532248.jpg" TargetMode="External"/><Relationship Id="rId200" Type="http://schemas.openxmlformats.org/officeDocument/2006/relationships/hyperlink" Target="https://tcgplayer-cdn.tcgplayer.com/product/643965_in_1000x1000.jpg" TargetMode="External"/><Relationship Id="rId442" Type="http://schemas.openxmlformats.org/officeDocument/2006/relationships/hyperlink" Target="https://img.yuyu-tei.jp/card_image/ws/front/ggoext/10022.jpg" TargetMode="External"/><Relationship Id="rId684" Type="http://schemas.openxmlformats.org/officeDocument/2006/relationships/hyperlink" Target="https://tcgplayer-cdn.tcgplayer.com/product/115605_in_1000x1000.jpg" TargetMode="External"/><Relationship Id="rId1035" Type="http://schemas.openxmlformats.org/officeDocument/2006/relationships/hyperlink" Target="https://img.yuyu-tei.jp/card_image/ws/front/pjs2.0/10004.jpg" TargetMode="External"/><Relationship Id="rId1277" Type="http://schemas.openxmlformats.org/officeDocument/2006/relationships/hyperlink" Target="https://product-images.tcgplayer.com/fit-in/585x585/filters:quality(1)/532133.jpg" TargetMode="External"/><Relationship Id="rId441" Type="http://schemas.openxmlformats.org/officeDocument/2006/relationships/hyperlink" Target="https://img.yuyu-tei.jp/card_image/ws/front/ggoext/10042.jpg" TargetMode="External"/><Relationship Id="rId683" Type="http://schemas.openxmlformats.org/officeDocument/2006/relationships/hyperlink" Target="https://tcgplayer-cdn.tcgplayer.com/product/115614_in_1000x1000.jpg" TargetMode="External"/><Relationship Id="rId1036" Type="http://schemas.openxmlformats.org/officeDocument/2006/relationships/hyperlink" Target="https://img.yuyu-tei.jp/card_image/ws/front/pjs/10058.jpg" TargetMode="External"/><Relationship Id="rId1278" Type="http://schemas.openxmlformats.org/officeDocument/2006/relationships/hyperlink" Target="https://product-images.tcgplayer.com/fit-in/585x585/filters:quality(1)/532256.jpg" TargetMode="External"/><Relationship Id="rId1026" Type="http://schemas.openxmlformats.org/officeDocument/2006/relationships/hyperlink" Target="https://img.yuyu-tei.jp/card_image/ws/front/pjs2.0/10001.jpg" TargetMode="External"/><Relationship Id="rId1268" Type="http://schemas.openxmlformats.org/officeDocument/2006/relationships/hyperlink" Target="https://card.yuyu-tei.jp/ws/front/spy/10074.jpg" TargetMode="External"/><Relationship Id="rId1027" Type="http://schemas.openxmlformats.org/officeDocument/2006/relationships/hyperlink" Target="https://img.yuyu-tei.jp/card_image/ws/front/pjs2.0/10004.jpg" TargetMode="External"/><Relationship Id="rId1269" Type="http://schemas.openxmlformats.org/officeDocument/2006/relationships/hyperlink" Target="https://tcgplayer-cdn.tcgplayer.com/product/532486_in_1000x1000.jpg" TargetMode="External"/><Relationship Id="rId1028" Type="http://schemas.openxmlformats.org/officeDocument/2006/relationships/hyperlink" Target="https://img.yuyu-tei.jp/card_image/ws/front/pjs2.0/10002.jpg" TargetMode="External"/><Relationship Id="rId1029" Type="http://schemas.openxmlformats.org/officeDocument/2006/relationships/hyperlink" Target="https://img.yuyu-tei.jp/card_image/ws/front/pjs2.0/10001.jpg" TargetMode="External"/><Relationship Id="rId437" Type="http://schemas.openxmlformats.org/officeDocument/2006/relationships/hyperlink" Target="https://img.yuyu-tei.jp/card_image/ws/front/ggoext/10041.jpg" TargetMode="External"/><Relationship Id="rId679" Type="http://schemas.openxmlformats.org/officeDocument/2006/relationships/hyperlink" Target="https://card.yuyu-tei.jp/ws/front/imcpb/10051.jpg" TargetMode="External"/><Relationship Id="rId436" Type="http://schemas.openxmlformats.org/officeDocument/2006/relationships/hyperlink" Target="https://img.yuyu-tei.jp/card_image/ws/front/ggoext/10004.jpg" TargetMode="External"/><Relationship Id="rId678" Type="http://schemas.openxmlformats.org/officeDocument/2006/relationships/hyperlink" Target="https://card.yuyu-tei.jp/ws/front/imcpb/10041.jpg" TargetMode="External"/><Relationship Id="rId435" Type="http://schemas.openxmlformats.org/officeDocument/2006/relationships/hyperlink" Target="https://img.yuyu-tei.jp/card_image/ws/front/ggoext/10022.jpg" TargetMode="External"/><Relationship Id="rId677" Type="http://schemas.openxmlformats.org/officeDocument/2006/relationships/hyperlink" Target="https://card.yuyu-tei.jp/ws/front/imcpb/10067.jpg" TargetMode="External"/><Relationship Id="rId434" Type="http://schemas.openxmlformats.org/officeDocument/2006/relationships/hyperlink" Target="https://img.yuyu-tei.jp/card_image/ws/front/ggoext/10042.jpg" TargetMode="External"/><Relationship Id="rId676" Type="http://schemas.openxmlformats.org/officeDocument/2006/relationships/hyperlink" Target="https://card.yuyu-tei.jp/ws/front/imc3.0/10191.jpg" TargetMode="External"/><Relationship Id="rId439" Type="http://schemas.openxmlformats.org/officeDocument/2006/relationships/hyperlink" Target="https://img.yuyu-tei.jp/card_image/ws/front/ggoext/10047.jpg" TargetMode="External"/><Relationship Id="rId438" Type="http://schemas.openxmlformats.org/officeDocument/2006/relationships/hyperlink" Target="https://img.yuyu-tei.jp/card_image/ws/front/ggo/10125.jpg" TargetMode="External"/><Relationship Id="rId671" Type="http://schemas.openxmlformats.org/officeDocument/2006/relationships/hyperlink" Target="https://img.yuyu-tei.jp/card_image/ws/front/imc3.0/10236.jpg" TargetMode="External"/><Relationship Id="rId1260" Type="http://schemas.openxmlformats.org/officeDocument/2006/relationships/hyperlink" Target="https://product-images.tcgplayer.com/fit-in/437x437/494067.jpg" TargetMode="External"/><Relationship Id="rId670" Type="http://schemas.openxmlformats.org/officeDocument/2006/relationships/hyperlink" Target="https://img.yuyu-tei.jp/card_image/ws/front/imc3.0/10031.jpg" TargetMode="External"/><Relationship Id="rId1261" Type="http://schemas.openxmlformats.org/officeDocument/2006/relationships/hyperlink" Target="https://tcgplayer-cdn.tcgplayer.com/product/544105_in_1000x1000.jpg" TargetMode="External"/><Relationship Id="rId1020" Type="http://schemas.openxmlformats.org/officeDocument/2006/relationships/hyperlink" Target="https://card.yuyu-tei.jp/ws/front/pjs3.0/10035.jpg" TargetMode="External"/><Relationship Id="rId1262" Type="http://schemas.openxmlformats.org/officeDocument/2006/relationships/hyperlink" Target="https://tcgplayer-cdn.tcgplayer.com/product/544116_in_1000x1000.jpg" TargetMode="External"/><Relationship Id="rId1021" Type="http://schemas.openxmlformats.org/officeDocument/2006/relationships/hyperlink" Target="https://card.yuyu-tei.jp/ws/front/pjs3.0/10044.jpg" TargetMode="External"/><Relationship Id="rId1263" Type="http://schemas.openxmlformats.org/officeDocument/2006/relationships/hyperlink" Target="https://tcgplayer-cdn.tcgplayer.com/product/544027_in_1000x1000.jpg" TargetMode="External"/><Relationship Id="rId433" Type="http://schemas.openxmlformats.org/officeDocument/2006/relationships/hyperlink" Target="https://img.yuyu-tei.jp/card_image/ws/front/ggoext/10004.jpg" TargetMode="External"/><Relationship Id="rId675" Type="http://schemas.openxmlformats.org/officeDocument/2006/relationships/hyperlink" Target="https://card.yuyu-tei.jp/ws/front/imcpb/10041.jpg" TargetMode="External"/><Relationship Id="rId1022" Type="http://schemas.openxmlformats.org/officeDocument/2006/relationships/hyperlink" Target="https://card.yuyu-tei.jp/ws/front/pjs3.0/10033.jpg" TargetMode="External"/><Relationship Id="rId1264" Type="http://schemas.openxmlformats.org/officeDocument/2006/relationships/hyperlink" Target="https://tcgplayer-cdn.tcgplayer.com/product/591452_in_1000x1000.jpg" TargetMode="External"/><Relationship Id="rId432" Type="http://schemas.openxmlformats.org/officeDocument/2006/relationships/hyperlink" Target="https://img.yuyu-tei.jp/card_image/ws/front/gcrpb/10042.jpg" TargetMode="External"/><Relationship Id="rId674" Type="http://schemas.openxmlformats.org/officeDocument/2006/relationships/hyperlink" Target="https://card.yuyu-tei.jp/ws/front/imcpb/10042.jpg" TargetMode="External"/><Relationship Id="rId1023" Type="http://schemas.openxmlformats.org/officeDocument/2006/relationships/hyperlink" Target="https://img.yuyu-tei.jp/card_image/ws/front/pjs/10153.jpg" TargetMode="External"/><Relationship Id="rId1265" Type="http://schemas.openxmlformats.org/officeDocument/2006/relationships/hyperlink" Target="https://tcgplayer-cdn.tcgplayer.com/product/591536_in_1000x1000.jpg" TargetMode="External"/><Relationship Id="rId431" Type="http://schemas.openxmlformats.org/officeDocument/2006/relationships/hyperlink" Target="https://card.yuyu-tei.jp/ws/front/gcrpb/10011.jpg" TargetMode="External"/><Relationship Id="rId673" Type="http://schemas.openxmlformats.org/officeDocument/2006/relationships/hyperlink" Target="https://card.yuyu-tei.jp/ws/front/imcpb/10034.jpg" TargetMode="External"/><Relationship Id="rId1024" Type="http://schemas.openxmlformats.org/officeDocument/2006/relationships/hyperlink" Target="https://img.yuyu-tei.jp/card_image/ws/front/pjs/10147.jpg" TargetMode="External"/><Relationship Id="rId1266" Type="http://schemas.openxmlformats.org/officeDocument/2006/relationships/hyperlink" Target="https://tcgplayer-cdn.tcgplayer.com/product/591449_in_1000x1000.jpg" TargetMode="External"/><Relationship Id="rId430" Type="http://schemas.openxmlformats.org/officeDocument/2006/relationships/hyperlink" Target="https://card.yuyu-tei.jp/ws/front/gcrpb/10038.jpg" TargetMode="External"/><Relationship Id="rId672" Type="http://schemas.openxmlformats.org/officeDocument/2006/relationships/hyperlink" Target="https://card.yuyu-tei.jp/ws/front/imcpb/10065.jpg" TargetMode="External"/><Relationship Id="rId1025" Type="http://schemas.openxmlformats.org/officeDocument/2006/relationships/hyperlink" Target="https://img.yuyu-tei.jp/card_image/ws/front/pjs/10341.jpg" TargetMode="External"/><Relationship Id="rId1267" Type="http://schemas.openxmlformats.org/officeDocument/2006/relationships/hyperlink" Target="https://tcgplayer-cdn.tcgplayer.com/product/532248_in_1000x100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88"/>
    <col customWidth="1" min="3" max="9" width="12.63"/>
    <col customWidth="1" min="10" max="10" width="15.25"/>
    <col customWidth="1" min="11" max="12" width="13.63"/>
    <col customWidth="1" min="13" max="13" width="11.25"/>
    <col customWidth="1" min="14" max="16" width="12.63"/>
    <col customWidth="1" min="17" max="18" width="13.75"/>
    <col customWidth="1" hidden="1" min="19" max="26" width="7.6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2"/>
      <c r="L1" s="2"/>
      <c r="M1" s="3"/>
      <c r="N1" s="4"/>
      <c r="O1" s="6" t="s">
        <v>2</v>
      </c>
      <c r="P1" s="2"/>
      <c r="Q1" s="2"/>
      <c r="R1" s="3"/>
    </row>
    <row r="2">
      <c r="A2" s="7" t="s">
        <v>3</v>
      </c>
      <c r="B2" s="2"/>
      <c r="C2" s="2"/>
      <c r="D2" s="2"/>
      <c r="E2" s="2"/>
      <c r="F2" s="2"/>
      <c r="G2" s="2"/>
      <c r="H2" s="3"/>
      <c r="I2" s="8"/>
      <c r="J2" s="9"/>
      <c r="K2" s="2"/>
      <c r="L2" s="2"/>
      <c r="M2" s="3"/>
      <c r="N2" s="8"/>
      <c r="O2" s="10"/>
      <c r="P2" s="2"/>
      <c r="Q2" s="2"/>
      <c r="R2" s="3"/>
    </row>
    <row r="3">
      <c r="A3" s="11" t="s">
        <v>4</v>
      </c>
      <c r="B3" s="11" t="s">
        <v>5</v>
      </c>
      <c r="C3" s="12" t="s">
        <v>6</v>
      </c>
      <c r="D3" s="11" t="s">
        <v>7</v>
      </c>
      <c r="E3" s="13" t="s">
        <v>8</v>
      </c>
      <c r="F3" s="12" t="s">
        <v>9</v>
      </c>
      <c r="G3" s="12" t="s">
        <v>10</v>
      </c>
      <c r="H3" s="12" t="s">
        <v>11</v>
      </c>
      <c r="I3" s="8"/>
      <c r="J3" s="14" t="s">
        <v>12</v>
      </c>
      <c r="K3" s="15" t="s">
        <v>13</v>
      </c>
      <c r="L3" s="15" t="s">
        <v>14</v>
      </c>
      <c r="M3" s="15" t="s">
        <v>15</v>
      </c>
      <c r="N3" s="8"/>
      <c r="O3" s="16" t="s">
        <v>4</v>
      </c>
      <c r="P3" s="15" t="s">
        <v>13</v>
      </c>
      <c r="Q3" s="15" t="s">
        <v>16</v>
      </c>
      <c r="R3" s="17" t="s">
        <v>17</v>
      </c>
    </row>
    <row r="4" ht="90.0" customHeight="1">
      <c r="A4" s="18" t="str">
        <f>IFERROR(__xludf.DUMMYFUNCTION("QUERY(
 Set_Stats!E4:K1000,
 ""SELECT Col1,Col2,Col6,Col7,Col5
  WHERE Col6 &gt;= 10
  AND Col1 &lt;&gt; '?'
  AND Col2 &lt;&gt; '?'
  ORDER BY Col7 DESC"",
 0
)"),"OSK")</f>
        <v>OSK</v>
      </c>
      <c r="B4" s="18" t="str">
        <f>IFERROR(__xludf.DUMMYFUNCTION("""COMPUTED_VALUE"""),"Door Pants")</f>
        <v>Door Pants</v>
      </c>
      <c r="C4" s="19">
        <f>IFERROR(__xludf.DUMMYFUNCTION("""COMPUTED_VALUE"""),31.0)</f>
        <v>31</v>
      </c>
      <c r="D4" s="20">
        <f>IFERROR(__xludf.DUMMYFUNCTION("""COMPUTED_VALUE"""),0.501406855599508)</f>
        <v>0.5014068556</v>
      </c>
      <c r="E4" s="21">
        <f>IFERROR(__xludf.DUMMYFUNCTION("""COMPUTED_VALUE"""),0.6774193548387096)</f>
        <v>0.6774193548</v>
      </c>
      <c r="F4" s="22" t="str">
        <f>IFERROR(__xludf.DUMMYFUNCTION("IF(A4="""","""",IMAGE(QUERY('Deck Info'!A:F,""SELECT D WHERE A = '""&amp;A4&amp;""' AND B = '""&amp;B4&amp;""'"")))"),"")</f>
        <v/>
      </c>
      <c r="G4" s="22" t="str">
        <f>IFERROR(__xludf.DUMMYFUNCTION("IF(A4="""","""",IMAGE(QUERY('Deck Info'!A:F,""SELECT E WHERE A = '""&amp;A4&amp;""' AND B = '""&amp;B4&amp;""'"")))"),"")</f>
        <v/>
      </c>
      <c r="H4" s="22" t="str">
        <f>IFERROR(__xludf.DUMMYFUNCTION("IF(A4="""","""",IMAGE(QUERY('Deck Info'!A:F,""SELECT F WHERE A = '""&amp;A4&amp;""' AND B = '""&amp;B4&amp;""'"")))"),"")</f>
        <v/>
      </c>
      <c r="I4" s="8"/>
      <c r="J4" s="23" t="str">
        <f>IFERROR(__xludf.DUMMYFUNCTION("QUERY(
 'Raw Data'!N:S,
 ""SELECT Col1,Col2,Col6
  ORDER BY Col2 DESC
  LIMIT 20"",
 0
)"),"Kartoffel")</f>
        <v>Kartoffel</v>
      </c>
      <c r="K4" s="23">
        <f>IFERROR(__xludf.DUMMYFUNCTION("""COMPUTED_VALUE"""),30.0)</f>
        <v>30</v>
      </c>
      <c r="L4" s="23">
        <f>IFERROR(__xludf.DUMMYFUNCTION("""COMPUTED_VALUE"""),3.0)</f>
        <v>3</v>
      </c>
      <c r="M4" s="24" t="str">
        <f>IFERROR(__xludf.DUMMYFUNCTION("IMAGE(QUERY('Player Refs'!A:B,""SELECT B WHERE A = '""&amp;J4&amp;""'"",0))"),"")</f>
        <v/>
      </c>
      <c r="N4" s="8"/>
      <c r="O4" s="25" t="str">
        <f>IFERROR(__xludf.DUMMYFUNCTION("QUERY(
 Set_Stats!A:C,
 ""SELECT A,B,C
  WHERE A IS NOT NULL
  ORDER BY B DESC
  LIMIT 10"",
 0
)"),"?")</f>
        <v>?</v>
      </c>
      <c r="P4" s="22">
        <f>IFERROR(__xludf.DUMMYFUNCTION("""COMPUTED_VALUE"""),87.0)</f>
        <v>87</v>
      </c>
      <c r="Q4" s="26">
        <f>IFERROR(__xludf.DUMMYFUNCTION("""COMPUTED_VALUE"""),15.0)</f>
        <v>15</v>
      </c>
      <c r="R4" s="26" t="str">
        <f>IFERROR(__xludf.DUMMYFUNCTION("IMAGE(QUERY('Set Refs'!A:B,""SELECT B WHERE A = '""&amp;O4&amp;""'"",0))"),"")</f>
        <v/>
      </c>
    </row>
    <row r="5" ht="90.0" customHeight="1">
      <c r="A5" s="27" t="str">
        <f>IFERROR(__xludf.DUMMYFUNCTION("""COMPUTED_VALUE"""),"EIS")</f>
        <v>EIS</v>
      </c>
      <c r="B5" s="27" t="str">
        <f>IFERROR(__xludf.DUMMYFUNCTION("""COMPUTED_VALUE"""),"8 Door TD")</f>
        <v>8 Door TD</v>
      </c>
      <c r="C5" s="28">
        <f>IFERROR(__xludf.DUMMYFUNCTION("""COMPUTED_VALUE"""),12.0)</f>
        <v>12</v>
      </c>
      <c r="D5" s="29">
        <f>IFERROR(__xludf.DUMMYFUNCTION("""COMPUTED_VALUE"""),0.4676896608793401)</f>
        <v>0.4676896609</v>
      </c>
      <c r="E5" s="30">
        <f>IFERROR(__xludf.DUMMYFUNCTION("""COMPUTED_VALUE"""),0.75)</f>
        <v>0.75</v>
      </c>
      <c r="F5" s="31" t="str">
        <f>IFERROR(__xludf.DUMMYFUNCTION("IF(A5="""","""",IMAGE(QUERY('Deck Info'!A:F,""SELECT D WHERE A = '""&amp;A5&amp;""' AND B = '""&amp;B5&amp;""'"")))"),"")</f>
        <v/>
      </c>
      <c r="G5" s="31" t="str">
        <f>IFERROR(__xludf.DUMMYFUNCTION("IF(A5="""","""",IMAGE(QUERY('Deck Info'!A:F,""SELECT E WHERE A = '""&amp;A5&amp;""' AND B = '""&amp;B5&amp;""'"")))"),"")</f>
        <v/>
      </c>
      <c r="H5" s="31" t="str">
        <f>IFERROR(__xludf.DUMMYFUNCTION("IF(A5="""","""",IMAGE(QUERY('Deck Info'!A:F,""SELECT F WHERE A = '""&amp;A5&amp;""' AND B = '""&amp;B5&amp;""'"")))"),"")</f>
        <v/>
      </c>
      <c r="I5" s="8"/>
      <c r="J5" s="32" t="str">
        <f>IFERROR(__xludf.DUMMYFUNCTION("""COMPUTED_VALUE"""),"Kururu")</f>
        <v>Kururu</v>
      </c>
      <c r="K5" s="32">
        <f>IFERROR(__xludf.DUMMYFUNCTION("""COMPUTED_VALUE"""),26.0)</f>
        <v>26</v>
      </c>
      <c r="L5" s="32">
        <f>IFERROR(__xludf.DUMMYFUNCTION("""COMPUTED_VALUE"""),4.0)</f>
        <v>4</v>
      </c>
      <c r="M5" s="24" t="str">
        <f>IFERROR(__xludf.DUMMYFUNCTION("IMAGE(QUERY('Player Refs'!A:B,""SELECT B WHERE A = '""&amp;J5&amp;""'"",0))"),"")</f>
        <v/>
      </c>
      <c r="N5" s="8"/>
      <c r="O5" s="31" t="str">
        <f>IFERROR(__xludf.DUMMYFUNCTION("""COMPUTED_VALUE"""),"EIS")</f>
        <v>EIS</v>
      </c>
      <c r="P5" s="31">
        <f>IFERROR(__xludf.DUMMYFUNCTION("""COMPUTED_VALUE"""),81.0)</f>
        <v>81</v>
      </c>
      <c r="Q5" s="26">
        <f>IFERROR(__xludf.DUMMYFUNCTION("""COMPUTED_VALUE"""),7.0)</f>
        <v>7</v>
      </c>
      <c r="R5" s="26" t="str">
        <f>IFERROR(__xludf.DUMMYFUNCTION("IMAGE(QUERY('Set Refs'!A:B,""SELECT B WHERE A = '""&amp;O5&amp;""'"",0))"),"")</f>
        <v/>
      </c>
    </row>
    <row r="6" ht="90.0" customHeight="1">
      <c r="A6" s="27" t="str">
        <f>IFERROR(__xludf.DUMMYFUNCTION("""COMPUTED_VALUE"""),"OVL")</f>
        <v>OVL</v>
      </c>
      <c r="B6" s="27" t="str">
        <f>IFERROR(__xludf.DUMMYFUNCTION("""COMPUTED_VALUE"""),"8 Door")</f>
        <v>8 Door</v>
      </c>
      <c r="C6" s="28">
        <f>IFERROR(__xludf.DUMMYFUNCTION("""COMPUTED_VALUE"""),12.0)</f>
        <v>12</v>
      </c>
      <c r="D6" s="29">
        <f>IFERROR(__xludf.DUMMYFUNCTION("""COMPUTED_VALUE"""),0.4676896608793401)</f>
        <v>0.4676896609</v>
      </c>
      <c r="E6" s="30">
        <f>IFERROR(__xludf.DUMMYFUNCTION("""COMPUTED_VALUE"""),0.75)</f>
        <v>0.75</v>
      </c>
      <c r="F6" s="31" t="str">
        <f>IFERROR(__xludf.DUMMYFUNCTION("IF(A6="""","""",IMAGE(QUERY('Deck Info'!A:F,""SELECT D WHERE A = '""&amp;A6&amp;""' AND B = '""&amp;B6&amp;""'"")))"),"")</f>
        <v/>
      </c>
      <c r="G6" s="31" t="str">
        <f>IFERROR(__xludf.DUMMYFUNCTION("IF(A6="""","""",IMAGE(QUERY('Deck Info'!A:F,""SELECT E WHERE A = '""&amp;A6&amp;""' AND B = '""&amp;B6&amp;""'"")))"),"")</f>
        <v/>
      </c>
      <c r="H6" s="31" t="str">
        <f>IFERROR(__xludf.DUMMYFUNCTION("IF(A6="""","""",IMAGE(QUERY('Deck Info'!A:F,""SELECT F WHERE A = '""&amp;A6&amp;""' AND B = '""&amp;B6&amp;""'"")))"),"")</f>
        <v/>
      </c>
      <c r="I6" s="8"/>
      <c r="J6" s="32" t="str">
        <f>IFERROR(__xludf.DUMMYFUNCTION("""COMPUTED_VALUE"""),"Pinya")</f>
        <v>Pinya</v>
      </c>
      <c r="K6" s="32">
        <f>IFERROR(__xludf.DUMMYFUNCTION("""COMPUTED_VALUE"""),26.0)</f>
        <v>26</v>
      </c>
      <c r="L6" s="32">
        <f>IFERROR(__xludf.DUMMYFUNCTION("""COMPUTED_VALUE"""),2.0)</f>
        <v>2</v>
      </c>
      <c r="M6" s="24" t="str">
        <f>IFERROR(__xludf.DUMMYFUNCTION("IMAGE(QUERY('Player Refs'!A:B,""SELECT B WHERE A = '""&amp;J6&amp;""'"",0))"),"")</f>
        <v/>
      </c>
      <c r="N6" s="8"/>
      <c r="O6" s="31" t="str">
        <f>IFERROR(__xludf.DUMMYFUNCTION("""COMPUTED_VALUE"""),"NIK")</f>
        <v>NIK</v>
      </c>
      <c r="P6" s="31">
        <f>IFERROR(__xludf.DUMMYFUNCTION("""COMPUTED_VALUE"""),46.0)</f>
        <v>46</v>
      </c>
      <c r="Q6" s="26">
        <f>IFERROR(__xludf.DUMMYFUNCTION("""COMPUTED_VALUE"""),6.0)</f>
        <v>6</v>
      </c>
      <c r="R6" s="26" t="str">
        <f>IFERROR(__xludf.DUMMYFUNCTION("IMAGE(QUERY('Set Refs'!A:B,""SELECT B WHERE A = '""&amp;O6&amp;""'"",0))"),"")</f>
        <v/>
      </c>
    </row>
    <row r="7" ht="90.0" customHeight="1">
      <c r="A7" s="27" t="str">
        <f>IFERROR(__xludf.DUMMYFUNCTION("""COMPUTED_VALUE"""),"EIS")</f>
        <v>EIS</v>
      </c>
      <c r="B7" s="27" t="str">
        <f>IFERROR(__xludf.DUMMYFUNCTION("""COMPUTED_VALUE"""),"8 Standby")</f>
        <v>8 Standby</v>
      </c>
      <c r="C7" s="28">
        <f>IFERROR(__xludf.DUMMYFUNCTION("""COMPUTED_VALUE"""),34.0)</f>
        <v>34</v>
      </c>
      <c r="D7" s="29">
        <f>IFERROR(__xludf.DUMMYFUNCTION("""COMPUTED_VALUE"""),0.3945361778918369)</f>
        <v>0.3945361779</v>
      </c>
      <c r="E7" s="30">
        <f>IFERROR(__xludf.DUMMYFUNCTION("""COMPUTED_VALUE"""),0.5588235294117647)</f>
        <v>0.5588235294</v>
      </c>
      <c r="F7" s="31" t="str">
        <f>IFERROR(__xludf.DUMMYFUNCTION("IF(A7="""","""",IMAGE(QUERY('Deck Info'!A:F,""SELECT D WHERE A = '""&amp;A7&amp;""' AND B = '""&amp;B7&amp;""'"")))"),"")</f>
        <v/>
      </c>
      <c r="G7" s="31" t="str">
        <f>IFERROR(__xludf.DUMMYFUNCTION("IF(A7="""","""",IMAGE(QUERY('Deck Info'!A:F,""SELECT E WHERE A = '""&amp;A7&amp;""' AND B = '""&amp;B7&amp;""'"")))"),"")</f>
        <v/>
      </c>
      <c r="H7" s="31" t="str">
        <f>IFERROR(__xludf.DUMMYFUNCTION("IF(A7="""","""",IMAGE(QUERY('Deck Info'!A:F,""SELECT F WHERE A = '""&amp;A7&amp;""' AND B = '""&amp;B7&amp;""'"")))"),"")</f>
        <v/>
      </c>
      <c r="I7" s="8"/>
      <c r="J7" s="32" t="str">
        <f>IFERROR(__xludf.DUMMYFUNCTION("""COMPUTED_VALUE"""),"Will")</f>
        <v>Will</v>
      </c>
      <c r="K7" s="32">
        <f>IFERROR(__xludf.DUMMYFUNCTION("""COMPUTED_VALUE"""),26.0)</f>
        <v>26</v>
      </c>
      <c r="L7" s="32">
        <f>IFERROR(__xludf.DUMMYFUNCTION("""COMPUTED_VALUE"""),4.0)</f>
        <v>4</v>
      </c>
      <c r="M7" s="24" t="str">
        <f>IFERROR(__xludf.DUMMYFUNCTION("IMAGE(QUERY('Player Refs'!A:B,""SELECT B WHERE A = '""&amp;J7&amp;""'"",0))"),"")</f>
        <v/>
      </c>
      <c r="N7" s="8"/>
      <c r="O7" s="31" t="str">
        <f>IFERROR(__xludf.DUMMYFUNCTION("""COMPUTED_VALUE"""),"OSK")</f>
        <v>OSK</v>
      </c>
      <c r="P7" s="31">
        <f>IFERROR(__xludf.DUMMYFUNCTION("""COMPUTED_VALUE"""),31.0)</f>
        <v>31</v>
      </c>
      <c r="Q7" s="26">
        <f>IFERROR(__xludf.DUMMYFUNCTION("""COMPUTED_VALUE"""),4.0)</f>
        <v>4</v>
      </c>
      <c r="R7" s="26" t="str">
        <f>IFERROR(__xludf.DUMMYFUNCTION("IMAGE(QUERY('Set Refs'!A:B,""SELECT B WHERE A = '""&amp;O7&amp;""'"",0))"),"")</f>
        <v/>
      </c>
    </row>
    <row r="8" ht="90.0" customHeight="1">
      <c r="A8" s="27" t="str">
        <f>IFERROR(__xludf.DUMMYFUNCTION("""COMPUTED_VALUE"""),"CSM")</f>
        <v>CSM</v>
      </c>
      <c r="B8" s="27" t="str">
        <f>IFERROR(__xludf.DUMMYFUNCTION("""COMPUTED_VALUE"""),"StockSoul Bar")</f>
        <v>StockSoul Bar</v>
      </c>
      <c r="C8" s="28">
        <f>IFERROR(__xludf.DUMMYFUNCTION("""COMPUTED_VALUE"""),12.0)</f>
        <v>12</v>
      </c>
      <c r="D8" s="29">
        <f>IFERROR(__xludf.DUMMYFUNCTION("""COMPUTED_VALUE"""),0.3906175873976139)</f>
        <v>0.3906175874</v>
      </c>
      <c r="E8" s="30">
        <f>IFERROR(__xludf.DUMMYFUNCTION("""COMPUTED_VALUE"""),0.6666666666666666)</f>
        <v>0.6666666667</v>
      </c>
      <c r="F8" s="31" t="str">
        <f>IFERROR(__xludf.DUMMYFUNCTION("IF(A8="""","""",IMAGE(QUERY('Deck Info'!A:F,""SELECT D WHERE A = '""&amp;A8&amp;""' AND B = '""&amp;B8&amp;""'"")))"),"")</f>
        <v/>
      </c>
      <c r="G8" s="31" t="str">
        <f>IFERROR(__xludf.DUMMYFUNCTION("IF(A8="""","""",IMAGE(QUERY('Deck Info'!A:F,""SELECT E WHERE A = '""&amp;A8&amp;""' AND B = '""&amp;B8&amp;""'"")))"),"")</f>
        <v/>
      </c>
      <c r="H8" s="31" t="str">
        <f>IFERROR(__xludf.DUMMYFUNCTION("IF(A8="""","""",IMAGE(QUERY('Deck Info'!A:F,""SELECT F WHERE A = '""&amp;A8&amp;""' AND B = '""&amp;B8&amp;""'"")))"),"")</f>
        <v/>
      </c>
      <c r="I8" s="8"/>
      <c r="J8" s="32" t="str">
        <f>IFERROR(__xludf.DUMMYFUNCTION("""COMPUTED_VALUE"""),"JustFluffy")</f>
        <v>JustFluffy</v>
      </c>
      <c r="K8" s="32">
        <f>IFERROR(__xludf.DUMMYFUNCTION("""COMPUTED_VALUE"""),25.0)</f>
        <v>25</v>
      </c>
      <c r="L8" s="32">
        <f>IFERROR(__xludf.DUMMYFUNCTION("""COMPUTED_VALUE"""),2.0)</f>
        <v>2</v>
      </c>
      <c r="M8" s="24" t="str">
        <f>IFERROR(__xludf.DUMMYFUNCTION("IMAGE(QUERY('Player Refs'!A:B,""SELECT B WHERE A = '""&amp;J8&amp;""'"",0))"),"")</f>
        <v/>
      </c>
      <c r="N8" s="8"/>
      <c r="O8" s="31" t="str">
        <f>IFERROR(__xludf.DUMMYFUNCTION("""COMPUTED_VALUE"""),"MKI")</f>
        <v>MKI</v>
      </c>
      <c r="P8" s="31">
        <f>IFERROR(__xludf.DUMMYFUNCTION("""COMPUTED_VALUE"""),22.0)</f>
        <v>22</v>
      </c>
      <c r="Q8" s="26">
        <f>IFERROR(__xludf.DUMMYFUNCTION("""COMPUTED_VALUE"""),2.0)</f>
        <v>2</v>
      </c>
      <c r="R8" s="26" t="str">
        <f>IFERROR(__xludf.DUMMYFUNCTION("IMAGE(QUERY('Set Refs'!A:B,""SELECT B WHERE A = '""&amp;O8&amp;""'"",0))"),"")</f>
        <v/>
      </c>
    </row>
    <row r="9" ht="90.0" customHeight="1">
      <c r="A9" s="27" t="str">
        <f>IFERROR(__xludf.DUMMYFUNCTION("""COMPUTED_VALUE"""),"NIK")</f>
        <v>NIK</v>
      </c>
      <c r="B9" s="27" t="str">
        <f>IFERROR(__xludf.DUMMYFUNCTION("""COMPUTED_VALUE"""),"Door Standby")</f>
        <v>Door Standby</v>
      </c>
      <c r="C9" s="28">
        <f>IFERROR(__xludf.DUMMYFUNCTION("""COMPUTED_VALUE"""),42.0)</f>
        <v>42</v>
      </c>
      <c r="D9" s="29">
        <f>IFERROR(__xludf.DUMMYFUNCTION("""COMPUTED_VALUE"""),0.3552574591652803)</f>
        <v>0.3552574592</v>
      </c>
      <c r="E9" s="30">
        <f>IFERROR(__xludf.DUMMYFUNCTION("""COMPUTED_VALUE"""),0.5)</f>
        <v>0.5</v>
      </c>
      <c r="F9" s="31" t="str">
        <f>IFERROR(__xludf.DUMMYFUNCTION("IF(A9="""","""",IMAGE(QUERY('Deck Info'!A:F,""SELECT D WHERE A = '""&amp;A9&amp;""' AND B = '""&amp;B9&amp;""'"")))"),"")</f>
        <v/>
      </c>
      <c r="G9" s="31" t="str">
        <f>IFERROR(__xludf.DUMMYFUNCTION("IF(A9="""","""",IMAGE(QUERY('Deck Info'!A:F,""SELECT E WHERE A = '""&amp;A9&amp;""' AND B = '""&amp;B9&amp;""'"")))"),"")</f>
        <v/>
      </c>
      <c r="H9" s="31" t="str">
        <f>IFERROR(__xludf.DUMMYFUNCTION("IF(A9="""","""",IMAGE(QUERY('Deck Info'!A:F,""SELECT F WHERE A = '""&amp;A9&amp;""' AND B = '""&amp;B9&amp;""'"")))"),"")</f>
        <v/>
      </c>
      <c r="I9" s="8"/>
      <c r="J9" s="32" t="str">
        <f>IFERROR(__xludf.DUMMYFUNCTION("""COMPUTED_VALUE"""),"Agus")</f>
        <v>Agus</v>
      </c>
      <c r="K9" s="32">
        <f>IFERROR(__xludf.DUMMYFUNCTION("""COMPUTED_VALUE"""),22.0)</f>
        <v>22</v>
      </c>
      <c r="L9" s="32">
        <f>IFERROR(__xludf.DUMMYFUNCTION("""COMPUTED_VALUE"""),2.0)</f>
        <v>2</v>
      </c>
      <c r="M9" s="24" t="str">
        <f>IFERROR(__xludf.DUMMYFUNCTION("IMAGE(QUERY('Player Refs'!A:B,""SELECT B WHERE A = '""&amp;J9&amp;""'"",0))"),"")</f>
        <v/>
      </c>
      <c r="N9" s="8"/>
      <c r="O9" s="31" t="str">
        <f>IFERROR(__xludf.DUMMYFUNCTION("""COMPUTED_VALUE"""),"CSM")</f>
        <v>CSM</v>
      </c>
      <c r="P9" s="31">
        <f>IFERROR(__xludf.DUMMYFUNCTION("""COMPUTED_VALUE"""),16.0)</f>
        <v>16</v>
      </c>
      <c r="Q9" s="26">
        <f>IFERROR(__xludf.DUMMYFUNCTION("""COMPUTED_VALUE"""),2.0)</f>
        <v>2</v>
      </c>
      <c r="R9" s="26" t="str">
        <f>IFERROR(__xludf.DUMMYFUNCTION("IMAGE(QUERY('Set Refs'!A:B,""SELECT B WHERE A = '""&amp;O9&amp;""'"",0))"),"")</f>
        <v/>
      </c>
    </row>
    <row r="10" ht="90.0" customHeight="1">
      <c r="A10" s="27" t="str">
        <f>IFERROR(__xludf.DUMMYFUNCTION("""COMPUTED_VALUE"""),"DAL")</f>
        <v>DAL</v>
      </c>
      <c r="B10" s="27" t="str">
        <f>IFERROR(__xludf.DUMMYFUNCTION("""COMPUTED_VALUE"""),"8 Standby")</f>
        <v>8 Standby</v>
      </c>
      <c r="C10" s="28">
        <f>IFERROR(__xludf.DUMMYFUNCTION("""COMPUTED_VALUE"""),13.0)</f>
        <v>13</v>
      </c>
      <c r="D10" s="30">
        <f>IFERROR(__xludf.DUMMYFUNCTION("""COMPUTED_VALUE"""),0.3552248097226855)</f>
        <v>0.3552248097</v>
      </c>
      <c r="E10" s="30">
        <f>IFERROR(__xludf.DUMMYFUNCTION("""COMPUTED_VALUE"""),0.6153846153846154)</f>
        <v>0.6153846154</v>
      </c>
      <c r="F10" s="31" t="str">
        <f>IFERROR(__xludf.DUMMYFUNCTION("IF(A10="""","""",IMAGE(QUERY('Deck Info'!A:F,""SELECT D WHERE A = '""&amp;A10&amp;""' AND B = '""&amp;B10&amp;""'"")))"),"")</f>
        <v/>
      </c>
      <c r="G10" s="31" t="str">
        <f>IFERROR(__xludf.DUMMYFUNCTION("IF(A10="""","""",IMAGE(QUERY('Deck Info'!A:F,""SELECT E WHERE A = '""&amp;A10&amp;""' AND B = '""&amp;B10&amp;""'"")))"),"")</f>
        <v/>
      </c>
      <c r="H10" s="31" t="str">
        <f>IFERROR(__xludf.DUMMYFUNCTION("IF(A10="""","""",IMAGE(QUERY('Deck Info'!A:F,""SELECT F WHERE A = '""&amp;A10&amp;""' AND B = '""&amp;B10&amp;""'"")))"),"")</f>
        <v/>
      </c>
      <c r="I10" s="8"/>
      <c r="J10" s="32" t="str">
        <f>IFERROR(__xludf.DUMMYFUNCTION("""COMPUTED_VALUE"""),"Mualco")</f>
        <v>Mualco</v>
      </c>
      <c r="K10" s="32">
        <f>IFERROR(__xludf.DUMMYFUNCTION("""COMPUTED_VALUE"""),22.0)</f>
        <v>22</v>
      </c>
      <c r="L10" s="32">
        <f>IFERROR(__xludf.DUMMYFUNCTION("""COMPUTED_VALUE"""),4.0)</f>
        <v>4</v>
      </c>
      <c r="M10" s="24" t="str">
        <f>IFERROR(__xludf.DUMMYFUNCTION("IMAGE(QUERY('Player Refs'!A:B,""SELECT B WHERE A = '""&amp;J10&amp;""'"",0))"),"")</f>
        <v/>
      </c>
      <c r="N10" s="8"/>
      <c r="O10" s="31" t="str">
        <f>IFERROR(__xludf.DUMMYFUNCTION("""COMPUTED_VALUE"""),"AZL")</f>
        <v>AZL</v>
      </c>
      <c r="P10" s="31">
        <f>IFERROR(__xludf.DUMMYFUNCTION("""COMPUTED_VALUE"""),14.0)</f>
        <v>14</v>
      </c>
      <c r="Q10" s="26">
        <f>IFERROR(__xludf.DUMMYFUNCTION("""COMPUTED_VALUE"""),1.0)</f>
        <v>1</v>
      </c>
      <c r="R10" s="26" t="str">
        <f>IFERROR(__xludf.DUMMYFUNCTION("IMAGE(QUERY('Set Refs'!A:B,""SELECT B WHERE A = '""&amp;O10&amp;""'"",0))"),"")</f>
        <v/>
      </c>
    </row>
    <row r="11" ht="90.0" customHeight="1">
      <c r="A11" s="27" t="str">
        <f>IFERROR(__xludf.DUMMYFUNCTION("""COMPUTED_VALUE"""),"DDD")</f>
        <v>DDD</v>
      </c>
      <c r="B11" s="27" t="str">
        <f>IFERROR(__xludf.DUMMYFUNCTION("""COMPUTED_VALUE"""),"8 Choice")</f>
        <v>8 Choice</v>
      </c>
      <c r="C11" s="28">
        <f>IFERROR(__xludf.DUMMYFUNCTION("""COMPUTED_VALUE"""),10.0)</f>
        <v>10</v>
      </c>
      <c r="D11" s="30">
        <f>IFERROR(__xludf.DUMMYFUNCTION("""COMPUTED_VALUE"""),0.3126695474501863)</f>
        <v>0.3126695475</v>
      </c>
      <c r="E11" s="30">
        <f>IFERROR(__xludf.DUMMYFUNCTION("""COMPUTED_VALUE"""),0.6)</f>
        <v>0.6</v>
      </c>
      <c r="F11" s="31" t="str">
        <f>IFERROR(__xludf.DUMMYFUNCTION("IF(A11="""","""",IMAGE(QUERY('Deck Info'!A:F,""SELECT D WHERE A = '""&amp;A11&amp;""' AND B = '""&amp;B11&amp;""'"")))"),"")</f>
        <v/>
      </c>
      <c r="G11" s="31" t="str">
        <f>IFERROR(__xludf.DUMMYFUNCTION("IF(A11="""","""",IMAGE(QUERY('Deck Info'!A:F,""SELECT E WHERE A = '""&amp;A11&amp;""' AND B = '""&amp;B11&amp;""'"")))"),"")</f>
        <v/>
      </c>
      <c r="H11" s="31" t="str">
        <f>IFERROR(__xludf.DUMMYFUNCTION("IF(A11="""","""",IMAGE(QUERY('Deck Info'!A:F,""SELECT F WHERE A = '""&amp;A11&amp;""' AND B = '""&amp;B11&amp;""'"")))"),"")</f>
        <v/>
      </c>
      <c r="I11" s="8"/>
      <c r="J11" s="32" t="str">
        <f>IFERROR(__xludf.DUMMYFUNCTION("""COMPUTED_VALUE"""),"Nomar")</f>
        <v>Nomar</v>
      </c>
      <c r="K11" s="32">
        <f>IFERROR(__xludf.DUMMYFUNCTION("""COMPUTED_VALUE"""),22.0)</f>
        <v>22</v>
      </c>
      <c r="L11" s="32">
        <f>IFERROR(__xludf.DUMMYFUNCTION("""COMPUTED_VALUE"""),4.0)</f>
        <v>4</v>
      </c>
      <c r="M11" s="24" t="str">
        <f>IFERROR(__xludf.DUMMYFUNCTION("IMAGE(QUERY('Player Refs'!A:B,""SELECT B WHERE A = '""&amp;J11&amp;""'"",0))"),"")</f>
        <v/>
      </c>
      <c r="N11" s="8"/>
      <c r="O11" s="31" t="str">
        <f>IFERROR(__xludf.DUMMYFUNCTION("""COMPUTED_VALUE"""),"DDD")</f>
        <v>DDD</v>
      </c>
      <c r="P11" s="31">
        <f>IFERROR(__xludf.DUMMYFUNCTION("""COMPUTED_VALUE"""),14.0)</f>
        <v>14</v>
      </c>
      <c r="Q11" s="26">
        <f>IFERROR(__xludf.DUMMYFUNCTION("""COMPUTED_VALUE"""),2.0)</f>
        <v>2</v>
      </c>
      <c r="R11" s="26" t="str">
        <f>IFERROR(__xludf.DUMMYFUNCTION("IMAGE(QUERY('Set Refs'!A:B,""SELECT B WHERE A = '""&amp;O11&amp;""'"",0))"),"")</f>
        <v/>
      </c>
    </row>
    <row r="12" ht="90.0" customHeight="1">
      <c r="A12" s="27" t="str">
        <f>IFERROR(__xludf.DUMMYFUNCTION("""COMPUTED_VALUE"""),"MKI")</f>
        <v>MKI</v>
      </c>
      <c r="B12" s="27" t="str">
        <f>IFERROR(__xludf.DUMMYFUNCTION("""COMPUTED_VALUE"""),"8 Door")</f>
        <v>8 Door</v>
      </c>
      <c r="C12" s="28">
        <f>IFERROR(__xludf.DUMMYFUNCTION("""COMPUTED_VALUE"""),18.0)</f>
        <v>18</v>
      </c>
      <c r="D12" s="30">
        <f>IFERROR(__xludf.DUMMYFUNCTION("""COMPUTED_VALUE"""),0.24559231101389123)</f>
        <v>0.245592311</v>
      </c>
      <c r="E12" s="30">
        <f>IFERROR(__xludf.DUMMYFUNCTION("""COMPUTED_VALUE"""),0.4444444444444444)</f>
        <v>0.4444444444</v>
      </c>
      <c r="F12" s="31" t="str">
        <f>IFERROR(__xludf.DUMMYFUNCTION("IF(A12="""","""",IMAGE(QUERY('Deck Info'!A:F,""SELECT D WHERE A = '""&amp;A12&amp;""' AND B = '""&amp;B12&amp;""'"")))"),"")</f>
        <v/>
      </c>
      <c r="G12" s="31" t="str">
        <f>IFERROR(__xludf.DUMMYFUNCTION("IF(A12="""","""",IMAGE(QUERY('Deck Info'!A:F,""SELECT E WHERE A = '""&amp;A12&amp;""' AND B = '""&amp;B12&amp;""'"")))"),"")</f>
        <v/>
      </c>
      <c r="H12" s="31" t="str">
        <f>IFERROR(__xludf.DUMMYFUNCTION("IF(A12="""","""",IMAGE(QUERY('Deck Info'!A:F,""SELECT F WHERE A = '""&amp;A12&amp;""' AND B = '""&amp;B12&amp;""'"")))"),"")</f>
        <v/>
      </c>
      <c r="I12" s="8"/>
      <c r="J12" s="32" t="str">
        <f>IFERROR(__xludf.DUMMYFUNCTION("""COMPUTED_VALUE"""),"Rehmius")</f>
        <v>Rehmius</v>
      </c>
      <c r="K12" s="32">
        <f>IFERROR(__xludf.DUMMYFUNCTION("""COMPUTED_VALUE"""),22.0)</f>
        <v>22</v>
      </c>
      <c r="L12" s="32">
        <f>IFERROR(__xludf.DUMMYFUNCTION("""COMPUTED_VALUE"""),3.0)</f>
        <v>3</v>
      </c>
      <c r="M12" s="24" t="str">
        <f>IFERROR(__xludf.DUMMYFUNCTION("IMAGE(QUERY('Player Refs'!A:B,""SELECT B WHERE A = '""&amp;J12&amp;""'"",0))"),"")</f>
        <v/>
      </c>
      <c r="N12" s="8"/>
      <c r="O12" s="31" t="str">
        <f>IFERROR(__xludf.DUMMYFUNCTION("""COMPUTED_VALUE"""),"Fxx")</f>
        <v>Fxx</v>
      </c>
      <c r="P12" s="31">
        <f>IFERROR(__xludf.DUMMYFUNCTION("""COMPUTED_VALUE"""),14.0)</f>
        <v>14</v>
      </c>
      <c r="Q12" s="26">
        <f>IFERROR(__xludf.DUMMYFUNCTION("""COMPUTED_VALUE"""),3.0)</f>
        <v>3</v>
      </c>
      <c r="R12" s="26" t="str">
        <f>IFERROR(__xludf.DUMMYFUNCTION("IMAGE(QUERY('Set Refs'!A:B,""SELECT B WHERE A = '""&amp;O12&amp;""'"",0))"),"")</f>
        <v/>
      </c>
    </row>
    <row r="13" ht="90.0" customHeight="1">
      <c r="A13" s="27" t="str">
        <f>IFERROR(__xludf.DUMMYFUNCTION("""COMPUTED_VALUE"""),"GCR")</f>
        <v>GCR</v>
      </c>
      <c r="B13" s="27" t="str">
        <f>IFERROR(__xludf.DUMMYFUNCTION("""COMPUTED_VALUE"""),"8 Door")</f>
        <v>8 Door</v>
      </c>
      <c r="C13" s="28">
        <f>IFERROR(__xludf.DUMMYFUNCTION("""COMPUTED_VALUE"""),13.0)</f>
        <v>13</v>
      </c>
      <c r="D13" s="30">
        <f>IFERROR(__xludf.DUMMYFUNCTION("""COMPUTED_VALUE"""),0.23205754301488138)</f>
        <v>0.232057543</v>
      </c>
      <c r="E13" s="30">
        <f>IFERROR(__xludf.DUMMYFUNCTION("""COMPUTED_VALUE"""),0.46153846153846156)</f>
        <v>0.4615384615</v>
      </c>
      <c r="F13" s="31" t="str">
        <f>IFERROR(__xludf.DUMMYFUNCTION("IF(A13="""","""",IMAGE(QUERY('Deck Info'!A:F,""SELECT D WHERE A = '""&amp;A13&amp;""' AND B = '""&amp;B13&amp;""'"")))"),"")</f>
        <v/>
      </c>
      <c r="G13" s="31" t="str">
        <f>IFERROR(__xludf.DUMMYFUNCTION("IF(A13="""","""",IMAGE(QUERY('Deck Info'!A:F,""SELECT E WHERE A = '""&amp;A13&amp;""' AND B = '""&amp;B13&amp;""'"")))"),"")</f>
        <v/>
      </c>
      <c r="H13" s="31" t="str">
        <f>IFERROR(__xludf.DUMMYFUNCTION("IF(A13="""","""",IMAGE(QUERY('Deck Info'!A:F,""SELECT F WHERE A = '""&amp;A13&amp;""' AND B = '""&amp;B13&amp;""'"")))"),"")</f>
        <v/>
      </c>
      <c r="I13" s="8"/>
      <c r="J13" s="32" t="str">
        <f>IFERROR(__xludf.DUMMYFUNCTION("""COMPUTED_VALUE"""),"Seyer")</f>
        <v>Seyer</v>
      </c>
      <c r="K13" s="32">
        <f>IFERROR(__xludf.DUMMYFUNCTION("""COMPUTED_VALUE"""),21.0)</f>
        <v>21</v>
      </c>
      <c r="L13" s="32">
        <f>IFERROR(__xludf.DUMMYFUNCTION("""COMPUTED_VALUE"""),4.0)</f>
        <v>4</v>
      </c>
      <c r="M13" s="24" t="str">
        <f>IFERROR(__xludf.DUMMYFUNCTION("IMAGE(QUERY('Player Refs'!A:B,""SELECT B WHERE A = '""&amp;J13&amp;""'"",0))"),"")</f>
        <v/>
      </c>
      <c r="N13" s="8"/>
      <c r="O13" s="31" t="str">
        <f>IFERROR(__xludf.DUMMYFUNCTION("""COMPUTED_VALUE"""),"DAL")</f>
        <v>DAL</v>
      </c>
      <c r="P13" s="31">
        <f>IFERROR(__xludf.DUMMYFUNCTION("""COMPUTED_VALUE"""),13.0)</f>
        <v>13</v>
      </c>
      <c r="Q13" s="26">
        <f>IFERROR(__xludf.DUMMYFUNCTION("""COMPUTED_VALUE"""),1.0)</f>
        <v>1</v>
      </c>
      <c r="R13" s="26" t="str">
        <f>IFERROR(__xludf.DUMMYFUNCTION("IMAGE(QUERY('Set Refs'!A:B,""SELECT B WHERE A = '""&amp;O13&amp;""'"",0))"),"")</f>
        <v/>
      </c>
    </row>
    <row r="14" ht="90.0" customHeight="1">
      <c r="A14" s="27"/>
      <c r="B14" s="27"/>
      <c r="C14" s="27"/>
      <c r="D14" s="30"/>
      <c r="E14" s="30"/>
      <c r="F14" s="31" t="str">
        <f>IFERROR(__xludf.DUMMYFUNCTION("IF(A14="""","""",IMAGE(QUERY('Deck Info'!A:F,""SELECT D WHERE A = '""&amp;A14&amp;""' AND B = '""&amp;B14&amp;""'"")))"),"")</f>
        <v/>
      </c>
      <c r="G14" s="31" t="str">
        <f>IFERROR(__xludf.DUMMYFUNCTION("IF(A14="""","""",IMAGE(QUERY('Deck Info'!A:F,""SELECT E WHERE A = '""&amp;A14&amp;""' AND B = '""&amp;B14&amp;""'"")))"),"")</f>
        <v/>
      </c>
      <c r="H14" s="31" t="str">
        <f>IFERROR(__xludf.DUMMYFUNCTION("IF(A14="""","""",IMAGE(QUERY('Deck Info'!A:F,""SELECT F WHERE A = '""&amp;A14&amp;""' AND B = '""&amp;B14&amp;""'"")))"),"")</f>
        <v/>
      </c>
      <c r="I14" s="8"/>
      <c r="J14" s="32" t="str">
        <f>IFERROR(__xludf.DUMMYFUNCTION("""COMPUTED_VALUE"""),"Angladita")</f>
        <v>Angladita</v>
      </c>
      <c r="K14" s="32">
        <f>IFERROR(__xludf.DUMMYFUNCTION("""COMPUTED_VALUE"""),18.0)</f>
        <v>18</v>
      </c>
      <c r="L14" s="32">
        <f>IFERROR(__xludf.DUMMYFUNCTION("""COMPUTED_VALUE"""),3.0)</f>
        <v>3</v>
      </c>
      <c r="M14" s="24" t="str">
        <f>IFERROR(__xludf.DUMMYFUNCTION("IMAGE(QUERY('Player Refs'!A:B,""SELECT B WHERE A = '""&amp;J14&amp;""'"",0))"),"")</f>
        <v/>
      </c>
      <c r="N14" s="8"/>
      <c r="O14" s="31"/>
      <c r="P14" s="31"/>
      <c r="Q14" s="26"/>
      <c r="R14" s="26" t="str">
        <f>IFERROR(__xludf.DUMMYFUNCTION("IMAGE(QUERY('Set Refs'!A:B,""SELECT B WHERE A = '""&amp;O14&amp;""'"",0))"),"")</f>
        <v/>
      </c>
    </row>
    <row r="15" ht="90.0" customHeight="1">
      <c r="A15" s="27"/>
      <c r="B15" s="27"/>
      <c r="C15" s="27"/>
      <c r="D15" s="30"/>
      <c r="E15" s="30"/>
      <c r="F15" s="31" t="str">
        <f>IFERROR(__xludf.DUMMYFUNCTION("IF(A15="""","""",IMAGE(QUERY('Deck Info'!A:F,""SELECT D WHERE A = '""&amp;A15&amp;""' AND B = '""&amp;B15&amp;""'"")))"),"")</f>
        <v/>
      </c>
      <c r="G15" s="31" t="str">
        <f>IFERROR(__xludf.DUMMYFUNCTION("IF(A15="""","""",IMAGE(QUERY('Deck Info'!A:F,""SELECT E WHERE A = '""&amp;A15&amp;""' AND B = '""&amp;B15&amp;""'"")))"),"")</f>
        <v/>
      </c>
      <c r="H15" s="31" t="str">
        <f>IFERROR(__xludf.DUMMYFUNCTION("IF(A15="""","""",IMAGE(QUERY('Deck Info'!A:F,""SELECT F WHERE A = '""&amp;A15&amp;""' AND B = '""&amp;B15&amp;""'"")))"),"")</f>
        <v/>
      </c>
      <c r="I15" s="8"/>
      <c r="J15" s="32" t="str">
        <f>IFERROR(__xludf.DUMMYFUNCTION("""COMPUTED_VALUE"""),"YoniTheRobot")</f>
        <v>YoniTheRobot</v>
      </c>
      <c r="K15" s="32">
        <f>IFERROR(__xludf.DUMMYFUNCTION("""COMPUTED_VALUE"""),18.0)</f>
        <v>18</v>
      </c>
      <c r="L15" s="32">
        <f>IFERROR(__xludf.DUMMYFUNCTION("""COMPUTED_VALUE"""),3.0)</f>
        <v>3</v>
      </c>
      <c r="M15" s="24" t="str">
        <f>IFERROR(__xludf.DUMMYFUNCTION("IMAGE(QUERY('Player Refs'!A:B,""SELECT B WHERE A = '""&amp;J15&amp;""'"",0))"),"")</f>
        <v/>
      </c>
      <c r="N15" s="8"/>
      <c r="O15" s="31"/>
      <c r="P15" s="31"/>
      <c r="Q15" s="26"/>
      <c r="R15" s="26" t="str">
        <f>IFERROR(__xludf.DUMMYFUNCTION("IMAGE(QUERY('Set Refs'!A:B,""SELECT B WHERE A = '""&amp;O15&amp;""'"",0))"),"")</f>
        <v/>
      </c>
    </row>
    <row r="16" ht="90.0" customHeight="1">
      <c r="A16" s="27"/>
      <c r="B16" s="27"/>
      <c r="C16" s="27"/>
      <c r="D16" s="30"/>
      <c r="E16" s="30"/>
      <c r="F16" s="31" t="str">
        <f>IFERROR(__xludf.DUMMYFUNCTION("IF(A16="""","""",IMAGE(QUERY('Deck Info'!A:F,""SELECT D WHERE A = '""&amp;A16&amp;""' AND B = '""&amp;B16&amp;""'"")))"),"")</f>
        <v/>
      </c>
      <c r="G16" s="31" t="str">
        <f>IFERROR(__xludf.DUMMYFUNCTION("IF(A16="""","""",IMAGE(QUERY('Deck Info'!A:F,""SELECT E WHERE A = '""&amp;A16&amp;""' AND B = '""&amp;B16&amp;""'"")))"),"")</f>
        <v/>
      </c>
      <c r="H16" s="31" t="str">
        <f>IFERROR(__xludf.DUMMYFUNCTION("IF(A16="""","""",IMAGE(QUERY('Deck Info'!A:F,""SELECT F WHERE A = '""&amp;A16&amp;""' AND B = '""&amp;B16&amp;""'"")))"),"")</f>
        <v/>
      </c>
      <c r="I16" s="8"/>
      <c r="J16" s="32" t="str">
        <f>IFERROR(__xludf.DUMMYFUNCTION("""COMPUTED_VALUE"""),"AC5")</f>
        <v>AC5</v>
      </c>
      <c r="K16" s="32">
        <f>IFERROR(__xludf.DUMMYFUNCTION("""COMPUTED_VALUE"""),16.0)</f>
        <v>16</v>
      </c>
      <c r="L16" s="32">
        <f>IFERROR(__xludf.DUMMYFUNCTION("""COMPUTED_VALUE"""),1.0)</f>
        <v>1</v>
      </c>
      <c r="M16" s="24" t="str">
        <f>IFERROR(__xludf.DUMMYFUNCTION("IMAGE(QUERY('Player Refs'!A:B,""SELECT B WHERE A = '""&amp;J16&amp;""'"",0))"),"")</f>
        <v/>
      </c>
      <c r="N16" s="8"/>
      <c r="O16" s="31"/>
      <c r="P16" s="31"/>
      <c r="Q16" s="26"/>
      <c r="R16" s="26" t="str">
        <f>IFERROR(__xludf.DUMMYFUNCTION("IMAGE(QUERY('Set Refs'!A:B,""SELECT B WHERE A = '""&amp;O16&amp;""'"",0))"),"")</f>
        <v/>
      </c>
    </row>
    <row r="17" ht="90.0" customHeight="1">
      <c r="A17" s="33"/>
      <c r="B17" s="33"/>
      <c r="C17" s="33"/>
      <c r="D17" s="34"/>
      <c r="E17" s="34"/>
      <c r="F17" s="31" t="str">
        <f>IFERROR(__xludf.DUMMYFUNCTION("IF(A17="""","""",IMAGE(QUERY('Deck Info'!A:F,""SELECT D WHERE A = '""&amp;A17&amp;""' AND B = '""&amp;B17&amp;""'"")))"),"")</f>
        <v/>
      </c>
      <c r="G17" s="31" t="str">
        <f>IFERROR(__xludf.DUMMYFUNCTION("IF(A17="""","""",IMAGE(QUERY('Deck Info'!A:F,""SELECT E WHERE A = '""&amp;A17&amp;""' AND B = '""&amp;B17&amp;""'"")))"),"")</f>
        <v/>
      </c>
      <c r="H17" s="31" t="str">
        <f>IFERROR(__xludf.DUMMYFUNCTION("IF(A17="""","""",IMAGE(QUERY('Deck Info'!A:F,""SELECT F WHERE A = '""&amp;A17&amp;""' AND B = '""&amp;B17&amp;""'"")))"),"")</f>
        <v/>
      </c>
      <c r="I17" s="8"/>
      <c r="J17" s="32" t="str">
        <f>IFERROR(__xludf.DUMMYFUNCTION("""COMPUTED_VALUE"""),"Calvo Tieso")</f>
        <v>Calvo Tieso</v>
      </c>
      <c r="K17" s="32">
        <f>IFERROR(__xludf.DUMMYFUNCTION("""COMPUTED_VALUE"""),14.0)</f>
        <v>14</v>
      </c>
      <c r="L17" s="32">
        <f>IFERROR(__xludf.DUMMYFUNCTION("""COMPUTED_VALUE"""),1.0)</f>
        <v>1</v>
      </c>
      <c r="M17" s="24" t="str">
        <f>IFERROR(__xludf.DUMMYFUNCTION("IMAGE(QUERY('Player Refs'!A:B,""SELECT B WHERE A = '""&amp;J17&amp;""'"",0))"),"")</f>
        <v/>
      </c>
      <c r="N17" s="8"/>
      <c r="O17" s="31"/>
      <c r="P17" s="31"/>
      <c r="Q17" s="26"/>
      <c r="R17" s="26" t="str">
        <f>IFERROR(__xludf.DUMMYFUNCTION("IMAGE(QUERY('Set Refs'!A:B,""SELECT B WHERE A = '""&amp;O17&amp;""'"",0))"),"")</f>
        <v/>
      </c>
    </row>
    <row r="18" ht="90.0" customHeight="1">
      <c r="A18" s="35"/>
      <c r="B18" s="35"/>
      <c r="C18" s="35"/>
      <c r="D18" s="36"/>
      <c r="E18" s="36"/>
      <c r="F18" s="31" t="str">
        <f>IFERROR(__xludf.DUMMYFUNCTION("IF(A18="""","""",IMAGE(QUERY('Deck Info'!A:F,""SELECT D WHERE A = '""&amp;A18&amp;""' AND B = '""&amp;B18&amp;""'"")))"),"")</f>
        <v/>
      </c>
      <c r="G18" s="31" t="str">
        <f>IFERROR(__xludf.DUMMYFUNCTION("IF(A18="""","""",IMAGE(QUERY('Deck Info'!A:F,""SELECT E WHERE A = '""&amp;A18&amp;""' AND B = '""&amp;B18&amp;""'"")))"),"")</f>
        <v/>
      </c>
      <c r="H18" s="31" t="str">
        <f>IFERROR(__xludf.DUMMYFUNCTION("IF(A18="""","""",IMAGE(QUERY('Deck Info'!A:F,""SELECT F WHERE A = '""&amp;A18&amp;""' AND B = '""&amp;B18&amp;""'"")))"),"")</f>
        <v/>
      </c>
      <c r="I18" s="8"/>
      <c r="J18" s="32" t="str">
        <f>IFERROR(__xludf.DUMMYFUNCTION("""COMPUTED_VALUE"""),"Zeno")</f>
        <v>Zeno</v>
      </c>
      <c r="K18" s="32">
        <f>IFERROR(__xludf.DUMMYFUNCTION("""COMPUTED_VALUE"""),14.0)</f>
        <v>14</v>
      </c>
      <c r="L18" s="32">
        <f>IFERROR(__xludf.DUMMYFUNCTION("""COMPUTED_VALUE"""),2.0)</f>
        <v>2</v>
      </c>
      <c r="M18" s="24" t="str">
        <f>IFERROR(__xludf.DUMMYFUNCTION("IMAGE(QUERY('Player Refs'!A:B,""SELECT B WHERE A = '""&amp;J18&amp;""'"",0))"),"")</f>
        <v/>
      </c>
      <c r="N18" s="8"/>
      <c r="O18" s="31"/>
      <c r="P18" s="31"/>
      <c r="Q18" s="26"/>
      <c r="R18" s="26" t="str">
        <f>IFERROR(__xludf.DUMMYFUNCTION("IMAGE(QUERY('Set Refs'!A:B,""SELECT B WHERE A = '""&amp;O18&amp;""'"",0))"),"")</f>
        <v/>
      </c>
    </row>
    <row r="19" ht="90.0" customHeight="1">
      <c r="A19" s="35"/>
      <c r="B19" s="35"/>
      <c r="C19" s="35"/>
      <c r="D19" s="36"/>
      <c r="E19" s="36"/>
      <c r="F19" s="31" t="str">
        <f>IFERROR(__xludf.DUMMYFUNCTION("IF(A19="""","""",IMAGE(QUERY('Deck Info'!A:F,""SELECT D WHERE A = '""&amp;A19&amp;""' AND B = '""&amp;B19&amp;""'"")))"),"")</f>
        <v/>
      </c>
      <c r="G19" s="31" t="str">
        <f>IFERROR(__xludf.DUMMYFUNCTION("IF(A19="""","""",IMAGE(QUERY('Deck Info'!A:F,""SELECT E WHERE A = '""&amp;A19&amp;""' AND B = '""&amp;B19&amp;""'"")))"),"")</f>
        <v/>
      </c>
      <c r="H19" s="31" t="str">
        <f>IFERROR(__xludf.DUMMYFUNCTION("IF(A19="""","""",IMAGE(QUERY('Deck Info'!A:F,""SELECT F WHERE A = '""&amp;A19&amp;""' AND B = '""&amp;B19&amp;""'"")))"),"")</f>
        <v/>
      </c>
      <c r="I19" s="8"/>
      <c r="J19" s="32" t="str">
        <f>IFERROR(__xludf.DUMMYFUNCTION("""COMPUTED_VALUE"""),"Ruto")</f>
        <v>Ruto</v>
      </c>
      <c r="K19" s="32">
        <f>IFERROR(__xludf.DUMMYFUNCTION("""COMPUTED_VALUE"""),13.0)</f>
        <v>13</v>
      </c>
      <c r="L19" s="32">
        <f>IFERROR(__xludf.DUMMYFUNCTION("""COMPUTED_VALUE"""),3.0)</f>
        <v>3</v>
      </c>
      <c r="M19" s="24" t="str">
        <f>IFERROR(__xludf.DUMMYFUNCTION("IMAGE(QUERY('Player Refs'!A:B,""SELECT B WHERE A = '""&amp;J19&amp;""'"",0))"),"")</f>
        <v/>
      </c>
      <c r="N19" s="8"/>
      <c r="O19" s="31"/>
      <c r="P19" s="31"/>
      <c r="Q19" s="26"/>
      <c r="R19" s="26" t="str">
        <f>IFERROR(__xludf.DUMMYFUNCTION("IMAGE(QUERY('Set Refs'!A:B,""SELECT B WHERE A = '""&amp;O19&amp;""'"",0))"),"")</f>
        <v/>
      </c>
    </row>
    <row r="20" ht="90.0" customHeight="1">
      <c r="A20" s="35"/>
      <c r="B20" s="35"/>
      <c r="C20" s="35"/>
      <c r="D20" s="36"/>
      <c r="E20" s="36"/>
      <c r="F20" s="31" t="str">
        <f>IFERROR(__xludf.DUMMYFUNCTION("IF(A20="""","""",IMAGE(QUERY('Deck Info'!A:F,""SELECT D WHERE A = '""&amp;A20&amp;""' AND B = '""&amp;B20&amp;""'"")))"),"")</f>
        <v/>
      </c>
      <c r="G20" s="31" t="str">
        <f>IFERROR(__xludf.DUMMYFUNCTION("IF(A20="""","""",IMAGE(QUERY('Deck Info'!A:F,""SELECT E WHERE A = '""&amp;A20&amp;""' AND B = '""&amp;B20&amp;""'"")))"),"")</f>
        <v/>
      </c>
      <c r="H20" s="31" t="str">
        <f>IFERROR(__xludf.DUMMYFUNCTION("IF(A20="""","""",IMAGE(QUERY('Deck Info'!A:F,""SELECT F WHERE A = '""&amp;A20&amp;""' AND B = '""&amp;B20&amp;""'"")))"),"")</f>
        <v/>
      </c>
      <c r="I20" s="8"/>
      <c r="J20" s="32" t="str">
        <f>IFERROR(__xludf.DUMMYFUNCTION("""COMPUTED_VALUE"""),"STARK")</f>
        <v>STARK</v>
      </c>
      <c r="K20" s="32">
        <f>IFERROR(__xludf.DUMMYFUNCTION("""COMPUTED_VALUE"""),13.0)</f>
        <v>13</v>
      </c>
      <c r="L20" s="32">
        <f>IFERROR(__xludf.DUMMYFUNCTION("""COMPUTED_VALUE"""),3.0)</f>
        <v>3</v>
      </c>
      <c r="M20" s="24" t="str">
        <f>IFERROR(__xludf.DUMMYFUNCTION("IMAGE(QUERY('Player Refs'!A:B,""SELECT B WHERE A = '""&amp;J20&amp;""'"",0))"),"")</f>
        <v/>
      </c>
      <c r="N20" s="8"/>
      <c r="O20" s="31"/>
      <c r="P20" s="31"/>
      <c r="Q20" s="26"/>
      <c r="R20" s="26" t="str">
        <f>IFERROR(__xludf.DUMMYFUNCTION("IMAGE(QUERY('Set Refs'!A:B,""SELECT B WHERE A = '""&amp;O20&amp;""'"",0))"),"")</f>
        <v/>
      </c>
    </row>
    <row r="21" ht="90.0" customHeight="1">
      <c r="A21" s="31"/>
      <c r="B21" s="31"/>
      <c r="C21" s="31"/>
      <c r="D21" s="31"/>
      <c r="E21" s="31"/>
      <c r="F21" s="31"/>
      <c r="G21" s="31"/>
      <c r="H21" s="31"/>
      <c r="I21" s="8"/>
      <c r="J21" s="32" t="str">
        <f>IFERROR(__xludf.DUMMYFUNCTION("""COMPUTED_VALUE"""),"Sp3ctrum")</f>
        <v>Sp3ctrum</v>
      </c>
      <c r="K21" s="32">
        <f>IFERROR(__xludf.DUMMYFUNCTION("""COMPUTED_VALUE"""),13.0)</f>
        <v>13</v>
      </c>
      <c r="L21" s="32">
        <f>IFERROR(__xludf.DUMMYFUNCTION("""COMPUTED_VALUE"""),2.0)</f>
        <v>2</v>
      </c>
      <c r="M21" s="24" t="str">
        <f>IFERROR(__xludf.DUMMYFUNCTION("IMAGE(QUERY('Player Refs'!A:B,""SELECT B WHERE A = '""&amp;J21&amp;""'"",0))"),"")</f>
        <v/>
      </c>
      <c r="N21" s="8"/>
      <c r="O21" s="31"/>
      <c r="P21" s="31"/>
      <c r="Q21" s="26"/>
      <c r="R21" s="26" t="str">
        <f>IFERROR(__xludf.DUMMYFUNCTION("IMAGE(QUERY('Set Refs'!A:B,""SELECT B WHERE A = '""&amp;O21&amp;""'"",0))"),"")</f>
        <v/>
      </c>
    </row>
    <row r="22" ht="90.0" customHeight="1">
      <c r="A22" s="31"/>
      <c r="B22" s="31"/>
      <c r="C22" s="31"/>
      <c r="D22" s="31"/>
      <c r="E22" s="31"/>
      <c r="F22" s="31"/>
      <c r="G22" s="31"/>
      <c r="H22" s="31"/>
      <c r="I22" s="8"/>
      <c r="J22" s="32" t="str">
        <f>IFERROR(__xludf.DUMMYFUNCTION("""COMPUTED_VALUE"""),"SoulQualia")</f>
        <v>SoulQualia</v>
      </c>
      <c r="K22" s="32">
        <f>IFERROR(__xludf.DUMMYFUNCTION("""COMPUTED_VALUE"""),12.0)</f>
        <v>12</v>
      </c>
      <c r="L22" s="32">
        <f>IFERROR(__xludf.DUMMYFUNCTION("""COMPUTED_VALUE"""),1.0)</f>
        <v>1</v>
      </c>
      <c r="M22" s="24" t="str">
        <f>IFERROR(__xludf.DUMMYFUNCTION("IMAGE(QUERY('Player Refs'!A:B,""SELECT B WHERE A = '""&amp;J22&amp;""'"",0))"),"")</f>
        <v/>
      </c>
      <c r="N22" s="8"/>
      <c r="O22" s="31"/>
      <c r="P22" s="31"/>
      <c r="Q22" s="26"/>
      <c r="R22" s="26" t="str">
        <f>IFERROR(__xludf.DUMMYFUNCTION("IMAGE(QUERY('Set Refs'!A:B,""SELECT B WHERE A = '""&amp;O22&amp;""'"",0))"),"")</f>
        <v/>
      </c>
    </row>
    <row r="23" ht="90.0" customHeight="1">
      <c r="A23" s="31"/>
      <c r="B23" s="31"/>
      <c r="C23" s="31"/>
      <c r="D23" s="31"/>
      <c r="E23" s="31"/>
      <c r="F23" s="31"/>
      <c r="G23" s="31"/>
      <c r="H23" s="31"/>
      <c r="I23" s="8"/>
      <c r="J23" s="32" t="str">
        <f>IFERROR(__xludf.DUMMYFUNCTION("""COMPUTED_VALUE"""),"Charlie")</f>
        <v>Charlie</v>
      </c>
      <c r="K23" s="32">
        <f>IFERROR(__xludf.DUMMYFUNCTION("""COMPUTED_VALUE"""),10.0)</f>
        <v>10</v>
      </c>
      <c r="L23" s="32">
        <f>IFERROR(__xludf.DUMMYFUNCTION("""COMPUTED_VALUE"""),1.0)</f>
        <v>1</v>
      </c>
      <c r="M23" s="24" t="str">
        <f>IFERROR(__xludf.DUMMYFUNCTION("IMAGE(QUERY('Player Refs'!A:B,""SELECT B WHERE A = '""&amp;J23&amp;""'"",0))"),"")</f>
        <v/>
      </c>
      <c r="N23" s="8"/>
      <c r="O23" s="31"/>
      <c r="P23" s="31"/>
      <c r="Q23" s="26"/>
      <c r="R23" s="26" t="str">
        <f>IFERROR(__xludf.DUMMYFUNCTION("IMAGE(QUERY('Set Refs'!A:B,""SELECT B WHERE A = '""&amp;O23&amp;""'"",0))"),"")</f>
        <v/>
      </c>
    </row>
    <row r="24" ht="90.0" customHeight="1">
      <c r="A24" s="31"/>
      <c r="B24" s="31"/>
      <c r="C24" s="31"/>
      <c r="D24" s="31"/>
      <c r="E24" s="31"/>
      <c r="F24" s="31"/>
      <c r="G24" s="31"/>
      <c r="H24" s="31"/>
      <c r="I24" s="8"/>
      <c r="J24" s="31"/>
      <c r="K24" s="31"/>
      <c r="L24" s="31"/>
      <c r="M24" s="31"/>
      <c r="N24" s="8"/>
      <c r="O24" s="31"/>
      <c r="P24" s="31"/>
      <c r="Q24" s="26"/>
      <c r="R24" s="26" t="str">
        <f>IFERROR(__xludf.DUMMYFUNCTION("IMAGE(QUERY('Set Refs'!A:B,""SELECT B WHERE A = '""&amp;O24&amp;""'"",0))"),"")</f>
        <v/>
      </c>
    </row>
    <row r="25" ht="75.0" hidden="1" customHeight="1">
      <c r="A25" s="31"/>
      <c r="B25" s="31"/>
      <c r="C25" s="31"/>
      <c r="D25" s="31"/>
      <c r="E25" s="31"/>
      <c r="F25" s="31"/>
      <c r="G25" s="31"/>
      <c r="H25" s="31"/>
      <c r="I25" s="8"/>
      <c r="J25" s="31"/>
      <c r="K25" s="31"/>
      <c r="L25" s="31"/>
      <c r="M25" s="31"/>
      <c r="N25" s="8"/>
      <c r="O25" s="31"/>
      <c r="P25" s="31"/>
      <c r="Q25" s="26"/>
      <c r="R25" s="26" t="str">
        <f>IFERROR(__xludf.DUMMYFUNCTION("IMAGE(QUERY('Set Refs'!A:B,""SELECT B WHERE A = '""&amp;O25&amp;""'"",0))"),"")</f>
        <v/>
      </c>
    </row>
    <row r="26" ht="75.0" hidden="1" customHeight="1">
      <c r="A26" s="31"/>
      <c r="B26" s="31"/>
      <c r="C26" s="31"/>
      <c r="D26" s="31"/>
      <c r="E26" s="31"/>
      <c r="F26" s="31"/>
      <c r="G26" s="31"/>
      <c r="H26" s="31"/>
      <c r="I26" s="8"/>
      <c r="J26" s="31"/>
      <c r="K26" s="31"/>
      <c r="L26" s="31"/>
      <c r="M26" s="31"/>
      <c r="N26" s="8"/>
      <c r="O26" s="31"/>
      <c r="P26" s="31"/>
      <c r="Q26" s="26"/>
      <c r="R26" s="26" t="str">
        <f>IFERROR(__xludf.DUMMYFUNCTION("IMAGE(QUERY('Set Refs'!A:B,""SELECT B WHERE A = '""&amp;O26&amp;""'"",0))"),"")</f>
        <v/>
      </c>
    </row>
    <row r="27" ht="75.0" hidden="1" customHeight="1">
      <c r="A27" s="31"/>
      <c r="B27" s="31"/>
      <c r="C27" s="31"/>
      <c r="D27" s="31"/>
      <c r="E27" s="31"/>
      <c r="F27" s="31"/>
      <c r="G27" s="31"/>
      <c r="H27" s="31"/>
      <c r="I27" s="8"/>
      <c r="J27" s="31"/>
      <c r="K27" s="31"/>
      <c r="L27" s="31"/>
      <c r="M27" s="31"/>
      <c r="N27" s="8"/>
      <c r="O27" s="31"/>
      <c r="P27" s="31"/>
      <c r="Q27" s="26"/>
      <c r="R27" s="26" t="str">
        <f>IFERROR(__xludf.DUMMYFUNCTION("IMAGE(QUERY('Set Refs'!A:B,""SELECT B WHERE A = '""&amp;O27&amp;""'"",0))"),"")</f>
        <v/>
      </c>
    </row>
    <row r="28" ht="75.0" hidden="1" customHeight="1">
      <c r="A28" s="31"/>
      <c r="B28" s="31"/>
      <c r="C28" s="31"/>
      <c r="D28" s="31"/>
      <c r="E28" s="31"/>
      <c r="F28" s="31"/>
      <c r="G28" s="31"/>
      <c r="H28" s="31"/>
      <c r="I28" s="8"/>
      <c r="J28" s="31"/>
      <c r="K28" s="31"/>
      <c r="L28" s="31"/>
      <c r="M28" s="31"/>
      <c r="N28" s="8"/>
      <c r="O28" s="31"/>
      <c r="P28" s="31"/>
      <c r="Q28" s="31"/>
      <c r="R28" s="31"/>
    </row>
    <row r="29" ht="75.0" hidden="1" customHeight="1">
      <c r="A29" s="31"/>
      <c r="B29" s="31"/>
      <c r="C29" s="31"/>
      <c r="D29" s="31"/>
      <c r="E29" s="31"/>
      <c r="F29" s="31"/>
      <c r="G29" s="31"/>
      <c r="H29" s="31"/>
      <c r="I29" s="8"/>
      <c r="J29" s="31"/>
      <c r="K29" s="31"/>
      <c r="L29" s="31"/>
      <c r="M29" s="31"/>
      <c r="N29" s="8"/>
      <c r="O29" s="31"/>
      <c r="P29" s="31"/>
      <c r="Q29" s="31"/>
      <c r="R29" s="31"/>
    </row>
    <row r="30" ht="15.75" hidden="1" customHeight="1">
      <c r="A30" s="31"/>
      <c r="B30" s="31"/>
      <c r="C30" s="31"/>
      <c r="D30" s="31"/>
      <c r="E30" s="31"/>
      <c r="F30" s="31"/>
      <c r="G30" s="31"/>
      <c r="H30" s="31"/>
      <c r="I30" s="8"/>
      <c r="J30" s="31"/>
      <c r="K30" s="31"/>
      <c r="L30" s="31"/>
      <c r="M30" s="31"/>
      <c r="N30" s="8"/>
      <c r="O30" s="31"/>
      <c r="P30" s="31"/>
      <c r="Q30" s="31"/>
      <c r="R30" s="31"/>
    </row>
    <row r="31" ht="15.75" hidden="1" customHeight="1">
      <c r="A31" s="31"/>
      <c r="B31" s="31"/>
      <c r="C31" s="31"/>
      <c r="D31" s="31"/>
      <c r="E31" s="31"/>
      <c r="F31" s="31"/>
      <c r="G31" s="31"/>
      <c r="H31" s="31"/>
      <c r="I31" s="8"/>
      <c r="J31" s="31"/>
      <c r="K31" s="31"/>
      <c r="L31" s="31"/>
      <c r="M31" s="31"/>
      <c r="N31" s="8"/>
      <c r="O31" s="31"/>
      <c r="P31" s="31"/>
      <c r="Q31" s="31"/>
      <c r="R31" s="31"/>
    </row>
    <row r="32" ht="15.75" hidden="1" customHeight="1">
      <c r="A32" s="31"/>
      <c r="B32" s="31"/>
      <c r="C32" s="31"/>
      <c r="D32" s="31"/>
      <c r="E32" s="31"/>
      <c r="F32" s="31"/>
      <c r="G32" s="31"/>
      <c r="H32" s="31"/>
      <c r="I32" s="8"/>
      <c r="J32" s="31"/>
      <c r="K32" s="31"/>
      <c r="L32" s="31"/>
      <c r="M32" s="31"/>
      <c r="N32" s="8"/>
      <c r="O32" s="31"/>
      <c r="P32" s="31"/>
      <c r="Q32" s="31"/>
      <c r="R32" s="31"/>
    </row>
    <row r="33" ht="15.75" hidden="1" customHeight="1">
      <c r="A33" s="31"/>
      <c r="B33" s="31"/>
      <c r="C33" s="31"/>
      <c r="D33" s="31"/>
      <c r="E33" s="31"/>
      <c r="F33" s="31"/>
      <c r="G33" s="31"/>
      <c r="H33" s="31"/>
      <c r="I33" s="8"/>
      <c r="J33" s="31"/>
      <c r="K33" s="31"/>
      <c r="L33" s="31"/>
      <c r="M33" s="31"/>
      <c r="N33" s="8"/>
      <c r="O33" s="31"/>
      <c r="P33" s="31"/>
      <c r="Q33" s="31"/>
      <c r="R33" s="31"/>
    </row>
    <row r="34" ht="15.75" hidden="1" customHeight="1">
      <c r="A34" s="31"/>
      <c r="B34" s="31"/>
      <c r="C34" s="31"/>
      <c r="D34" s="31"/>
      <c r="E34" s="31"/>
      <c r="F34" s="31"/>
      <c r="G34" s="31"/>
      <c r="H34" s="31"/>
      <c r="I34" s="8"/>
      <c r="J34" s="31"/>
      <c r="K34" s="31"/>
      <c r="L34" s="31"/>
      <c r="M34" s="31"/>
      <c r="N34" s="8"/>
      <c r="O34" s="31"/>
      <c r="P34" s="31"/>
      <c r="Q34" s="31"/>
      <c r="R34" s="31"/>
    </row>
    <row r="35" ht="15.75" hidden="1" customHeight="1">
      <c r="A35" s="31"/>
      <c r="B35" s="31"/>
      <c r="C35" s="31"/>
      <c r="D35" s="31"/>
      <c r="E35" s="31"/>
      <c r="F35" s="31"/>
      <c r="G35" s="31"/>
      <c r="H35" s="31"/>
      <c r="I35" s="8"/>
      <c r="J35" s="31"/>
      <c r="K35" s="31"/>
      <c r="L35" s="31"/>
      <c r="M35" s="31"/>
      <c r="N35" s="8"/>
      <c r="O35" s="31"/>
      <c r="P35" s="31"/>
      <c r="Q35" s="31"/>
      <c r="R35" s="31"/>
    </row>
    <row r="36" ht="15.75" hidden="1" customHeight="1">
      <c r="A36" s="31"/>
      <c r="B36" s="31"/>
      <c r="C36" s="31"/>
      <c r="D36" s="31"/>
      <c r="E36" s="31"/>
      <c r="F36" s="31"/>
      <c r="G36" s="31"/>
      <c r="H36" s="31"/>
      <c r="I36" s="8"/>
      <c r="J36" s="31"/>
      <c r="K36" s="31"/>
      <c r="L36" s="31"/>
      <c r="M36" s="31"/>
      <c r="N36" s="8"/>
      <c r="O36" s="31"/>
      <c r="P36" s="31"/>
      <c r="Q36" s="31"/>
      <c r="R36" s="31"/>
    </row>
    <row r="37" ht="15.75" hidden="1" customHeight="1">
      <c r="A37" s="31"/>
      <c r="B37" s="31"/>
      <c r="C37" s="31"/>
      <c r="D37" s="31"/>
      <c r="E37" s="31"/>
      <c r="F37" s="31"/>
      <c r="G37" s="31"/>
      <c r="H37" s="31"/>
      <c r="I37" s="8"/>
      <c r="J37" s="31"/>
      <c r="K37" s="31"/>
      <c r="L37" s="31"/>
      <c r="M37" s="31"/>
      <c r="N37" s="8"/>
      <c r="O37" s="31"/>
      <c r="P37" s="31"/>
      <c r="Q37" s="31"/>
      <c r="R37" s="31"/>
    </row>
    <row r="38" ht="15.75" hidden="1" customHeight="1">
      <c r="A38" s="31"/>
      <c r="B38" s="31"/>
      <c r="C38" s="31"/>
      <c r="D38" s="31"/>
      <c r="E38" s="31"/>
      <c r="F38" s="31"/>
      <c r="G38" s="31"/>
      <c r="H38" s="31"/>
      <c r="I38" s="8"/>
      <c r="J38" s="31"/>
      <c r="K38" s="31"/>
      <c r="L38" s="31"/>
      <c r="M38" s="31"/>
      <c r="N38" s="8"/>
      <c r="O38" s="31"/>
      <c r="P38" s="31"/>
      <c r="Q38" s="31"/>
      <c r="R38" s="31"/>
    </row>
    <row r="39" ht="15.75" hidden="1" customHeight="1">
      <c r="A39" s="31"/>
      <c r="B39" s="31"/>
      <c r="C39" s="31"/>
      <c r="D39" s="31"/>
      <c r="E39" s="31"/>
      <c r="F39" s="31"/>
      <c r="G39" s="31"/>
      <c r="H39" s="31"/>
      <c r="I39" s="8"/>
      <c r="J39" s="31"/>
      <c r="K39" s="31"/>
      <c r="L39" s="31"/>
      <c r="M39" s="31"/>
      <c r="N39" s="8"/>
      <c r="O39" s="31"/>
      <c r="P39" s="31"/>
      <c r="Q39" s="31"/>
      <c r="R39" s="31"/>
    </row>
    <row r="40" ht="15.75" hidden="1" customHeight="1">
      <c r="A40" s="31"/>
      <c r="B40" s="31"/>
      <c r="C40" s="31"/>
      <c r="D40" s="31"/>
      <c r="E40" s="31"/>
      <c r="F40" s="31"/>
      <c r="G40" s="31"/>
      <c r="H40" s="31"/>
      <c r="I40" s="8"/>
      <c r="J40" s="31"/>
      <c r="K40" s="31"/>
      <c r="L40" s="31"/>
      <c r="M40" s="31"/>
      <c r="N40" s="8"/>
      <c r="O40" s="31"/>
      <c r="P40" s="31"/>
      <c r="Q40" s="31"/>
      <c r="R40" s="31"/>
    </row>
    <row r="41" ht="15.75" hidden="1" customHeight="1">
      <c r="A41" s="31"/>
      <c r="B41" s="31"/>
      <c r="C41" s="31"/>
      <c r="D41" s="31"/>
      <c r="E41" s="31"/>
      <c r="F41" s="31"/>
      <c r="G41" s="31"/>
      <c r="H41" s="31"/>
      <c r="I41" s="8"/>
      <c r="J41" s="31"/>
      <c r="K41" s="31"/>
      <c r="L41" s="31"/>
      <c r="M41" s="31"/>
      <c r="N41" s="8"/>
      <c r="O41" s="31"/>
      <c r="P41" s="31"/>
      <c r="Q41" s="31"/>
      <c r="R41" s="31"/>
    </row>
    <row r="42" ht="15.75" hidden="1" customHeight="1">
      <c r="A42" s="31"/>
      <c r="B42" s="31"/>
      <c r="C42" s="31"/>
      <c r="D42" s="31"/>
      <c r="E42" s="31"/>
      <c r="F42" s="31"/>
      <c r="G42" s="31"/>
      <c r="H42" s="31"/>
      <c r="I42" s="8"/>
      <c r="J42" s="31"/>
      <c r="K42" s="31"/>
      <c r="L42" s="31"/>
      <c r="M42" s="31"/>
      <c r="N42" s="8"/>
      <c r="O42" s="31"/>
      <c r="P42" s="31"/>
      <c r="Q42" s="31"/>
      <c r="R42" s="31"/>
    </row>
    <row r="43" ht="15.75" hidden="1" customHeight="1">
      <c r="A43" s="31"/>
      <c r="B43" s="31"/>
      <c r="C43" s="31"/>
      <c r="D43" s="31"/>
      <c r="E43" s="31"/>
      <c r="F43" s="31"/>
      <c r="G43" s="31"/>
      <c r="H43" s="31"/>
      <c r="I43" s="8"/>
      <c r="J43" s="31"/>
      <c r="K43" s="31"/>
      <c r="L43" s="31"/>
      <c r="M43" s="31"/>
      <c r="N43" s="8"/>
      <c r="O43" s="31"/>
      <c r="P43" s="31"/>
      <c r="Q43" s="31"/>
      <c r="R43" s="31"/>
    </row>
    <row r="44" ht="15.75" hidden="1" customHeight="1">
      <c r="A44" s="31"/>
      <c r="B44" s="31"/>
      <c r="C44" s="31"/>
      <c r="D44" s="31"/>
      <c r="E44" s="31"/>
      <c r="F44" s="31"/>
      <c r="G44" s="31"/>
      <c r="H44" s="31"/>
      <c r="I44" s="8"/>
      <c r="J44" s="31"/>
      <c r="K44" s="31"/>
      <c r="L44" s="31"/>
      <c r="M44" s="31"/>
      <c r="N44" s="8"/>
      <c r="O44" s="31"/>
      <c r="P44" s="31"/>
      <c r="Q44" s="31"/>
      <c r="R44" s="31"/>
    </row>
    <row r="45" ht="15.75" hidden="1" customHeight="1">
      <c r="A45" s="31"/>
      <c r="B45" s="31"/>
      <c r="C45" s="31"/>
      <c r="D45" s="31"/>
      <c r="E45" s="31"/>
      <c r="F45" s="31"/>
      <c r="G45" s="31"/>
      <c r="H45" s="31"/>
      <c r="I45" s="8"/>
      <c r="J45" s="31"/>
      <c r="K45" s="31"/>
      <c r="L45" s="31"/>
      <c r="M45" s="31"/>
      <c r="N45" s="8"/>
      <c r="O45" s="31"/>
      <c r="P45" s="31"/>
      <c r="Q45" s="31"/>
      <c r="R45" s="31"/>
    </row>
    <row r="46" ht="15.75" hidden="1" customHeight="1">
      <c r="A46" s="31"/>
      <c r="B46" s="31"/>
      <c r="C46" s="31"/>
      <c r="D46" s="31"/>
      <c r="E46" s="31"/>
      <c r="F46" s="31"/>
      <c r="G46" s="31"/>
      <c r="H46" s="31"/>
      <c r="I46" s="8"/>
      <c r="J46" s="31"/>
      <c r="K46" s="31"/>
      <c r="L46" s="31"/>
      <c r="M46" s="31"/>
      <c r="N46" s="8"/>
      <c r="O46" s="31"/>
      <c r="P46" s="31"/>
      <c r="Q46" s="31"/>
      <c r="R46" s="31"/>
    </row>
    <row r="47" ht="15.75" hidden="1" customHeight="1">
      <c r="A47" s="31"/>
      <c r="B47" s="31"/>
      <c r="C47" s="31"/>
      <c r="D47" s="31"/>
      <c r="E47" s="31"/>
      <c r="F47" s="31"/>
      <c r="G47" s="31"/>
      <c r="H47" s="31"/>
      <c r="I47" s="8"/>
      <c r="J47" s="31"/>
      <c r="K47" s="31"/>
      <c r="L47" s="31"/>
      <c r="M47" s="31"/>
      <c r="N47" s="8"/>
      <c r="O47" s="31"/>
      <c r="P47" s="31"/>
      <c r="Q47" s="31"/>
      <c r="R47" s="31"/>
    </row>
    <row r="48" ht="15.75" hidden="1" customHeight="1">
      <c r="A48" s="31"/>
      <c r="B48" s="31"/>
      <c r="C48" s="31"/>
      <c r="D48" s="31"/>
      <c r="E48" s="31"/>
      <c r="F48" s="31"/>
      <c r="G48" s="31"/>
      <c r="H48" s="31"/>
      <c r="I48" s="8"/>
      <c r="J48" s="31"/>
      <c r="K48" s="31"/>
      <c r="L48" s="31"/>
      <c r="M48" s="31"/>
      <c r="N48" s="8"/>
      <c r="O48" s="31"/>
      <c r="P48" s="31"/>
      <c r="Q48" s="31"/>
      <c r="R48" s="31"/>
    </row>
    <row r="49" ht="15.75" hidden="1" customHeight="1">
      <c r="A49" s="31"/>
      <c r="B49" s="31"/>
      <c r="C49" s="31"/>
      <c r="D49" s="31"/>
      <c r="E49" s="31"/>
      <c r="F49" s="31"/>
      <c r="G49" s="31"/>
      <c r="H49" s="31"/>
      <c r="I49" s="8"/>
      <c r="J49" s="31"/>
      <c r="K49" s="31"/>
      <c r="L49" s="31"/>
      <c r="M49" s="31"/>
      <c r="N49" s="8"/>
      <c r="O49" s="31"/>
      <c r="P49" s="31"/>
      <c r="Q49" s="31"/>
      <c r="R49" s="31"/>
    </row>
    <row r="50" ht="15.75" hidden="1" customHeight="1">
      <c r="A50" s="31"/>
      <c r="B50" s="31"/>
      <c r="C50" s="31"/>
      <c r="D50" s="31"/>
      <c r="E50" s="31"/>
      <c r="F50" s="31"/>
      <c r="G50" s="31"/>
      <c r="H50" s="31"/>
      <c r="I50" s="8"/>
      <c r="J50" s="31"/>
      <c r="K50" s="31"/>
      <c r="L50" s="31"/>
      <c r="M50" s="31"/>
      <c r="N50" s="8"/>
      <c r="O50" s="31"/>
      <c r="P50" s="31"/>
      <c r="Q50" s="31"/>
      <c r="R50" s="31"/>
    </row>
    <row r="51" ht="15.75" hidden="1" customHeight="1">
      <c r="A51" s="31"/>
      <c r="B51" s="31"/>
      <c r="C51" s="31"/>
      <c r="D51" s="31"/>
      <c r="E51" s="31"/>
      <c r="F51" s="31"/>
      <c r="G51" s="31"/>
      <c r="H51" s="31"/>
      <c r="I51" s="8"/>
      <c r="J51" s="31"/>
      <c r="K51" s="31"/>
      <c r="L51" s="31"/>
      <c r="M51" s="31"/>
      <c r="N51" s="8"/>
      <c r="O51" s="31"/>
      <c r="P51" s="31"/>
      <c r="Q51" s="31"/>
      <c r="R51" s="31"/>
    </row>
    <row r="52" ht="15.75" hidden="1" customHeight="1">
      <c r="A52" s="31"/>
      <c r="B52" s="31"/>
      <c r="C52" s="31"/>
      <c r="D52" s="31"/>
      <c r="E52" s="31"/>
      <c r="F52" s="31"/>
      <c r="G52" s="31"/>
      <c r="H52" s="31"/>
      <c r="I52" s="8"/>
      <c r="J52" s="31"/>
      <c r="K52" s="31"/>
      <c r="L52" s="31"/>
      <c r="M52" s="31"/>
      <c r="N52" s="8"/>
      <c r="O52" s="31"/>
      <c r="P52" s="31"/>
      <c r="Q52" s="31"/>
      <c r="R52" s="31"/>
    </row>
    <row r="53" ht="15.75" hidden="1" customHeight="1">
      <c r="A53" s="31"/>
      <c r="B53" s="31"/>
      <c r="C53" s="31"/>
      <c r="D53" s="31"/>
      <c r="E53" s="31"/>
      <c r="F53" s="31"/>
      <c r="G53" s="31"/>
      <c r="H53" s="31"/>
      <c r="I53" s="8"/>
      <c r="J53" s="31"/>
      <c r="K53" s="31"/>
      <c r="L53" s="31"/>
      <c r="M53" s="31"/>
      <c r="N53" s="8"/>
      <c r="O53" s="31"/>
      <c r="P53" s="31"/>
      <c r="Q53" s="31"/>
      <c r="R53" s="31"/>
    </row>
    <row r="54" ht="15.75" hidden="1" customHeight="1">
      <c r="A54" s="31"/>
      <c r="B54" s="31"/>
      <c r="C54" s="31"/>
      <c r="D54" s="31"/>
      <c r="E54" s="31"/>
      <c r="F54" s="31"/>
      <c r="G54" s="31"/>
      <c r="H54" s="31"/>
      <c r="I54" s="8"/>
      <c r="J54" s="31"/>
      <c r="K54" s="31"/>
      <c r="L54" s="31"/>
      <c r="M54" s="31"/>
      <c r="N54" s="8"/>
      <c r="O54" s="31"/>
      <c r="P54" s="31"/>
      <c r="Q54" s="31"/>
      <c r="R54" s="31"/>
    </row>
    <row r="55" ht="15.75" hidden="1" customHeight="1">
      <c r="A55" s="31"/>
      <c r="B55" s="31"/>
      <c r="C55" s="31"/>
      <c r="D55" s="31"/>
      <c r="E55" s="31"/>
      <c r="F55" s="31"/>
      <c r="G55" s="31"/>
      <c r="H55" s="31"/>
      <c r="I55" s="8"/>
      <c r="J55" s="31"/>
      <c r="K55" s="31"/>
      <c r="L55" s="31"/>
      <c r="M55" s="31"/>
      <c r="N55" s="8"/>
      <c r="O55" s="31"/>
      <c r="P55" s="31"/>
      <c r="Q55" s="31"/>
      <c r="R55" s="31"/>
    </row>
    <row r="56" ht="15.75" hidden="1" customHeight="1">
      <c r="A56" s="31"/>
      <c r="B56" s="31"/>
      <c r="C56" s="31"/>
      <c r="D56" s="31"/>
      <c r="E56" s="31"/>
      <c r="F56" s="31"/>
      <c r="G56" s="31"/>
      <c r="H56" s="31"/>
      <c r="I56" s="8"/>
      <c r="J56" s="31"/>
      <c r="K56" s="31"/>
      <c r="L56" s="31"/>
      <c r="M56" s="31"/>
      <c r="N56" s="8"/>
      <c r="O56" s="31"/>
      <c r="P56" s="31"/>
      <c r="Q56" s="31"/>
      <c r="R56" s="31"/>
    </row>
    <row r="57" ht="15.75" hidden="1" customHeight="1">
      <c r="A57" s="31"/>
      <c r="B57" s="31"/>
      <c r="C57" s="31"/>
      <c r="D57" s="31"/>
      <c r="E57" s="31"/>
      <c r="F57" s="31"/>
      <c r="G57" s="31"/>
      <c r="H57" s="31"/>
      <c r="I57" s="8"/>
      <c r="J57" s="31"/>
      <c r="K57" s="31"/>
      <c r="L57" s="31"/>
      <c r="M57" s="31"/>
      <c r="N57" s="8"/>
      <c r="O57" s="31"/>
      <c r="P57" s="31"/>
      <c r="Q57" s="31"/>
      <c r="R57" s="31"/>
    </row>
    <row r="58" ht="15.75" hidden="1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8"/>
      <c r="O58" s="31"/>
      <c r="P58" s="31"/>
      <c r="Q58" s="31"/>
      <c r="R58" s="31"/>
    </row>
    <row r="59" ht="15.75" hidden="1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</row>
    <row r="60" ht="15.75" hidden="1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</row>
    <row r="61" ht="15.75" hidden="1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</row>
    <row r="62" ht="15.75" hidden="1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</row>
    <row r="63" ht="15.75" hidden="1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</row>
    <row r="64" ht="15.75" hidden="1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</row>
    <row r="65" ht="15.75" hidden="1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</row>
    <row r="66" ht="15.75" hidden="1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</row>
    <row r="67" ht="15.75" hidden="1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</row>
    <row r="68" ht="15.75" hidden="1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</row>
    <row r="69" ht="15.75" hidden="1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</row>
    <row r="70" ht="15.75" hidden="1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</row>
    <row r="71" ht="15.75" hidden="1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</row>
    <row r="72" ht="15.75" hidden="1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</row>
    <row r="73" ht="15.75" hidden="1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</row>
    <row r="74" ht="15.75" hidden="1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</row>
    <row r="75" ht="15.75" hidden="1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</row>
    <row r="76" ht="15.75" hidden="1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</row>
    <row r="77" ht="15.75" hidden="1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 ht="15.75" hidden="1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</row>
    <row r="79" ht="15.75" hidden="1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</row>
    <row r="80" ht="15.75" hidden="1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</row>
    <row r="81" ht="15.75" hidden="1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</row>
    <row r="82" ht="15.75" hidden="1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</row>
    <row r="83" ht="15.75" hidden="1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</row>
    <row r="84" ht="15.75" hidden="1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</row>
    <row r="85" ht="15.75" hidden="1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</row>
    <row r="86" ht="15.75" hidden="1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</row>
    <row r="87" ht="15.75" hidden="1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</row>
    <row r="88" ht="15.75" hidden="1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</row>
    <row r="89" ht="15.75" hidden="1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</row>
    <row r="90" ht="15.75" hidden="1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</row>
    <row r="91" ht="15.75" hidden="1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</row>
    <row r="92" ht="15.75" hidden="1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</row>
    <row r="93" ht="15.75" hidden="1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</row>
    <row r="94" ht="15.75" hidden="1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</row>
    <row r="95" ht="15.75" hidden="1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</row>
    <row r="96" ht="15.75" hidden="1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</row>
    <row r="97" ht="15.75" hidden="1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</row>
    <row r="98" ht="15.75" hidden="1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</row>
    <row r="99" ht="15.75" hidden="1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</row>
    <row r="100" ht="15.75" hidden="1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</row>
    <row r="101" ht="15.75" hidden="1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ht="15.75" hidden="1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</row>
    <row r="103" ht="15.75" hidden="1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</row>
    <row r="104" ht="15.75" hidden="1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</row>
    <row r="105" ht="15.75" hidden="1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</row>
    <row r="106" ht="15.75" hidden="1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</row>
    <row r="107" ht="15.75" hidden="1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</row>
    <row r="108" ht="15.75" hidden="1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</row>
    <row r="109" ht="15.75" hidden="1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</row>
    <row r="110" ht="15.75" hidden="1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</row>
    <row r="111" ht="15.75" hidden="1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</row>
    <row r="112" ht="15.75" hidden="1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</row>
    <row r="113" ht="15.75" hidden="1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</row>
    <row r="114" ht="15.75" hidden="1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</row>
    <row r="115" ht="15.75" hidden="1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</row>
    <row r="116" ht="15.75" hidden="1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</row>
    <row r="117" ht="15.75" hidden="1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</row>
    <row r="118" ht="15.75" hidden="1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</row>
    <row r="119" ht="15.75" hidden="1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</row>
    <row r="120" ht="15.75" hidden="1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</row>
    <row r="121" ht="15.75" hidden="1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</row>
    <row r="122" ht="15.75" hidden="1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</row>
    <row r="123" ht="15.75" hidden="1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</row>
    <row r="124" ht="15.75" hidden="1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</row>
    <row r="125" ht="15.75" hidden="1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</row>
    <row r="126" ht="15.75" hidden="1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</row>
    <row r="127" ht="15.75" hidden="1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</row>
    <row r="128" ht="15.75" hidden="1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</row>
    <row r="129" ht="15.75" hidden="1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</row>
    <row r="130" ht="15.75" hidden="1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</row>
    <row r="131" ht="15.75" hidden="1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</row>
    <row r="132" ht="15.75" hidden="1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</row>
    <row r="133" ht="15.75" hidden="1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</row>
    <row r="134" ht="15.75" hidden="1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</row>
    <row r="135" ht="15.75" hidden="1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</row>
    <row r="136" ht="15.75" hidden="1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</row>
    <row r="137" ht="15.75" hidden="1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</row>
    <row r="138" ht="15.75" hidden="1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</row>
    <row r="139" ht="15.75" hidden="1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</row>
    <row r="140" ht="15.75" hidden="1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</row>
    <row r="141" ht="15.75" hidden="1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</row>
    <row r="142" ht="15.75" hidden="1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</row>
    <row r="143" ht="15.75" hidden="1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</row>
    <row r="144" ht="15.75" hidden="1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</row>
    <row r="145" ht="15.75" hidden="1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</row>
    <row r="146" ht="15.75" hidden="1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</row>
    <row r="147" ht="15.75" hidden="1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</row>
    <row r="148" ht="15.75" hidden="1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</row>
    <row r="149" ht="15.75" hidden="1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ht="15.75" hidden="1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</row>
    <row r="151" ht="15.75" hidden="1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</row>
    <row r="152" ht="15.75" hidden="1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</row>
    <row r="153" ht="15.75" hidden="1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</row>
    <row r="154" ht="15.75" hidden="1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</row>
    <row r="155" ht="15.75" hidden="1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</row>
    <row r="156" ht="15.75" hidden="1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</row>
    <row r="157" ht="15.75" hidden="1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</row>
    <row r="158" ht="15.75" hidden="1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</row>
    <row r="159" ht="15.75" hidden="1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</row>
    <row r="160" ht="15.75" hidden="1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</row>
    <row r="161" ht="15.75" hidden="1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</row>
    <row r="162" ht="15.75" hidden="1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</row>
    <row r="163" ht="15.75" hidden="1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</row>
    <row r="164" ht="15.75" hidden="1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</row>
    <row r="165" ht="15.75" hidden="1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</row>
    <row r="166" ht="15.75" hidden="1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</row>
    <row r="167" ht="15.75" hidden="1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</row>
    <row r="168" ht="15.75" hidden="1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</row>
    <row r="169" ht="15.75" hidden="1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</row>
    <row r="170" ht="15.75" hidden="1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</row>
    <row r="171" ht="15.75" hidden="1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</row>
    <row r="172" ht="15.75" hidden="1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</row>
    <row r="173" ht="15.75" hidden="1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</row>
    <row r="174" ht="15.75" hidden="1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</row>
    <row r="175" ht="15.75" hidden="1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</row>
    <row r="176" ht="15.75" hidden="1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</row>
    <row r="177" ht="15.75" hidden="1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</row>
    <row r="178" ht="15.75" hidden="1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</row>
    <row r="179" ht="15.75" hidden="1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</row>
    <row r="180" ht="15.75" hidden="1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</row>
    <row r="181" ht="15.75" hidden="1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</row>
    <row r="182" ht="15.75" hidden="1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</row>
    <row r="183" ht="15.75" hidden="1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</row>
    <row r="184" ht="15.75" hidden="1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</row>
    <row r="185" ht="15.75" hidden="1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</row>
    <row r="186" ht="15.75" hidden="1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</row>
    <row r="187" ht="15.75" hidden="1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</row>
    <row r="188" ht="15.75" hidden="1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</row>
    <row r="189" ht="15.75" hidden="1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</row>
    <row r="190" ht="15.75" hidden="1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</row>
    <row r="191" ht="15.75" hidden="1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</row>
    <row r="192" ht="15.75" hidden="1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</row>
    <row r="193" ht="15.75" hidden="1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</row>
    <row r="194" ht="15.75" hidden="1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</row>
    <row r="195" ht="15.75" hidden="1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</row>
    <row r="196" ht="15.75" hidden="1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</row>
    <row r="197" ht="15.75" hidden="1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</row>
    <row r="198" ht="15.75" hidden="1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</row>
    <row r="199" ht="15.75" hidden="1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</row>
    <row r="200" ht="15.75" hidden="1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</row>
    <row r="201" ht="15.75" hidden="1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</row>
    <row r="202" ht="15.75" hidden="1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</row>
    <row r="203" ht="15.75" hidden="1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</row>
    <row r="204" ht="15.75" hidden="1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</row>
    <row r="205" ht="15.75" hidden="1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</row>
    <row r="206" ht="15.75" hidden="1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</row>
    <row r="207" ht="15.75" hidden="1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</row>
    <row r="208" ht="15.75" hidden="1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</row>
    <row r="209" ht="15.75" hidden="1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</row>
    <row r="210" ht="15.75" hidden="1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</row>
    <row r="211" ht="15.75" hidden="1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</row>
    <row r="212" ht="15.75" hidden="1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</row>
    <row r="213" ht="15.75" hidden="1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</row>
    <row r="214" ht="15.75" hidden="1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</row>
    <row r="215" ht="15.75" hidden="1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</row>
    <row r="216" ht="15.75" hidden="1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</row>
    <row r="217" ht="15.75" hidden="1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</row>
    <row r="218" ht="15.75" hidden="1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</row>
    <row r="219" ht="15.75" hidden="1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</row>
    <row r="220" ht="15.75" hidden="1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</row>
    <row r="221" ht="15.75" hidden="1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</row>
    <row r="222" ht="15.75" hidden="1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</row>
    <row r="223" ht="15.75" hidden="1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</row>
    <row r="224" ht="15.75" hidden="1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</row>
    <row r="225" ht="15.75" hidden="1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</row>
    <row r="226" ht="15.75" hidden="1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</row>
    <row r="227" ht="15.75" hidden="1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</row>
    <row r="228" ht="15.75" hidden="1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</row>
    <row r="229" ht="15.75" hidden="1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</row>
    <row r="230" ht="15.75" hidden="1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</row>
    <row r="231" ht="15.75" hidden="1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</row>
    <row r="232" ht="15.75" hidden="1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</row>
    <row r="233" ht="15.75" hidden="1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</row>
    <row r="234" ht="15.75" hidden="1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</row>
    <row r="235" ht="15.75" hidden="1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</row>
    <row r="236" ht="15.75" hidden="1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</row>
    <row r="237" ht="15.75" hidden="1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</row>
    <row r="238" ht="15.75" hidden="1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</row>
    <row r="239" ht="15.75" hidden="1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</row>
    <row r="240" ht="15.75" hidden="1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</row>
    <row r="241" ht="15.75" hidden="1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</row>
    <row r="242" ht="15.75" hidden="1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</row>
    <row r="243" ht="15.75" hidden="1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</row>
    <row r="244" ht="15.75" hidden="1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</row>
    <row r="245" ht="15.75" hidden="1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</row>
    <row r="246" ht="15.75" hidden="1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</row>
    <row r="247" ht="15.75" hidden="1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</row>
    <row r="248" ht="15.75" hidden="1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</row>
    <row r="249" ht="15.75" hidden="1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</row>
    <row r="250" ht="15.75" hidden="1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</row>
    <row r="251" ht="15.75" hidden="1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</row>
    <row r="252" ht="15.75" hidden="1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</row>
    <row r="253" ht="15.75" hidden="1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</row>
    <row r="254" ht="15.75" hidden="1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</row>
    <row r="255" ht="15.75" hidden="1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</row>
    <row r="256" ht="15.75" hidden="1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</row>
    <row r="257" ht="15.75" hidden="1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</row>
    <row r="258" ht="15.75" hidden="1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</row>
    <row r="259" ht="15.75" hidden="1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</row>
    <row r="260" ht="15.75" hidden="1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</row>
    <row r="261" ht="15.75" hidden="1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</row>
    <row r="262" ht="15.75" hidden="1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</row>
    <row r="263" ht="15.75" hidden="1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</row>
    <row r="264" ht="15.75" hidden="1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</row>
    <row r="265" ht="15.75" hidden="1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</row>
    <row r="266" ht="15.75" hidden="1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</row>
    <row r="267" ht="15.75" hidden="1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</row>
    <row r="268" ht="15.75" hidden="1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</row>
    <row r="269" ht="15.75" hidden="1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</row>
    <row r="270" ht="15.75" hidden="1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</row>
    <row r="271" ht="15.75" hidden="1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</row>
    <row r="272" ht="15.75" hidden="1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</row>
    <row r="273" ht="15.75" hidden="1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</row>
    <row r="274" ht="15.75" hidden="1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</row>
    <row r="275" ht="15.75" hidden="1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</row>
    <row r="276" ht="15.75" hidden="1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</row>
    <row r="277" ht="15.75" hidden="1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</row>
    <row r="278" ht="15.75" hidden="1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</row>
    <row r="279" ht="15.75" hidden="1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</row>
    <row r="280" ht="15.75" hidden="1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</row>
    <row r="281" ht="15.75" hidden="1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</row>
    <row r="282" ht="15.75" hidden="1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</row>
    <row r="283" ht="15.75" hidden="1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</row>
    <row r="284" ht="15.75" hidden="1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</row>
    <row r="285" ht="15.75" hidden="1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</row>
    <row r="286" ht="15.75" hidden="1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</row>
    <row r="287" ht="15.75" hidden="1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</row>
    <row r="288" ht="15.75" hidden="1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</row>
    <row r="289" ht="15.75" hidden="1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</row>
    <row r="290" ht="15.75" hidden="1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</row>
    <row r="291" ht="15.75" hidden="1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</row>
    <row r="292" ht="15.75" hidden="1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</row>
    <row r="293" ht="15.75" hidden="1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ht="15.75" hidden="1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</row>
    <row r="295" ht="15.75" hidden="1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</row>
    <row r="296" ht="15.75" hidden="1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</row>
    <row r="297" ht="15.75" hidden="1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</row>
    <row r="298" ht="15.75" hidden="1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</row>
    <row r="299" ht="15.75" hidden="1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</row>
    <row r="300" ht="15.75" hidden="1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</row>
    <row r="301" ht="15.75" hidden="1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</row>
    <row r="302" ht="15.75" hidden="1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</row>
    <row r="303" ht="15.75" hidden="1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</row>
    <row r="304" ht="15.75" hidden="1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</row>
    <row r="305" ht="15.75" hidden="1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</row>
    <row r="306" ht="15.75" hidden="1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</row>
    <row r="307" ht="15.75" hidden="1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</row>
    <row r="308" ht="15.75" hidden="1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</row>
    <row r="309" ht="15.75" hidden="1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</row>
    <row r="310" ht="15.75" hidden="1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</row>
    <row r="311" ht="15.75" hidden="1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ht="15.75" hidden="1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ht="15.75" hidden="1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</row>
    <row r="314" ht="15.75" hidden="1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</row>
    <row r="315" ht="15.75" hidden="1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</row>
    <row r="316" ht="15.75" hidden="1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</row>
    <row r="317" ht="15.75" hidden="1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ht="15.75" hidden="1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</row>
    <row r="319" ht="15.75" hidden="1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</row>
    <row r="320" ht="15.75" hidden="1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</row>
    <row r="321" ht="15.75" hidden="1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</row>
    <row r="322" ht="15.75" hidden="1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</row>
    <row r="323" ht="15.75" hidden="1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</row>
    <row r="324" ht="15.75" hidden="1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</row>
    <row r="325" ht="15.75" hidden="1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</row>
    <row r="326" ht="15.75" hidden="1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</row>
    <row r="327" ht="15.75" hidden="1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</row>
    <row r="328" ht="15.75" hidden="1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</row>
    <row r="329" ht="15.75" hidden="1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</row>
    <row r="330" ht="15.75" hidden="1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</row>
    <row r="331" ht="15.75" hidden="1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</row>
    <row r="332" ht="15.75" hidden="1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</row>
    <row r="333" ht="15.75" hidden="1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</row>
    <row r="334" ht="15.75" hidden="1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</row>
    <row r="335" ht="15.75" hidden="1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</row>
    <row r="336" ht="15.75" hidden="1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</row>
    <row r="337" ht="15.75" hidden="1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</row>
    <row r="338" ht="15.75" hidden="1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</row>
    <row r="339" ht="15.75" hidden="1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</row>
    <row r="340" ht="15.75" hidden="1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</row>
    <row r="341" ht="15.75" hidden="1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ht="15.75" hidden="1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</row>
    <row r="343" ht="15.75" hidden="1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</row>
    <row r="344" ht="15.75" hidden="1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</row>
    <row r="345" ht="15.75" hidden="1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</row>
    <row r="346" ht="15.75" hidden="1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</row>
    <row r="347" ht="15.75" hidden="1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</row>
    <row r="348" ht="15.75" hidden="1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</row>
    <row r="349" ht="15.75" hidden="1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</row>
    <row r="350" ht="15.75" hidden="1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</row>
    <row r="351" ht="15.75" hidden="1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</row>
    <row r="352" ht="15.75" hidden="1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</row>
    <row r="353" ht="15.75" hidden="1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</row>
    <row r="354" ht="15.75" hidden="1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</row>
    <row r="355" ht="15.75" hidden="1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</row>
    <row r="356" ht="15.75" hidden="1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</row>
    <row r="357" ht="15.75" hidden="1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</row>
    <row r="358" ht="15.75" hidden="1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</row>
    <row r="359" ht="15.75" hidden="1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</row>
    <row r="360" ht="15.75" hidden="1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</row>
    <row r="361" ht="15.75" hidden="1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</row>
    <row r="362" ht="15.75" hidden="1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</row>
    <row r="363" ht="15.75" hidden="1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</row>
    <row r="364" ht="15.75" hidden="1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</row>
    <row r="365" ht="15.75" hidden="1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ht="15.75" hidden="1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</row>
    <row r="367" ht="15.75" hidden="1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</row>
    <row r="368" ht="15.75" hidden="1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</row>
    <row r="369" ht="15.75" hidden="1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</row>
    <row r="370" ht="15.75" hidden="1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</row>
    <row r="371" ht="15.75" hidden="1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</row>
    <row r="372" ht="15.75" hidden="1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</row>
    <row r="373" ht="15.75" hidden="1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</row>
    <row r="374" ht="15.75" hidden="1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</row>
    <row r="375" ht="15.75" hidden="1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</row>
    <row r="376" ht="15.75" hidden="1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</row>
    <row r="377" ht="15.75" hidden="1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</row>
    <row r="378" ht="15.75" hidden="1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</row>
    <row r="379" ht="15.75" hidden="1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</row>
    <row r="380" ht="15.75" hidden="1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</row>
    <row r="381" ht="15.75" hidden="1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</row>
    <row r="382" ht="15.75" hidden="1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</row>
    <row r="383" ht="15.75" hidden="1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</row>
    <row r="384" ht="15.75" hidden="1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</row>
    <row r="385" ht="15.75" hidden="1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</row>
    <row r="386" ht="15.75" hidden="1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</row>
    <row r="387" ht="15.75" hidden="1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</row>
    <row r="388" ht="15.75" hidden="1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</row>
    <row r="389" ht="15.75" hidden="1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ht="15.75" hidden="1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</row>
    <row r="391" ht="15.75" hidden="1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</row>
    <row r="392" ht="15.75" hidden="1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</row>
    <row r="393" ht="15.75" hidden="1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</row>
    <row r="394" ht="15.75" hidden="1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</row>
    <row r="395" ht="15.75" hidden="1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</row>
    <row r="396" ht="15.75" hidden="1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</row>
    <row r="397" ht="15.75" hidden="1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</row>
    <row r="398" ht="15.75" hidden="1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</row>
    <row r="399" ht="15.75" hidden="1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</row>
    <row r="400" ht="15.75" hidden="1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</row>
    <row r="401" ht="15.75" hidden="1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</row>
    <row r="402" ht="15.75" hidden="1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</row>
    <row r="403" ht="15.75" hidden="1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</row>
    <row r="404" ht="15.75" hidden="1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</row>
    <row r="405" ht="15.75" hidden="1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</row>
    <row r="406" ht="15.75" hidden="1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</row>
    <row r="407" ht="15.75" hidden="1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</row>
    <row r="408" ht="15.75" hidden="1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</row>
    <row r="409" ht="15.75" hidden="1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</row>
    <row r="410" ht="15.75" hidden="1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</row>
    <row r="411" ht="15.75" hidden="1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</row>
    <row r="412" ht="15.75" hidden="1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</row>
    <row r="413" ht="15.75" hidden="1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ht="15.75" hidden="1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</row>
    <row r="415" ht="15.75" hidden="1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</row>
    <row r="416" ht="15.75" hidden="1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</row>
    <row r="417" ht="15.75" hidden="1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</row>
    <row r="418" ht="15.75" hidden="1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</row>
    <row r="419" ht="15.75" hidden="1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</row>
    <row r="420" ht="15.75" hidden="1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</row>
    <row r="421" ht="15.75" hidden="1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</row>
    <row r="422" ht="15.75" hidden="1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</row>
    <row r="423" ht="15.75" hidden="1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</row>
    <row r="424" ht="15.75" hidden="1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</row>
    <row r="425" ht="15.75" hidden="1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</row>
    <row r="426" ht="15.75" hidden="1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</row>
    <row r="427" ht="15.75" hidden="1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</row>
    <row r="428" ht="15.75" hidden="1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</row>
    <row r="429" ht="15.75" hidden="1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</row>
    <row r="430" ht="15.75" hidden="1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</row>
    <row r="431" ht="15.75" hidden="1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</row>
    <row r="432" ht="15.75" hidden="1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</row>
    <row r="433" ht="15.75" hidden="1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</row>
    <row r="434" ht="15.75" hidden="1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</row>
    <row r="435" ht="15.75" hidden="1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</row>
    <row r="436" ht="15.75" hidden="1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</row>
    <row r="437" ht="15.75" hidden="1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ht="15.75" hidden="1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</row>
    <row r="439" ht="15.75" hidden="1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</row>
    <row r="440" ht="15.75" hidden="1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</row>
    <row r="441" ht="15.75" hidden="1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</row>
    <row r="442" ht="15.75" hidden="1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</row>
    <row r="443" ht="15.75" hidden="1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</row>
    <row r="444" ht="15.75" hidden="1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</row>
    <row r="445" ht="15.75" hidden="1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</row>
    <row r="446" ht="15.75" hidden="1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</row>
    <row r="447" ht="15.75" hidden="1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</row>
    <row r="448" ht="15.75" hidden="1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</row>
    <row r="449" ht="15.75" hidden="1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</row>
    <row r="450" ht="15.75" hidden="1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</row>
    <row r="451" ht="15.75" hidden="1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</row>
    <row r="452" ht="15.75" hidden="1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</row>
    <row r="453" ht="15.75" hidden="1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</row>
    <row r="454" ht="15.75" hidden="1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</row>
    <row r="455" ht="15.75" hidden="1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</row>
    <row r="456" ht="15.75" hidden="1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</row>
    <row r="457" ht="15.75" hidden="1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</row>
    <row r="458" ht="15.75" hidden="1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</row>
    <row r="459" ht="15.75" hidden="1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</row>
    <row r="460" ht="15.75" hidden="1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</row>
    <row r="461" ht="15.75" hidden="1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ht="15.75" hidden="1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</row>
    <row r="463" ht="15.75" hidden="1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</row>
    <row r="464" ht="15.75" hidden="1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</row>
    <row r="465" ht="15.75" hidden="1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</row>
    <row r="466" ht="15.75" hidden="1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</row>
    <row r="467" ht="15.75" hidden="1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</row>
    <row r="468" ht="15.75" hidden="1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</row>
    <row r="469" ht="15.75" hidden="1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</row>
    <row r="470" ht="15.75" hidden="1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</row>
    <row r="471" ht="15.75" hidden="1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</row>
    <row r="472" ht="15.75" hidden="1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</row>
    <row r="473" ht="15.75" hidden="1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</row>
    <row r="474" ht="15.75" hidden="1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</row>
    <row r="475" ht="15.75" hidden="1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</row>
    <row r="476" ht="15.75" hidden="1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</row>
    <row r="477" ht="15.75" hidden="1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</row>
    <row r="478" ht="15.75" hidden="1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</row>
    <row r="479" ht="15.75" hidden="1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</row>
    <row r="480" ht="15.75" hidden="1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</row>
    <row r="481" ht="15.75" hidden="1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</row>
    <row r="482" ht="15.75" hidden="1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</row>
    <row r="483" ht="15.75" hidden="1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</row>
    <row r="484" ht="15.75" hidden="1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</row>
    <row r="485" ht="15.75" hidden="1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ht="15.75" hidden="1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</row>
    <row r="487" ht="15.75" hidden="1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</row>
    <row r="488" ht="15.75" hidden="1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</row>
    <row r="489" ht="15.75" hidden="1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</row>
    <row r="490" ht="15.75" hidden="1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</row>
    <row r="491" ht="15.75" hidden="1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</row>
    <row r="492" ht="15.75" hidden="1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</row>
    <row r="493" ht="15.75" hidden="1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</row>
    <row r="494" ht="15.75" hidden="1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</row>
    <row r="495" ht="15.75" hidden="1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</row>
    <row r="496" ht="15.75" hidden="1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</row>
    <row r="497" ht="15.75" hidden="1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</row>
    <row r="498" ht="15.75" hidden="1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</row>
    <row r="499" ht="15.75" hidden="1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</row>
    <row r="500" ht="15.75" hidden="1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</row>
    <row r="501" ht="15.75" hidden="1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</row>
    <row r="502" ht="15.75" hidden="1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</row>
    <row r="503" ht="15.75" hidden="1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</row>
    <row r="504" ht="15.75" hidden="1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</row>
    <row r="505" ht="15.75" hidden="1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</row>
    <row r="506" ht="15.75" hidden="1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</row>
    <row r="507" ht="15.75" hidden="1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</row>
    <row r="508" ht="15.75" hidden="1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</row>
    <row r="509" ht="15.75" hidden="1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ht="15.75" hidden="1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</row>
    <row r="511" ht="15.75" hidden="1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</row>
    <row r="512" ht="15.75" hidden="1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</row>
    <row r="513" ht="15.75" hidden="1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</row>
    <row r="514" ht="15.75" hidden="1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</row>
    <row r="515" ht="15.75" hidden="1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</row>
    <row r="516" ht="15.75" hidden="1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</row>
    <row r="517" ht="15.75" hidden="1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</row>
    <row r="518" ht="15.75" hidden="1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</row>
    <row r="519" ht="15.75" hidden="1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</row>
    <row r="520" ht="15.75" hidden="1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</row>
    <row r="521" ht="15.75" hidden="1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</row>
    <row r="522" ht="15.75" hidden="1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</row>
    <row r="523" ht="15.75" hidden="1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</row>
    <row r="524" ht="15.75" hidden="1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</row>
    <row r="525" ht="15.75" hidden="1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</row>
    <row r="526" ht="15.75" hidden="1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</row>
    <row r="527" ht="15.75" hidden="1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</row>
    <row r="528" ht="15.75" hidden="1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</row>
    <row r="529" ht="15.75" hidden="1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</row>
    <row r="530" ht="15.75" hidden="1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</row>
    <row r="531" ht="15.75" hidden="1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</row>
    <row r="532" ht="15.75" hidden="1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</row>
    <row r="533" ht="15.75" hidden="1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ht="15.75" hidden="1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</row>
    <row r="535" ht="15.75" hidden="1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</row>
    <row r="536" ht="15.75" hidden="1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</row>
    <row r="537" ht="15.75" hidden="1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</row>
    <row r="538" ht="15.75" hidden="1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</row>
    <row r="539" ht="15.75" hidden="1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</row>
    <row r="540" ht="15.75" hidden="1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</row>
    <row r="541" ht="15.75" hidden="1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</row>
    <row r="542" ht="15.75" hidden="1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</row>
    <row r="543" ht="15.75" hidden="1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</row>
    <row r="544" ht="15.75" hidden="1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</row>
    <row r="545" ht="15.75" hidden="1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</row>
    <row r="546" ht="15.75" hidden="1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</row>
    <row r="547" ht="15.75" hidden="1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</row>
    <row r="548" ht="15.75" hidden="1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</row>
    <row r="549" ht="15.75" hidden="1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</row>
    <row r="550" ht="15.75" hidden="1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</row>
    <row r="551" ht="15.75" hidden="1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</row>
    <row r="552" ht="15.75" hidden="1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</row>
    <row r="553" ht="15.75" hidden="1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</row>
    <row r="554" ht="15.75" hidden="1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</row>
    <row r="555" ht="15.75" hidden="1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</row>
    <row r="556" ht="15.75" hidden="1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</row>
    <row r="557" ht="15.75" hidden="1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ht="15.75" hidden="1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</row>
    <row r="559" ht="15.75" hidden="1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</row>
    <row r="560" ht="15.75" hidden="1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</row>
    <row r="561" ht="15.75" hidden="1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</row>
    <row r="562" ht="15.75" hidden="1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</row>
    <row r="563" ht="15.75" hidden="1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</row>
    <row r="564" ht="15.75" hidden="1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</row>
    <row r="565" ht="15.75" hidden="1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</row>
    <row r="566" ht="15.75" hidden="1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</row>
    <row r="567" ht="15.75" hidden="1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</row>
    <row r="568" ht="15.75" hidden="1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</row>
    <row r="569" ht="15.75" hidden="1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</row>
    <row r="570" ht="15.75" hidden="1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</row>
    <row r="571" ht="15.75" hidden="1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</row>
    <row r="572" ht="15.75" hidden="1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</row>
    <row r="573" ht="15.75" hidden="1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</row>
    <row r="574" ht="15.75" hidden="1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</row>
    <row r="575" ht="15.75" hidden="1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</row>
    <row r="576" ht="15.75" hidden="1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</row>
    <row r="577" ht="15.75" hidden="1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</row>
    <row r="578" ht="15.75" hidden="1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</row>
    <row r="579" ht="15.75" hidden="1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</row>
    <row r="580" ht="15.75" hidden="1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</row>
    <row r="581" ht="15.75" hidden="1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ht="15.75" hidden="1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</row>
    <row r="583" ht="15.75" hidden="1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</row>
    <row r="584" ht="15.75" hidden="1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</row>
    <row r="585" ht="15.75" hidden="1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</row>
    <row r="586" ht="15.75" hidden="1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</row>
    <row r="587" ht="15.75" hidden="1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</row>
    <row r="588" ht="15.75" hidden="1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</row>
    <row r="589" ht="15.75" hidden="1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</row>
    <row r="590" ht="15.75" hidden="1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</row>
    <row r="591" ht="15.75" hidden="1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</row>
    <row r="592" ht="15.75" hidden="1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</row>
    <row r="593" ht="15.75" hidden="1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</row>
    <row r="594" ht="15.75" hidden="1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</row>
    <row r="595" ht="15.75" hidden="1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</row>
    <row r="596" ht="15.75" hidden="1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</row>
    <row r="597" ht="15.75" hidden="1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</row>
    <row r="598" ht="15.75" hidden="1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</row>
    <row r="599" ht="15.75" hidden="1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</row>
    <row r="600" ht="15.75" hidden="1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</row>
    <row r="601" ht="15.75" hidden="1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</row>
    <row r="602" ht="15.75" hidden="1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</row>
    <row r="603" ht="15.75" hidden="1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</row>
    <row r="604" ht="15.75" hidden="1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</row>
    <row r="605" ht="15.75" hidden="1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ht="15.75" hidden="1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</row>
    <row r="607" ht="15.75" hidden="1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</row>
    <row r="608" ht="15.75" hidden="1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</row>
    <row r="609" ht="15.75" hidden="1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</row>
    <row r="610" ht="15.75" hidden="1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</row>
    <row r="611" ht="15.75" hidden="1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</row>
    <row r="612" ht="15.75" hidden="1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</row>
    <row r="613" ht="15.75" hidden="1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</row>
    <row r="614" ht="15.75" hidden="1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</row>
    <row r="615" ht="15.75" hidden="1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</row>
    <row r="616" ht="15.75" hidden="1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</row>
    <row r="617" ht="15.75" hidden="1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</row>
    <row r="618" ht="15.75" hidden="1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</row>
    <row r="619" ht="15.75" hidden="1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</row>
    <row r="620" ht="15.75" hidden="1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</row>
    <row r="621" ht="15.75" hidden="1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</row>
    <row r="622" ht="15.75" hidden="1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</row>
    <row r="623" ht="15.75" hidden="1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</row>
    <row r="624" ht="15.75" hidden="1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</row>
    <row r="625" ht="15.75" hidden="1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</row>
    <row r="626" ht="15.75" hidden="1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</row>
    <row r="627" ht="15.75" hidden="1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</row>
    <row r="628" ht="15.75" hidden="1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</row>
    <row r="629" ht="15.75" hidden="1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ht="15.75" hidden="1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</row>
    <row r="631" ht="15.75" hidden="1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</row>
    <row r="632" ht="15.75" hidden="1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</row>
    <row r="633" ht="15.75" hidden="1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</row>
    <row r="634" ht="15.75" hidden="1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</row>
    <row r="635" ht="15.75" hidden="1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</row>
    <row r="636" ht="15.75" hidden="1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</row>
    <row r="637" ht="15.75" hidden="1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</row>
    <row r="638" ht="15.75" hidden="1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</row>
    <row r="639" ht="15.75" hidden="1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</row>
    <row r="640" ht="15.75" hidden="1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</row>
    <row r="641" ht="15.75" hidden="1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</row>
    <row r="642" ht="15.75" hidden="1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</row>
    <row r="643" ht="15.75" hidden="1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</row>
    <row r="644" ht="15.75" hidden="1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</row>
    <row r="645" ht="15.75" hidden="1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</row>
    <row r="646" ht="15.75" hidden="1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</row>
    <row r="647" ht="15.75" hidden="1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</row>
    <row r="648" ht="15.75" hidden="1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</row>
    <row r="649" ht="15.75" hidden="1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</row>
    <row r="650" ht="15.75" hidden="1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</row>
    <row r="651" ht="15.75" hidden="1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</row>
    <row r="652" ht="15.75" hidden="1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</row>
    <row r="653" ht="15.75" hidden="1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ht="15.75" hidden="1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</row>
    <row r="655" ht="15.75" hidden="1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</row>
    <row r="656" ht="15.75" hidden="1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</row>
    <row r="657" ht="15.75" hidden="1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</row>
    <row r="658" ht="15.75" hidden="1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</row>
    <row r="659" ht="15.75" hidden="1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</row>
    <row r="660" ht="15.75" hidden="1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</row>
    <row r="661" ht="15.75" hidden="1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</row>
    <row r="662" ht="15.75" hidden="1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</row>
    <row r="663" ht="15.75" hidden="1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</row>
    <row r="664" ht="15.75" hidden="1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</row>
    <row r="665" ht="15.75" hidden="1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</row>
    <row r="666" ht="15.75" hidden="1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</row>
    <row r="667" ht="15.75" hidden="1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</row>
    <row r="668" ht="15.75" hidden="1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</row>
    <row r="669" ht="15.75" hidden="1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</row>
    <row r="670" ht="15.75" hidden="1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</row>
    <row r="671" ht="15.75" hidden="1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</row>
    <row r="672" ht="15.75" hidden="1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</row>
    <row r="673" ht="15.75" hidden="1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</row>
    <row r="674" ht="15.75" hidden="1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</row>
    <row r="675" ht="15.75" hidden="1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</row>
    <row r="676" ht="15.75" hidden="1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</row>
    <row r="677" ht="15.75" hidden="1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ht="15.75" hidden="1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</row>
    <row r="679" ht="15.75" hidden="1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</row>
    <row r="680" ht="15.75" hidden="1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</row>
    <row r="681" ht="15.75" hidden="1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</row>
    <row r="682" ht="15.75" hidden="1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</row>
    <row r="683" ht="15.75" hidden="1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</row>
    <row r="684" ht="15.75" hidden="1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</row>
    <row r="685" ht="15.75" hidden="1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</row>
    <row r="686" ht="15.75" hidden="1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</row>
    <row r="687" ht="15.75" hidden="1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</row>
    <row r="688" ht="15.75" hidden="1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</row>
    <row r="689" ht="15.75" hidden="1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</row>
    <row r="690" ht="15.75" hidden="1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</row>
    <row r="691" ht="15.75" hidden="1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</row>
    <row r="692" ht="15.75" hidden="1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</row>
    <row r="693" ht="15.75" hidden="1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</row>
    <row r="694" ht="15.75" hidden="1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</row>
    <row r="695" ht="15.75" hidden="1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</row>
    <row r="696" ht="15.75" hidden="1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</row>
    <row r="697" ht="15.75" hidden="1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</row>
    <row r="698" ht="15.75" hidden="1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</row>
    <row r="699" ht="15.75" hidden="1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</row>
    <row r="700" ht="15.75" hidden="1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</row>
    <row r="701" ht="15.75" hidden="1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ht="15.75" hidden="1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</row>
    <row r="703" ht="15.75" hidden="1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</row>
    <row r="704" ht="15.75" hidden="1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</row>
    <row r="705" ht="15.75" hidden="1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</row>
    <row r="706" ht="15.75" hidden="1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</row>
    <row r="707" ht="15.75" hidden="1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</row>
    <row r="708" ht="15.75" hidden="1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</row>
    <row r="709" ht="15.75" hidden="1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</row>
    <row r="710" ht="15.75" hidden="1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</row>
    <row r="711" ht="15.75" hidden="1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</row>
    <row r="712" ht="15.75" hidden="1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</row>
    <row r="713" ht="15.75" hidden="1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</row>
    <row r="714" ht="15.75" hidden="1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</row>
    <row r="715" ht="15.75" hidden="1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</row>
    <row r="716" ht="15.75" hidden="1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</row>
    <row r="717" ht="15.75" hidden="1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</row>
    <row r="718" ht="15.75" hidden="1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</row>
    <row r="719" ht="15.75" hidden="1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</row>
    <row r="720" ht="15.75" hidden="1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</row>
    <row r="721" ht="15.75" hidden="1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</row>
    <row r="722" ht="15.75" hidden="1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</row>
    <row r="723" ht="15.75" hidden="1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</row>
    <row r="724" ht="15.75" hidden="1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</row>
    <row r="725" ht="15.75" hidden="1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</row>
    <row r="726" ht="15.75" hidden="1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</row>
    <row r="727" ht="15.75" hidden="1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</row>
    <row r="728" ht="15.75" hidden="1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</row>
    <row r="729" ht="15.75" hidden="1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</row>
    <row r="730" ht="15.75" hidden="1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</row>
    <row r="731" ht="15.75" hidden="1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</row>
    <row r="732" ht="15.75" hidden="1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</row>
    <row r="733" ht="15.75" hidden="1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</row>
    <row r="734" ht="15.75" hidden="1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</row>
    <row r="735" ht="15.75" hidden="1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</row>
    <row r="736" ht="15.75" hidden="1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</row>
    <row r="737" ht="15.75" hidden="1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</row>
    <row r="738" ht="15.75" hidden="1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</row>
    <row r="739" ht="15.75" hidden="1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</row>
    <row r="740" ht="15.75" hidden="1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</row>
    <row r="741" ht="15.75" hidden="1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</row>
    <row r="742" ht="15.75" hidden="1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</row>
    <row r="743" ht="15.75" hidden="1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</row>
    <row r="744" ht="15.75" hidden="1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</row>
    <row r="745" ht="15.75" hidden="1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</row>
    <row r="746" ht="15.75" hidden="1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</row>
    <row r="747" ht="15.75" hidden="1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</row>
    <row r="748" ht="15.75" hidden="1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</row>
    <row r="749" ht="15.75" hidden="1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</row>
    <row r="750" ht="15.75" hidden="1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</row>
    <row r="751" ht="15.75" hidden="1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</row>
    <row r="752" ht="15.75" hidden="1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</row>
    <row r="753" ht="15.75" hidden="1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</row>
    <row r="754" ht="15.75" hidden="1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</row>
    <row r="755" ht="15.75" hidden="1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</row>
    <row r="756" ht="15.75" hidden="1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</row>
    <row r="757" ht="15.75" hidden="1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</row>
    <row r="758" ht="15.75" hidden="1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</row>
    <row r="759" ht="15.75" hidden="1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</row>
    <row r="760" ht="15.75" hidden="1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</row>
    <row r="761" ht="15.75" hidden="1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</row>
    <row r="762" ht="15.75" hidden="1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</row>
    <row r="763" ht="15.75" hidden="1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</row>
    <row r="764" ht="15.75" hidden="1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</row>
    <row r="765" ht="15.75" hidden="1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</row>
    <row r="766" ht="15.75" hidden="1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</row>
    <row r="767" ht="15.75" hidden="1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</row>
    <row r="768" ht="15.75" hidden="1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</row>
    <row r="769" ht="15.75" hidden="1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</row>
    <row r="770" ht="15.75" hidden="1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</row>
    <row r="771" ht="15.75" hidden="1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</row>
    <row r="772" ht="15.75" hidden="1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</row>
    <row r="773" ht="15.75" hidden="1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</row>
    <row r="774" ht="15.75" hidden="1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</row>
    <row r="775" ht="15.75" hidden="1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</row>
    <row r="776" ht="15.75" hidden="1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</row>
    <row r="777" ht="15.75" hidden="1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</row>
    <row r="778" ht="15.75" hidden="1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</row>
    <row r="779" ht="15.75" hidden="1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</row>
    <row r="780" ht="15.75" hidden="1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</row>
    <row r="781" ht="15.75" hidden="1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</row>
    <row r="782" ht="15.75" hidden="1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</row>
    <row r="783" ht="15.75" hidden="1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</row>
    <row r="784" ht="15.75" hidden="1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</row>
    <row r="785" ht="15.75" hidden="1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</row>
    <row r="786" ht="15.75" hidden="1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</row>
    <row r="787" ht="15.75" hidden="1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</row>
    <row r="788" ht="15.75" hidden="1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</row>
    <row r="789" ht="15.75" hidden="1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</row>
    <row r="790" ht="15.75" hidden="1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</row>
    <row r="791" ht="15.75" hidden="1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</row>
    <row r="792" ht="15.75" hidden="1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</row>
    <row r="793" ht="15.75" hidden="1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</row>
    <row r="794" ht="15.75" hidden="1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</row>
    <row r="795" ht="15.75" hidden="1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</row>
    <row r="796" ht="15.75" hidden="1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</row>
    <row r="797" ht="15.75" hidden="1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</row>
    <row r="798" ht="15.75" hidden="1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</row>
    <row r="799" ht="15.75" hidden="1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</row>
    <row r="800" ht="15.75" hidden="1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</row>
    <row r="801" ht="15.75" hidden="1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</row>
    <row r="802" ht="15.75" hidden="1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</row>
    <row r="803" ht="15.75" hidden="1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</row>
    <row r="804" ht="15.75" hidden="1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</row>
    <row r="805" ht="15.75" hidden="1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</row>
    <row r="806" ht="15.75" hidden="1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</row>
    <row r="807" ht="15.75" hidden="1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</row>
    <row r="808" ht="15.75" hidden="1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</row>
    <row r="809" ht="15.75" hidden="1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</row>
    <row r="810" ht="15.75" hidden="1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</row>
    <row r="811" ht="15.75" hidden="1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</row>
    <row r="812" ht="15.75" hidden="1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</row>
    <row r="813" ht="15.75" hidden="1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</row>
    <row r="814" ht="15.75" hidden="1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</row>
    <row r="815" ht="15.75" hidden="1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</row>
    <row r="816" ht="15.75" hidden="1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</row>
    <row r="817" ht="15.75" hidden="1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</row>
    <row r="818" ht="15.75" hidden="1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</row>
    <row r="819" ht="15.75" hidden="1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</row>
    <row r="820" ht="15.75" hidden="1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</row>
    <row r="821" ht="15.75" hidden="1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</row>
    <row r="822" ht="15.75" hidden="1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</row>
    <row r="823" ht="15.75" hidden="1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</row>
    <row r="824" ht="15.75" hidden="1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</row>
    <row r="825" ht="15.75" hidden="1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</row>
    <row r="826" ht="15.75" hidden="1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</row>
    <row r="827" ht="15.75" hidden="1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</row>
    <row r="828" ht="15.75" hidden="1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</row>
    <row r="829" ht="15.75" hidden="1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</row>
    <row r="830" ht="15.75" hidden="1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</row>
    <row r="831" ht="15.75" hidden="1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</row>
    <row r="832" ht="15.75" hidden="1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</row>
    <row r="833" ht="15.75" hidden="1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</row>
    <row r="834" ht="15.75" hidden="1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</row>
    <row r="835" ht="15.75" hidden="1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</row>
    <row r="836" ht="15.75" hidden="1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</row>
    <row r="837" ht="15.75" hidden="1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</row>
    <row r="838" ht="15.75" hidden="1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</row>
    <row r="839" ht="15.75" hidden="1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</row>
    <row r="840" ht="15.75" hidden="1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</row>
    <row r="841" ht="15.75" hidden="1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</row>
    <row r="842" ht="15.75" hidden="1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</row>
    <row r="843" ht="15.75" hidden="1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</row>
    <row r="844" ht="15.75" hidden="1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</row>
    <row r="845" ht="15.75" hidden="1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</row>
    <row r="846" ht="15.75" hidden="1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</row>
    <row r="847" ht="15.75" hidden="1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</row>
    <row r="848" ht="15.75" hidden="1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</row>
    <row r="849" ht="15.75" hidden="1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</row>
    <row r="850" ht="15.75" hidden="1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</row>
    <row r="851" ht="15.75" hidden="1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</row>
    <row r="852" ht="15.75" hidden="1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</row>
    <row r="853" ht="15.75" hidden="1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</row>
    <row r="854" ht="15.75" hidden="1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</row>
    <row r="855" ht="15.75" hidden="1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</row>
    <row r="856" ht="15.75" hidden="1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</row>
    <row r="857" ht="15.75" hidden="1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</row>
    <row r="858" ht="15.75" hidden="1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</row>
    <row r="859" ht="15.75" hidden="1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</row>
    <row r="860" ht="15.75" hidden="1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</row>
    <row r="861" ht="15.75" hidden="1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</row>
    <row r="862" ht="15.75" hidden="1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</row>
    <row r="863" ht="15.75" hidden="1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</row>
    <row r="864" ht="15.75" hidden="1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</row>
    <row r="865" ht="15.75" hidden="1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</row>
    <row r="866" ht="15.75" hidden="1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</row>
    <row r="867" ht="15.75" hidden="1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</row>
    <row r="868" ht="15.75" hidden="1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</row>
    <row r="869" ht="15.75" hidden="1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</row>
    <row r="870" ht="15.75" hidden="1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</row>
    <row r="871" ht="15.75" hidden="1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</row>
    <row r="872" ht="15.75" hidden="1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</row>
    <row r="873" ht="15.75" hidden="1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</row>
    <row r="874" ht="15.75" hidden="1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</row>
    <row r="875" ht="15.75" hidden="1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</row>
    <row r="876" ht="15.75" hidden="1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</row>
    <row r="877" ht="15.75" hidden="1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</row>
    <row r="878" ht="15.75" hidden="1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</row>
    <row r="879" ht="15.75" hidden="1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</row>
    <row r="880" ht="15.75" hidden="1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</row>
    <row r="881" ht="15.75" hidden="1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</row>
    <row r="882" ht="15.75" hidden="1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</row>
    <row r="883" ht="15.75" hidden="1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</row>
    <row r="884" ht="15.75" hidden="1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</row>
    <row r="885" ht="15.75" hidden="1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</row>
    <row r="886" ht="15.75" hidden="1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</row>
    <row r="887" ht="15.75" hidden="1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</row>
    <row r="888" ht="15.75" hidden="1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</row>
    <row r="889" ht="15.75" hidden="1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</row>
    <row r="890" ht="15.75" hidden="1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</row>
    <row r="891" ht="15.75" hidden="1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</row>
    <row r="892" ht="15.75" hidden="1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</row>
    <row r="893" ht="15.75" hidden="1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</row>
    <row r="894" ht="15.75" hidden="1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</row>
    <row r="895" ht="15.75" hidden="1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</row>
    <row r="896" ht="15.75" hidden="1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</row>
    <row r="897" ht="15.75" hidden="1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</row>
    <row r="898" ht="15.75" hidden="1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</row>
    <row r="899" ht="15.75" hidden="1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</row>
    <row r="900" ht="15.75" hidden="1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</row>
    <row r="901" ht="15.75" hidden="1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</row>
    <row r="902" ht="15.75" hidden="1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</row>
    <row r="903" ht="15.75" hidden="1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</row>
    <row r="904" ht="15.75" hidden="1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</row>
    <row r="905" ht="15.75" hidden="1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</row>
    <row r="906" ht="15.75" hidden="1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</row>
    <row r="907" ht="15.75" hidden="1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</row>
    <row r="908" ht="15.75" hidden="1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</row>
    <row r="909" ht="15.75" hidden="1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</row>
    <row r="910" ht="15.75" hidden="1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</row>
    <row r="911" ht="15.75" hidden="1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</row>
    <row r="912" ht="15.75" hidden="1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</row>
    <row r="913" ht="15.75" hidden="1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</row>
    <row r="914" ht="15.75" hidden="1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</row>
    <row r="915" ht="15.75" hidden="1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</row>
    <row r="916" ht="15.75" hidden="1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</row>
    <row r="917" ht="15.75" hidden="1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</row>
    <row r="918" ht="15.75" hidden="1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</row>
    <row r="919" ht="15.75" hidden="1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</row>
    <row r="920" ht="15.75" hidden="1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</row>
    <row r="921" ht="15.75" hidden="1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</row>
    <row r="922" ht="15.75" hidden="1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</row>
    <row r="923" ht="15.75" hidden="1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</row>
    <row r="924" ht="15.75" hidden="1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</row>
    <row r="925" ht="15.75" hidden="1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</row>
    <row r="926" ht="15.75" hidden="1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</row>
    <row r="927" ht="15.75" hidden="1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</row>
    <row r="928" ht="15.75" hidden="1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</row>
    <row r="929" ht="15.75" hidden="1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</row>
    <row r="930" ht="15.75" hidden="1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</row>
    <row r="931" ht="15.75" hidden="1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</row>
    <row r="932" ht="15.75" hidden="1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</row>
    <row r="933" ht="15.75" hidden="1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</row>
    <row r="934" ht="15.75" hidden="1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</row>
    <row r="935" ht="15.75" hidden="1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</row>
    <row r="936" ht="15.75" hidden="1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</row>
    <row r="937" ht="15.75" hidden="1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</row>
    <row r="938" ht="15.75" hidden="1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</row>
    <row r="939" ht="15.75" hidden="1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</row>
    <row r="940" ht="15.75" hidden="1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</row>
    <row r="941" ht="15.75" hidden="1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</row>
    <row r="942" ht="15.75" hidden="1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</row>
    <row r="943" ht="15.75" hidden="1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</row>
    <row r="944" ht="15.75" hidden="1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</row>
    <row r="945" ht="15.75" hidden="1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</row>
    <row r="946" ht="15.75" hidden="1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</row>
    <row r="947" ht="15.75" hidden="1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</row>
    <row r="948" ht="15.75" hidden="1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</row>
    <row r="949" ht="15.75" hidden="1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</row>
    <row r="950" ht="15.75" hidden="1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</row>
    <row r="951" ht="15.75" hidden="1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</row>
    <row r="952" ht="15.75" hidden="1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</row>
    <row r="953" ht="15.75" hidden="1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</row>
    <row r="954" ht="15.75" hidden="1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</row>
    <row r="955" ht="15.75" hidden="1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</row>
    <row r="956" ht="15.75" hidden="1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</row>
    <row r="957" ht="15.75" hidden="1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</row>
    <row r="958" ht="15.75" hidden="1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</row>
    <row r="959" ht="15.75" hidden="1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</row>
    <row r="960" ht="15.75" hidden="1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</row>
    <row r="961" ht="15.75" hidden="1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</row>
    <row r="962" ht="15.75" hidden="1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</row>
    <row r="963" ht="15.75" hidden="1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</row>
    <row r="964" ht="15.75" hidden="1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</row>
    <row r="965" ht="15.75" hidden="1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</row>
    <row r="966" ht="15.75" hidden="1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</row>
    <row r="967" ht="15.75" hidden="1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</row>
    <row r="968" ht="15.75" hidden="1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</row>
    <row r="969" ht="15.75" hidden="1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</row>
    <row r="970" ht="15.75" hidden="1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</row>
    <row r="971" ht="15.75" hidden="1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</row>
    <row r="972" ht="15.75" hidden="1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</row>
    <row r="973" ht="15.75" hidden="1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</row>
    <row r="974" ht="15.75" hidden="1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</row>
    <row r="975" ht="15.75" hidden="1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</row>
    <row r="976" ht="15.75" hidden="1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</row>
    <row r="977" ht="15.75" hidden="1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</row>
    <row r="978" ht="15.75" hidden="1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</row>
    <row r="979" ht="15.75" hidden="1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</row>
    <row r="980" ht="15.75" hidden="1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</row>
    <row r="981" ht="15.75" hidden="1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</row>
    <row r="982" ht="15.75" hidden="1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</row>
    <row r="983" ht="15.75" hidden="1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</row>
    <row r="984" ht="15.75" hidden="1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</row>
    <row r="985" ht="15.75" hidden="1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</row>
    <row r="986" ht="15.75" hidden="1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</row>
    <row r="987" ht="15.75" hidden="1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</row>
    <row r="988" ht="15.75" hidden="1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</row>
    <row r="989" ht="15.75" hidden="1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</row>
    <row r="990" ht="15.75" hidden="1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</row>
    <row r="991" ht="15.75" hidden="1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</row>
    <row r="992" ht="15.75" hidden="1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</row>
    <row r="993" ht="15.75" hidden="1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</row>
    <row r="994" ht="15.75" hidden="1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</row>
    <row r="995" ht="15.75" hidden="1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</row>
    <row r="996" ht="15.75" hidden="1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</row>
    <row r="997" ht="15.75" hidden="1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</row>
    <row r="998" ht="15.75" hidden="1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</row>
    <row r="999" ht="15.75" hidden="1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</row>
    <row r="1000" ht="15.75" hidden="1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</row>
  </sheetData>
  <mergeCells count="6">
    <mergeCell ref="A1:H1"/>
    <mergeCell ref="J1:M1"/>
    <mergeCell ref="O1:R1"/>
    <mergeCell ref="A2:H2"/>
    <mergeCell ref="J2:M2"/>
    <mergeCell ref="O2:R2"/>
  </mergeCells>
  <printOptions/>
  <pageMargins bottom="1.0" footer="0.0" header="0.0" left="0.75" right="0.75" top="1.0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38"/>
    <col customWidth="1" min="3" max="9" width="12.63"/>
    <col customWidth="1" min="10" max="10" width="12.25"/>
    <col customWidth="1" min="11" max="11" width="18.13"/>
    <col customWidth="1" min="12" max="13" width="13.63"/>
    <col customWidth="1" min="14" max="14" width="11.25"/>
    <col customWidth="1" min="15" max="19" width="12.63"/>
    <col customWidth="1" hidden="1" min="20" max="27" width="7.63"/>
  </cols>
  <sheetData>
    <row r="1">
      <c r="A1" s="1" t="s">
        <v>18</v>
      </c>
      <c r="B1" s="2"/>
      <c r="C1" s="2"/>
      <c r="D1" s="2"/>
      <c r="E1" s="2"/>
      <c r="F1" s="2"/>
      <c r="G1" s="2"/>
      <c r="H1" s="2"/>
      <c r="I1" s="3"/>
      <c r="J1" s="4"/>
      <c r="K1" s="5" t="s">
        <v>1</v>
      </c>
      <c r="L1" s="2"/>
      <c r="M1" s="2"/>
      <c r="N1" s="3"/>
      <c r="O1" s="4"/>
      <c r="P1" s="6" t="s">
        <v>2</v>
      </c>
      <c r="Q1" s="2"/>
      <c r="R1" s="2"/>
      <c r="S1" s="3"/>
    </row>
    <row r="2">
      <c r="A2" s="7"/>
      <c r="B2" s="2"/>
      <c r="C2" s="2"/>
      <c r="D2" s="2"/>
      <c r="E2" s="2"/>
      <c r="F2" s="2"/>
      <c r="G2" s="2"/>
      <c r="H2" s="2"/>
      <c r="I2" s="3"/>
      <c r="J2" s="8"/>
      <c r="K2" s="9"/>
      <c r="L2" s="2"/>
      <c r="M2" s="2"/>
      <c r="N2" s="3"/>
      <c r="O2" s="8"/>
      <c r="P2" s="10"/>
      <c r="Q2" s="2"/>
      <c r="R2" s="2"/>
      <c r="S2" s="3"/>
    </row>
    <row r="3">
      <c r="A3" s="37" t="s">
        <v>4</v>
      </c>
      <c r="B3" s="37" t="s">
        <v>5</v>
      </c>
      <c r="C3" s="38" t="s">
        <v>6</v>
      </c>
      <c r="D3" s="39" t="s">
        <v>8</v>
      </c>
      <c r="E3" s="38" t="s">
        <v>9</v>
      </c>
      <c r="F3" s="38" t="s">
        <v>10</v>
      </c>
      <c r="G3" s="38" t="s">
        <v>11</v>
      </c>
      <c r="H3" s="40" t="s">
        <v>19</v>
      </c>
      <c r="I3" s="41"/>
      <c r="J3" s="8"/>
      <c r="K3" s="14" t="s">
        <v>12</v>
      </c>
      <c r="L3" s="15" t="s">
        <v>20</v>
      </c>
      <c r="M3" s="15"/>
      <c r="N3" s="15" t="s">
        <v>15</v>
      </c>
      <c r="O3" s="8"/>
      <c r="P3" s="16" t="s">
        <v>4</v>
      </c>
      <c r="Q3" s="15" t="s">
        <v>13</v>
      </c>
      <c r="R3" s="42" t="s">
        <v>16</v>
      </c>
      <c r="S3" s="43" t="s">
        <v>17</v>
      </c>
    </row>
    <row r="4" ht="90.0" customHeight="1">
      <c r="A4" s="44" t="str">
        <f>IFERROR(__xludf.DUMMYFUNCTION("QUERY(
 Set_Stats!R4:W1000,
 ""SELECT Col1,Col2,Col6,Col5
  WHERE Col6 &gt;= 5
  AND Col1 &lt;&gt; '?'
  AND Col2 &lt;&gt; '?'
  ORDER BY Col5 DESC"",
 0
)"),"#N/A")</f>
        <v>#N/A</v>
      </c>
      <c r="B4" s="44"/>
      <c r="C4" s="44"/>
      <c r="D4" s="45"/>
      <c r="E4" s="46" t="str">
        <f>IFERROR(__xludf.DUMMYFUNCTION("IF(A4="""","""",IMAGE(QUERY('Deck Info'!A:F,""SELECT D WHERE A = '""&amp;A4&amp;""' AND B = '""&amp;B4&amp;""'"")))"),"#N/A")</f>
        <v>#N/A</v>
      </c>
      <c r="F4" s="46" t="str">
        <f>IFERROR(__xludf.DUMMYFUNCTION("IF(A4="""","""",IMAGE(QUERY('Deck Info'!A:F,""SELECT E WHERE A = '""&amp;A4&amp;""' AND B = '""&amp;B4&amp;""'"")))"),"#N/A")</f>
        <v>#N/A</v>
      </c>
      <c r="G4" s="46" t="str">
        <f>IFERROR(__xludf.DUMMYFUNCTION("IF(A4="""","""",IMAGE(QUERY('Deck Info'!A:F,""SELECT F WHERE A = '""&amp;A4&amp;""' AND B = '""&amp;B4&amp;""'"")))"),"#N/A")</f>
        <v>#N/A</v>
      </c>
      <c r="H4" s="47"/>
      <c r="J4" s="8"/>
      <c r="K4" s="23" t="str">
        <f>IFERROR(__xludf.DUMMYFUNCTION("QUERY(
 'Raw Data'!AB:AC,
 ""SELECT Col1,Col2
  ORDER BY Col2 DESC
  LIMIT 20"",
 0
)"),"Jugador")</f>
        <v>Jugador</v>
      </c>
      <c r="L4" s="23" t="str">
        <f>IFERROR(__xludf.DUMMYFUNCTION("""COMPUTED_VALUE"""),"Partidas Jugadas")</f>
        <v>Partidas Jugadas</v>
      </c>
      <c r="M4" s="23"/>
      <c r="N4" s="24" t="str">
        <f>IFERROR(__xludf.DUMMYFUNCTION("IMAGE(QUERY('Player Refs'!A:B,""SELECT B WHERE A = '""&amp;K4&amp;""'"",0))"),"#N/A")</f>
        <v>#N/A</v>
      </c>
      <c r="O4" s="8"/>
      <c r="P4" s="25" t="str">
        <f>IFERROR(__xludf.DUMMYFUNCTION("QUERY(
 Set_Stats!N4:P1000,
 ""SELECT N,O,P
  WHERE N IS NOT NULL
  ORDER BY O DESC
  LIMIT 10"",
 0
)"),"#N/A")</f>
        <v>#N/A</v>
      </c>
      <c r="Q4" s="22"/>
      <c r="R4" s="26">
        <f>IFERROR(__xludf.DUMMYFUNCTION("""COMPUTED_VALUE"""),1.0)</f>
        <v>1</v>
      </c>
      <c r="S4" s="26" t="str">
        <f>IFERROR(__xludf.DUMMYFUNCTION("IMAGE(QUERY('Set Refs'!A:B,""SELECT B WHERE A = '""&amp;P4&amp;""'"",0))"),"#N/A")</f>
        <v>#N/A</v>
      </c>
    </row>
    <row r="5" ht="90.0" customHeight="1">
      <c r="A5" s="27"/>
      <c r="B5" s="27"/>
      <c r="C5" s="27"/>
      <c r="D5" s="30"/>
      <c r="E5" s="31" t="str">
        <f>IFERROR(__xludf.DUMMYFUNCTION("IF(A5="""","""",IMAGE(QUERY('Deck Info'!A:F,""SELECT D WHERE A = '""&amp;A5&amp;""' AND B = '""&amp;B5&amp;""'"")))"),"")</f>
        <v/>
      </c>
      <c r="F5" s="31" t="str">
        <f>IFERROR(__xludf.DUMMYFUNCTION("IF(A5="""","""",IMAGE(QUERY('Deck Info'!A:F,""SELECT E WHERE A = '""&amp;A5&amp;""' AND B = '""&amp;B5&amp;""'"")))"),"")</f>
        <v/>
      </c>
      <c r="G5" s="31" t="str">
        <f>IFERROR(__xludf.DUMMYFUNCTION("IF(A5="""","""",IMAGE(QUERY('Deck Info'!A:F,""SELECT F WHERE A = '""&amp;A5&amp;""' AND B = '""&amp;B5&amp;""'"")))"),"")</f>
        <v/>
      </c>
      <c r="H5" s="48"/>
      <c r="J5" s="8"/>
      <c r="K5" s="32"/>
      <c r="L5" s="32"/>
      <c r="M5" s="32"/>
      <c r="N5" s="24" t="str">
        <f>IFERROR(__xludf.DUMMYFUNCTION("IMAGE(QUERY('Player Refs'!A:B,""SELECT B WHERE A = '""&amp;K5&amp;""'"",0))"),"")</f>
        <v/>
      </c>
      <c r="O5" s="8"/>
      <c r="P5" s="31"/>
      <c r="Q5" s="31"/>
      <c r="R5" s="26"/>
      <c r="S5" s="26" t="str">
        <f>IFERROR(__xludf.DUMMYFUNCTION("IMAGE(QUERY('Set Refs'!A:B,""SELECT B WHERE A = '""&amp;P5&amp;""'"",0))"),"")</f>
        <v/>
      </c>
    </row>
    <row r="6" ht="90.0" customHeight="1">
      <c r="A6" s="27"/>
      <c r="B6" s="27"/>
      <c r="C6" s="27"/>
      <c r="D6" s="30"/>
      <c r="E6" s="31" t="str">
        <f>IFERROR(__xludf.DUMMYFUNCTION("IF(A6="""","""",IMAGE(QUERY('Deck Info'!A:F,""SELECT D WHERE A = '""&amp;A6&amp;""' AND B = '""&amp;B6&amp;""'"")))"),"")</f>
        <v/>
      </c>
      <c r="F6" s="31" t="str">
        <f>IFERROR(__xludf.DUMMYFUNCTION("IF(A6="""","""",IMAGE(QUERY('Deck Info'!A:F,""SELECT E WHERE A = '""&amp;A6&amp;""' AND B = '""&amp;B6&amp;""'"")))"),"")</f>
        <v/>
      </c>
      <c r="G6" s="31" t="str">
        <f>IFERROR(__xludf.DUMMYFUNCTION("IF(A6="""","""",IMAGE(QUERY('Deck Info'!A:F,""SELECT F WHERE A = '""&amp;A6&amp;""' AND B = '""&amp;B6&amp;""'"")))"),"")</f>
        <v/>
      </c>
      <c r="H6" s="48"/>
      <c r="J6" s="8"/>
      <c r="K6" s="32"/>
      <c r="L6" s="32"/>
      <c r="M6" s="32"/>
      <c r="N6" s="24" t="str">
        <f>IFERROR(__xludf.DUMMYFUNCTION("IMAGE(QUERY('Player Refs'!A:B,""SELECT B WHERE A = '""&amp;K6&amp;""'"",0))"),"")</f>
        <v/>
      </c>
      <c r="O6" s="8"/>
      <c r="P6" s="31"/>
      <c r="Q6" s="31"/>
      <c r="R6" s="26"/>
      <c r="S6" s="26" t="str">
        <f>IFERROR(__xludf.DUMMYFUNCTION("IMAGE(QUERY('Set Refs'!A:B,""SELECT B WHERE A = '""&amp;P6&amp;""'"",0))"),"")</f>
        <v/>
      </c>
    </row>
    <row r="7" ht="90.0" customHeight="1">
      <c r="A7" s="27"/>
      <c r="B7" s="27"/>
      <c r="C7" s="27"/>
      <c r="D7" s="30"/>
      <c r="E7" s="31" t="str">
        <f>IFERROR(__xludf.DUMMYFUNCTION("IF(A7="""","""",IMAGE(QUERY('Deck Info'!A:F,""SELECT D WHERE A = '""&amp;A7&amp;""' AND B = '""&amp;B7&amp;""'"")))"),"")</f>
        <v/>
      </c>
      <c r="F7" s="31" t="str">
        <f>IFERROR(__xludf.DUMMYFUNCTION("IF(A7="""","""",IMAGE(QUERY('Deck Info'!A:F,""SELECT E WHERE A = '""&amp;A7&amp;""' AND B = '""&amp;B7&amp;""'"")))"),"")</f>
        <v/>
      </c>
      <c r="G7" s="31" t="str">
        <f>IFERROR(__xludf.DUMMYFUNCTION("IF(A7="""","""",IMAGE(QUERY('Deck Info'!A:F,""SELECT F WHERE A = '""&amp;A7&amp;""' AND B = '""&amp;B7&amp;""'"")))"),"")</f>
        <v/>
      </c>
      <c r="H7" s="48"/>
      <c r="J7" s="8"/>
      <c r="K7" s="32"/>
      <c r="L7" s="32"/>
      <c r="M7" s="32"/>
      <c r="N7" s="24" t="str">
        <f>IFERROR(__xludf.DUMMYFUNCTION("IMAGE(QUERY('Player Refs'!A:B,""SELECT B WHERE A = '""&amp;K7&amp;""'"",0))"),"")</f>
        <v/>
      </c>
      <c r="O7" s="8"/>
      <c r="P7" s="31"/>
      <c r="Q7" s="31"/>
      <c r="R7" s="26"/>
      <c r="S7" s="26" t="str">
        <f>IFERROR(__xludf.DUMMYFUNCTION("IMAGE(QUERY('Set Refs'!A:B,""SELECT B WHERE A = '""&amp;P7&amp;""'"",0))"),"")</f>
        <v/>
      </c>
    </row>
    <row r="8" ht="90.0" customHeight="1">
      <c r="A8" s="27"/>
      <c r="B8" s="27"/>
      <c r="C8" s="27"/>
      <c r="D8" s="30"/>
      <c r="E8" s="31" t="str">
        <f>IFERROR(__xludf.DUMMYFUNCTION("IF(A8="""","""",IMAGE(QUERY('Deck Info'!A:F,""SELECT D WHERE A = '""&amp;A8&amp;""' AND B = '""&amp;B8&amp;""'"")))"),"")</f>
        <v/>
      </c>
      <c r="F8" s="31" t="str">
        <f>IFERROR(__xludf.DUMMYFUNCTION("IF(A8="""","""",IMAGE(QUERY('Deck Info'!A:F,""SELECT E WHERE A = '""&amp;A8&amp;""' AND B = '""&amp;B8&amp;""'"")))"),"")</f>
        <v/>
      </c>
      <c r="G8" s="31" t="str">
        <f>IFERROR(__xludf.DUMMYFUNCTION("IF(A8="""","""",IMAGE(QUERY('Deck Info'!A:F,""SELECT F WHERE A = '""&amp;A8&amp;""' AND B = '""&amp;B8&amp;""'"")))"),"")</f>
        <v/>
      </c>
      <c r="H8" s="48"/>
      <c r="J8" s="8"/>
      <c r="K8" s="32"/>
      <c r="L8" s="32"/>
      <c r="M8" s="32"/>
      <c r="N8" s="24" t="str">
        <f>IFERROR(__xludf.DUMMYFUNCTION("IMAGE(QUERY('Player Refs'!A:B,""SELECT B WHERE A = '""&amp;K8&amp;""'"",0))"),"")</f>
        <v/>
      </c>
      <c r="O8" s="8"/>
      <c r="P8" s="31"/>
      <c r="Q8" s="31"/>
      <c r="R8" s="26"/>
      <c r="S8" s="26" t="str">
        <f>IFERROR(__xludf.DUMMYFUNCTION("IMAGE(QUERY('Set Refs'!A:B,""SELECT B WHERE A = '""&amp;P8&amp;""'"",0))"),"")</f>
        <v/>
      </c>
    </row>
    <row r="9" ht="90.0" customHeight="1">
      <c r="A9" s="27"/>
      <c r="B9" s="27"/>
      <c r="C9" s="27"/>
      <c r="D9" s="30"/>
      <c r="E9" s="31" t="str">
        <f>IFERROR(__xludf.DUMMYFUNCTION("IF(A9="""","""",IMAGE(QUERY('Deck Info'!A:F,""SELECT D WHERE A = '""&amp;A9&amp;""' AND B = '""&amp;B9&amp;""'"")))"),"")</f>
        <v/>
      </c>
      <c r="F9" s="31" t="str">
        <f>IFERROR(__xludf.DUMMYFUNCTION("IF(A9="""","""",IMAGE(QUERY('Deck Info'!A:F,""SELECT E WHERE A = '""&amp;A9&amp;""' AND B = '""&amp;B9&amp;""'"")))"),"")</f>
        <v/>
      </c>
      <c r="G9" s="31" t="str">
        <f>IFERROR(__xludf.DUMMYFUNCTION("IF(A9="""","""",IMAGE(QUERY('Deck Info'!A:F,""SELECT F WHERE A = '""&amp;A9&amp;""' AND B = '""&amp;B9&amp;""'"")))"),"")</f>
        <v/>
      </c>
      <c r="H9" s="48"/>
      <c r="J9" s="8"/>
      <c r="K9" s="32"/>
      <c r="L9" s="32"/>
      <c r="M9" s="32"/>
      <c r="N9" s="24" t="str">
        <f>IFERROR(__xludf.DUMMYFUNCTION("IMAGE(QUERY('Player Refs'!A:B,""SELECT B WHERE A = '""&amp;K9&amp;""'"",0))"),"")</f>
        <v/>
      </c>
      <c r="O9" s="8"/>
      <c r="P9" s="31"/>
      <c r="Q9" s="31"/>
      <c r="R9" s="26"/>
      <c r="S9" s="26" t="str">
        <f>IFERROR(__xludf.DUMMYFUNCTION("IMAGE(QUERY('Set Refs'!A:B,""SELECT B WHERE A = '""&amp;P9&amp;""'"",0))"),"")</f>
        <v/>
      </c>
    </row>
    <row r="10" ht="90.0" customHeight="1">
      <c r="A10" s="27"/>
      <c r="B10" s="27"/>
      <c r="C10" s="27"/>
      <c r="D10" s="30"/>
      <c r="E10" s="31" t="str">
        <f>IFERROR(__xludf.DUMMYFUNCTION("IF(A10="""","""",IMAGE(QUERY('Deck Info'!A:F,""SELECT D WHERE A = '""&amp;A10&amp;""' AND B = '""&amp;B10&amp;""'"")))"),"")</f>
        <v/>
      </c>
      <c r="F10" s="31" t="str">
        <f>IFERROR(__xludf.DUMMYFUNCTION("IF(A10="""","""",IMAGE(QUERY('Deck Info'!A:F,""SELECT E WHERE A = '""&amp;A10&amp;""' AND B = '""&amp;B10&amp;""'"")))"),"")</f>
        <v/>
      </c>
      <c r="G10" s="31" t="str">
        <f>IFERROR(__xludf.DUMMYFUNCTION("IF(A10="""","""",IMAGE(QUERY('Deck Info'!A:F,""SELECT F WHERE A = '""&amp;A10&amp;""' AND B = '""&amp;B10&amp;""'"")))"),"")</f>
        <v/>
      </c>
      <c r="H10" s="48"/>
      <c r="J10" s="8"/>
      <c r="K10" s="32"/>
      <c r="L10" s="32"/>
      <c r="M10" s="32"/>
      <c r="N10" s="24" t="str">
        <f>IFERROR(__xludf.DUMMYFUNCTION("IMAGE(QUERY('Player Refs'!A:B,""SELECT B WHERE A = '""&amp;K10&amp;""'"",0))"),"")</f>
        <v/>
      </c>
      <c r="O10" s="8"/>
      <c r="P10" s="31"/>
      <c r="Q10" s="31"/>
      <c r="R10" s="26"/>
      <c r="S10" s="26" t="str">
        <f>IFERROR(__xludf.DUMMYFUNCTION("IMAGE(QUERY('Set Refs'!A:B,""SELECT B WHERE A = '""&amp;P10&amp;""'"",0))"),"")</f>
        <v/>
      </c>
    </row>
    <row r="11" ht="90.0" customHeight="1">
      <c r="A11" s="27"/>
      <c r="B11" s="27"/>
      <c r="C11" s="27"/>
      <c r="D11" s="30"/>
      <c r="E11" s="31" t="str">
        <f>IFERROR(__xludf.DUMMYFUNCTION("IF(A11="""","""",IMAGE(QUERY('Deck Info'!A:F,""SELECT D WHERE A = '""&amp;A11&amp;""' AND B = '""&amp;B11&amp;""'"")))"),"")</f>
        <v/>
      </c>
      <c r="F11" s="31" t="str">
        <f>IFERROR(__xludf.DUMMYFUNCTION("IF(A11="""","""",IMAGE(QUERY('Deck Info'!A:F,""SELECT E WHERE A = '""&amp;A11&amp;""' AND B = '""&amp;B11&amp;""'"")))"),"")</f>
        <v/>
      </c>
      <c r="G11" s="31" t="str">
        <f>IFERROR(__xludf.DUMMYFUNCTION("IF(A11="""","""",IMAGE(QUERY('Deck Info'!A:F,""SELECT F WHERE A = '""&amp;A11&amp;""' AND B = '""&amp;B11&amp;""'"")))"),"")</f>
        <v/>
      </c>
      <c r="H11" s="48"/>
      <c r="J11" s="8"/>
      <c r="K11" s="32"/>
      <c r="L11" s="32"/>
      <c r="M11" s="32"/>
      <c r="N11" s="24" t="str">
        <f>IFERROR(__xludf.DUMMYFUNCTION("IMAGE(QUERY('Player Refs'!A:B,""SELECT B WHERE A = '""&amp;K11&amp;""'"",0))"),"")</f>
        <v/>
      </c>
      <c r="O11" s="8"/>
      <c r="P11" s="31"/>
      <c r="Q11" s="31"/>
      <c r="R11" s="26"/>
      <c r="S11" s="26" t="str">
        <f>IFERROR(__xludf.DUMMYFUNCTION("IMAGE(QUERY('Set Refs'!A:B,""SELECT B WHERE A = '""&amp;P11&amp;""'"",0))"),"")</f>
        <v/>
      </c>
    </row>
    <row r="12" ht="90.0" customHeight="1">
      <c r="A12" s="27"/>
      <c r="B12" s="27"/>
      <c r="C12" s="27"/>
      <c r="D12" s="30"/>
      <c r="E12" s="31" t="str">
        <f>IFERROR(__xludf.DUMMYFUNCTION("IF(A12="""","""",IMAGE(QUERY('Deck Info'!A:F,""SELECT D WHERE A = '""&amp;A12&amp;""' AND B = '""&amp;B12&amp;""'"")))"),"")</f>
        <v/>
      </c>
      <c r="F12" s="31" t="str">
        <f>IFERROR(__xludf.DUMMYFUNCTION("IF(A12="""","""",IMAGE(QUERY('Deck Info'!A:F,""SELECT E WHERE A = '""&amp;A12&amp;""' AND B = '""&amp;B12&amp;""'"")))"),"")</f>
        <v/>
      </c>
      <c r="G12" s="31" t="str">
        <f>IFERROR(__xludf.DUMMYFUNCTION("IF(A12="""","""",IMAGE(QUERY('Deck Info'!A:F,""SELECT F WHERE A = '""&amp;A12&amp;""' AND B = '""&amp;B12&amp;""'"")))"),"")</f>
        <v/>
      </c>
      <c r="H12" s="48"/>
      <c r="J12" s="8"/>
      <c r="K12" s="32"/>
      <c r="L12" s="32"/>
      <c r="M12" s="32"/>
      <c r="N12" s="24" t="str">
        <f>IFERROR(__xludf.DUMMYFUNCTION("IMAGE(QUERY('Player Refs'!A:B,""SELECT B WHERE A = '""&amp;K12&amp;""'"",0))"),"")</f>
        <v/>
      </c>
      <c r="O12" s="8"/>
      <c r="P12" s="31"/>
      <c r="Q12" s="31"/>
      <c r="R12" s="26"/>
      <c r="S12" s="26" t="str">
        <f>IFERROR(__xludf.DUMMYFUNCTION("IMAGE(QUERY('Set Refs'!A:B,""SELECT B WHERE A = '""&amp;P12&amp;""'"",0))"),"")</f>
        <v/>
      </c>
    </row>
    <row r="13" ht="90.0" customHeight="1">
      <c r="A13" s="27"/>
      <c r="B13" s="27"/>
      <c r="C13" s="27"/>
      <c r="D13" s="30"/>
      <c r="E13" s="31" t="str">
        <f>IFERROR(__xludf.DUMMYFUNCTION("IF(A13="""","""",IMAGE(QUERY('Deck Info'!A:F,""SELECT D WHERE A = '""&amp;A13&amp;""' AND B = '""&amp;B13&amp;""'"")))"),"")</f>
        <v/>
      </c>
      <c r="F13" s="31" t="str">
        <f>IFERROR(__xludf.DUMMYFUNCTION("IF(A13="""","""",IMAGE(QUERY('Deck Info'!A:F,""SELECT E WHERE A = '""&amp;A13&amp;""' AND B = '""&amp;B13&amp;""'"")))"),"")</f>
        <v/>
      </c>
      <c r="G13" s="31" t="str">
        <f>IFERROR(__xludf.DUMMYFUNCTION("IF(A13="""","""",IMAGE(QUERY('Deck Info'!A:F,""SELECT F WHERE A = '""&amp;A13&amp;""' AND B = '""&amp;B13&amp;""'"")))"),"")</f>
        <v/>
      </c>
      <c r="H13" s="48"/>
      <c r="J13" s="8"/>
      <c r="K13" s="32"/>
      <c r="L13" s="32"/>
      <c r="M13" s="32"/>
      <c r="N13" s="24" t="str">
        <f>IFERROR(__xludf.DUMMYFUNCTION("IMAGE(QUERY('Player Refs'!A:B,""SELECT B WHERE A = '""&amp;K13&amp;""'"",0))"),"")</f>
        <v/>
      </c>
      <c r="O13" s="8"/>
      <c r="P13" s="31"/>
      <c r="Q13" s="31"/>
      <c r="R13" s="26"/>
      <c r="S13" s="26" t="str">
        <f>IFERROR(__xludf.DUMMYFUNCTION("IMAGE(QUERY('Set Refs'!A:B,""SELECT B WHERE A = '""&amp;P13&amp;""'"",0))"),"")</f>
        <v/>
      </c>
    </row>
    <row r="14" ht="90.0" customHeight="1">
      <c r="A14" s="27"/>
      <c r="B14" s="27"/>
      <c r="C14" s="27"/>
      <c r="D14" s="30"/>
      <c r="E14" s="31" t="str">
        <f>IFERROR(__xludf.DUMMYFUNCTION("IF(A14="""","""",IMAGE(QUERY('Deck Info'!A:F,""SELECT D WHERE A = '""&amp;A14&amp;""' AND B = '""&amp;B14&amp;""'"")))"),"")</f>
        <v/>
      </c>
      <c r="F14" s="31" t="str">
        <f>IFERROR(__xludf.DUMMYFUNCTION("IF(A14="""","""",IMAGE(QUERY('Deck Info'!A:F,""SELECT E WHERE A = '""&amp;A14&amp;""' AND B = '""&amp;B14&amp;""'"")))"),"")</f>
        <v/>
      </c>
      <c r="G14" s="31" t="str">
        <f>IFERROR(__xludf.DUMMYFUNCTION("IF(A14="""","""",IMAGE(QUERY('Deck Info'!A:F,""SELECT F WHERE A = '""&amp;A14&amp;""' AND B = '""&amp;B14&amp;""'"")))"),"")</f>
        <v/>
      </c>
      <c r="H14" s="48"/>
      <c r="J14" s="8"/>
      <c r="K14" s="32"/>
      <c r="L14" s="32"/>
      <c r="M14" s="32"/>
      <c r="N14" s="24" t="str">
        <f>IFERROR(__xludf.DUMMYFUNCTION("IMAGE(QUERY('Player Refs'!A:B,""SELECT B WHERE A = '""&amp;K14&amp;""'"",0))"),"")</f>
        <v/>
      </c>
      <c r="O14" s="8"/>
      <c r="P14" s="31"/>
      <c r="Q14" s="31"/>
      <c r="R14" s="26"/>
      <c r="S14" s="26" t="str">
        <f>IFERROR(__xludf.DUMMYFUNCTION("IMAGE(QUERY('Set Refs'!A:B,""SELECT B WHERE A = '""&amp;P14&amp;""'"",0))"),"")</f>
        <v/>
      </c>
    </row>
    <row r="15" ht="90.0" customHeight="1">
      <c r="A15" s="27"/>
      <c r="B15" s="27"/>
      <c r="C15" s="27"/>
      <c r="D15" s="30"/>
      <c r="E15" s="31" t="str">
        <f>IFERROR(__xludf.DUMMYFUNCTION("IF(A15="""","""",IMAGE(QUERY('Deck Info'!A:F,""SELECT D WHERE A = '""&amp;A15&amp;""' AND B = '""&amp;B15&amp;""'"")))"),"")</f>
        <v/>
      </c>
      <c r="F15" s="31" t="str">
        <f>IFERROR(__xludf.DUMMYFUNCTION("IF(A15="""","""",IMAGE(QUERY('Deck Info'!A:F,""SELECT E WHERE A = '""&amp;A15&amp;""' AND B = '""&amp;B15&amp;""'"")))"),"")</f>
        <v/>
      </c>
      <c r="G15" s="31" t="str">
        <f>IFERROR(__xludf.DUMMYFUNCTION("IF(A15="""","""",IMAGE(QUERY('Deck Info'!A:F,""SELECT F WHERE A = '""&amp;A15&amp;""' AND B = '""&amp;B15&amp;""'"")))"),"")</f>
        <v/>
      </c>
      <c r="H15" s="48"/>
      <c r="J15" s="8"/>
      <c r="K15" s="32"/>
      <c r="L15" s="32"/>
      <c r="M15" s="32"/>
      <c r="N15" s="24" t="str">
        <f>IFERROR(__xludf.DUMMYFUNCTION("IMAGE(QUERY('Player Refs'!A:B,""SELECT B WHERE A = '""&amp;K15&amp;""'"",0))"),"")</f>
        <v/>
      </c>
      <c r="O15" s="8"/>
      <c r="P15" s="31"/>
      <c r="Q15" s="31"/>
      <c r="R15" s="26"/>
      <c r="S15" s="26" t="str">
        <f>IFERROR(__xludf.DUMMYFUNCTION("IMAGE(QUERY('Set Refs'!A:B,""SELECT B WHERE A = '""&amp;P15&amp;""'"",0))"),"")</f>
        <v/>
      </c>
    </row>
    <row r="16" ht="90.0" customHeight="1">
      <c r="A16" s="27"/>
      <c r="B16" s="27"/>
      <c r="C16" s="27"/>
      <c r="D16" s="30"/>
      <c r="E16" s="31" t="str">
        <f>IFERROR(__xludf.DUMMYFUNCTION("IF(A16="""","""",IMAGE(QUERY('Deck Info'!A:F,""SELECT D WHERE A = '""&amp;A16&amp;""' AND B = '""&amp;B16&amp;""'"")))"),"")</f>
        <v/>
      </c>
      <c r="F16" s="31" t="str">
        <f>IFERROR(__xludf.DUMMYFUNCTION("IF(A16="""","""",IMAGE(QUERY('Deck Info'!A:F,""SELECT E WHERE A = '""&amp;A16&amp;""' AND B = '""&amp;B16&amp;""'"")))"),"")</f>
        <v/>
      </c>
      <c r="G16" s="31" t="str">
        <f>IFERROR(__xludf.DUMMYFUNCTION("IF(A16="""","""",IMAGE(QUERY('Deck Info'!A:F,""SELECT F WHERE A = '""&amp;A16&amp;""' AND B = '""&amp;B16&amp;""'"")))"),"")</f>
        <v/>
      </c>
      <c r="H16" s="48"/>
      <c r="J16" s="8"/>
      <c r="K16" s="32"/>
      <c r="L16" s="32"/>
      <c r="M16" s="32"/>
      <c r="N16" s="24" t="str">
        <f>IFERROR(__xludf.DUMMYFUNCTION("IMAGE(QUERY('Player Refs'!A:B,""SELECT B WHERE A = '""&amp;K16&amp;""'"",0))"),"")</f>
        <v/>
      </c>
      <c r="O16" s="8"/>
      <c r="P16" s="31"/>
      <c r="Q16" s="31"/>
      <c r="R16" s="26"/>
      <c r="S16" s="26" t="str">
        <f>IFERROR(__xludf.DUMMYFUNCTION("IMAGE(QUERY('Set Refs'!A:B,""SELECT B WHERE A = '""&amp;P16&amp;""'"",0))"),"")</f>
        <v/>
      </c>
    </row>
    <row r="17" ht="90.0" customHeight="1">
      <c r="A17" s="27"/>
      <c r="B17" s="27"/>
      <c r="C17" s="27"/>
      <c r="D17" s="30"/>
      <c r="E17" s="31" t="str">
        <f>IFERROR(__xludf.DUMMYFUNCTION("IF(A17="""","""",IMAGE(QUERY('Deck Info'!A:F,""SELECT D WHERE A = '""&amp;A17&amp;""' AND B = '""&amp;B17&amp;""'"")))"),"")</f>
        <v/>
      </c>
      <c r="F17" s="31" t="str">
        <f>IFERROR(__xludf.DUMMYFUNCTION("IF(A17="""","""",IMAGE(QUERY('Deck Info'!A:F,""SELECT E WHERE A = '""&amp;A17&amp;""' AND B = '""&amp;B17&amp;""'"")))"),"")</f>
        <v/>
      </c>
      <c r="G17" s="31" t="str">
        <f>IFERROR(__xludf.DUMMYFUNCTION("IF(A17="""","""",IMAGE(QUERY('Deck Info'!A:F,""SELECT F WHERE A = '""&amp;A17&amp;""' AND B = '""&amp;B17&amp;""'"")))"),"")</f>
        <v/>
      </c>
      <c r="H17" s="48"/>
      <c r="J17" s="8"/>
      <c r="K17" s="32"/>
      <c r="L17" s="32"/>
      <c r="M17" s="32"/>
      <c r="N17" s="24" t="str">
        <f>IFERROR(__xludf.DUMMYFUNCTION("IMAGE(QUERY('Player Refs'!A:B,""SELECT B WHERE A = '""&amp;K17&amp;""'"",0))"),"")</f>
        <v/>
      </c>
      <c r="O17" s="8"/>
      <c r="P17" s="31"/>
      <c r="Q17" s="31"/>
      <c r="R17" s="26"/>
      <c r="S17" s="26" t="str">
        <f>IFERROR(__xludf.DUMMYFUNCTION("IMAGE(QUERY('Set Refs'!A:B,""SELECT B WHERE A = '""&amp;P17&amp;""'"",0))"),"")</f>
        <v/>
      </c>
    </row>
    <row r="18" ht="90.0" customHeight="1">
      <c r="A18" s="27"/>
      <c r="B18" s="27"/>
      <c r="C18" s="27"/>
      <c r="D18" s="30"/>
      <c r="E18" s="31" t="str">
        <f>IFERROR(__xludf.DUMMYFUNCTION("IF(A18="""","""",IMAGE(QUERY('Deck Info'!A:F,""SELECT D WHERE A = '""&amp;A18&amp;""' AND B = '""&amp;B18&amp;""'"")))"),"")</f>
        <v/>
      </c>
      <c r="F18" s="31" t="str">
        <f>IFERROR(__xludf.DUMMYFUNCTION("IF(A18="""","""",IMAGE(QUERY('Deck Info'!A:F,""SELECT E WHERE A = '""&amp;A18&amp;""' AND B = '""&amp;B18&amp;""'"")))"),"")</f>
        <v/>
      </c>
      <c r="G18" s="31" t="str">
        <f>IFERROR(__xludf.DUMMYFUNCTION("IF(A18="""","""",IMAGE(QUERY('Deck Info'!A:F,""SELECT F WHERE A = '""&amp;A18&amp;""' AND B = '""&amp;B18&amp;""'"")))"),"")</f>
        <v/>
      </c>
      <c r="H18" s="48"/>
      <c r="J18" s="8"/>
      <c r="K18" s="32"/>
      <c r="L18" s="32"/>
      <c r="M18" s="32"/>
      <c r="N18" s="24" t="str">
        <f>IFERROR(__xludf.DUMMYFUNCTION("IMAGE(QUERY('Player Refs'!A:B,""SELECT B WHERE A = '""&amp;K18&amp;""'"",0))"),"")</f>
        <v/>
      </c>
      <c r="O18" s="8"/>
      <c r="P18" s="31"/>
      <c r="Q18" s="31"/>
      <c r="R18" s="26"/>
      <c r="S18" s="26" t="str">
        <f>IFERROR(__xludf.DUMMYFUNCTION("IMAGE(QUERY('Set Refs'!A:B,""SELECT B WHERE A = '""&amp;P18&amp;""'"",0))"),"")</f>
        <v/>
      </c>
    </row>
    <row r="19" ht="90.0" customHeight="1">
      <c r="A19" s="27"/>
      <c r="B19" s="27"/>
      <c r="C19" s="27"/>
      <c r="D19" s="30"/>
      <c r="E19" s="31" t="str">
        <f>IFERROR(__xludf.DUMMYFUNCTION("IF(A19="""","""",IMAGE(QUERY('Deck Info'!A:F,""SELECT D WHERE A = '""&amp;A19&amp;""' AND B = '""&amp;B19&amp;""'"")))"),"")</f>
        <v/>
      </c>
      <c r="F19" s="31" t="str">
        <f>IFERROR(__xludf.DUMMYFUNCTION("IF(A19="""","""",IMAGE(QUERY('Deck Info'!A:F,""SELECT E WHERE A = '""&amp;A19&amp;""' AND B = '""&amp;B19&amp;""'"")))"),"")</f>
        <v/>
      </c>
      <c r="G19" s="31" t="str">
        <f>IFERROR(__xludf.DUMMYFUNCTION("IF(A19="""","""",IMAGE(QUERY('Deck Info'!A:F,""SELECT F WHERE A = '""&amp;A19&amp;""' AND B = '""&amp;B19&amp;""'"")))"),"")</f>
        <v/>
      </c>
      <c r="H19" s="48"/>
      <c r="J19" s="8"/>
      <c r="K19" s="32"/>
      <c r="L19" s="32"/>
      <c r="M19" s="32"/>
      <c r="N19" s="24" t="str">
        <f>IFERROR(__xludf.DUMMYFUNCTION("IMAGE(QUERY('Player Refs'!A:B,""SELECT B WHERE A = '""&amp;K19&amp;""'"",0))"),"")</f>
        <v/>
      </c>
      <c r="O19" s="8"/>
      <c r="P19" s="31"/>
      <c r="Q19" s="31"/>
      <c r="R19" s="26"/>
      <c r="S19" s="26" t="str">
        <f>IFERROR(__xludf.DUMMYFUNCTION("IMAGE(QUERY('Set Refs'!A:B,""SELECT B WHERE A = '""&amp;P19&amp;""'"",0))"),"")</f>
        <v/>
      </c>
    </row>
    <row r="20" ht="90.0" customHeight="1">
      <c r="A20" s="35"/>
      <c r="B20" s="35"/>
      <c r="C20" s="35"/>
      <c r="D20" s="36"/>
      <c r="E20" s="31" t="str">
        <f>IFERROR(__xludf.DUMMYFUNCTION("IF(A20="""","""",IMAGE(QUERY('Deck Info'!A:F,""SELECT D WHERE A = '""&amp;A20&amp;""' AND B = '""&amp;B20&amp;""'"")))"),"")</f>
        <v/>
      </c>
      <c r="F20" s="31" t="str">
        <f>IFERROR(__xludf.DUMMYFUNCTION("IF(A20="""","""",IMAGE(QUERY('Deck Info'!A:F,""SELECT E WHERE A = '""&amp;A20&amp;""' AND B = '""&amp;B20&amp;""'"")))"),"")</f>
        <v/>
      </c>
      <c r="G20" s="31" t="str">
        <f>IFERROR(__xludf.DUMMYFUNCTION("IF(A20="""","""",IMAGE(QUERY('Deck Info'!A:F,""SELECT F WHERE A = '""&amp;A20&amp;""' AND B = '""&amp;B20&amp;""'"")))"),"")</f>
        <v/>
      </c>
      <c r="H20" s="48"/>
      <c r="J20" s="8"/>
      <c r="K20" s="32"/>
      <c r="L20" s="32"/>
      <c r="M20" s="32"/>
      <c r="N20" s="24" t="str">
        <f>IFERROR(__xludf.DUMMYFUNCTION("IMAGE(QUERY('Player Refs'!A:B,""SELECT B WHERE A = '""&amp;K20&amp;""'"",0))"),"")</f>
        <v/>
      </c>
      <c r="O20" s="8"/>
      <c r="P20" s="31"/>
      <c r="Q20" s="31"/>
      <c r="R20" s="26"/>
      <c r="S20" s="26" t="str">
        <f>IFERROR(__xludf.DUMMYFUNCTION("IMAGE(QUERY('Set Refs'!A:B,""SELECT B WHERE A = '""&amp;P20&amp;""'"",0))"),"")</f>
        <v/>
      </c>
    </row>
    <row r="21" ht="90.0" customHeight="1">
      <c r="A21" s="31"/>
      <c r="B21" s="31"/>
      <c r="C21" s="31"/>
      <c r="D21" s="31"/>
      <c r="E21" s="31"/>
      <c r="F21" s="31"/>
      <c r="G21" s="31"/>
      <c r="H21" s="48"/>
      <c r="J21" s="8"/>
      <c r="K21" s="32"/>
      <c r="L21" s="32"/>
      <c r="M21" s="32"/>
      <c r="N21" s="24" t="str">
        <f>IFERROR(__xludf.DUMMYFUNCTION("IMAGE(QUERY('Player Refs'!A:B,""SELECT B WHERE A = '""&amp;K21&amp;""'"",0))"),"")</f>
        <v/>
      </c>
      <c r="O21" s="8"/>
      <c r="P21" s="31"/>
      <c r="Q21" s="31"/>
      <c r="R21" s="26"/>
      <c r="S21" s="26" t="str">
        <f>IFERROR(__xludf.DUMMYFUNCTION("IMAGE(QUERY('Set Refs'!A:B,""SELECT B WHERE A = '""&amp;P21&amp;""'"",0))"),"")</f>
        <v/>
      </c>
    </row>
    <row r="22" ht="90.0" customHeight="1">
      <c r="A22" s="31"/>
      <c r="B22" s="31"/>
      <c r="C22" s="31"/>
      <c r="D22" s="31"/>
      <c r="E22" s="31"/>
      <c r="F22" s="31"/>
      <c r="G22" s="31"/>
      <c r="H22" s="48"/>
      <c r="J22" s="8"/>
      <c r="K22" s="32"/>
      <c r="L22" s="32"/>
      <c r="M22" s="32"/>
      <c r="N22" s="24" t="str">
        <f>IFERROR(__xludf.DUMMYFUNCTION("IMAGE(QUERY('Player Refs'!A:B,""SELECT B WHERE A = '""&amp;K22&amp;""'"",0))"),"")</f>
        <v/>
      </c>
      <c r="O22" s="8"/>
      <c r="P22" s="31"/>
      <c r="Q22" s="31"/>
      <c r="R22" s="26"/>
      <c r="S22" s="26" t="str">
        <f>IFERROR(__xludf.DUMMYFUNCTION("IMAGE(QUERY('Set Refs'!A:B,""SELECT B WHERE A = '""&amp;P22&amp;""'"",0))"),"")</f>
        <v/>
      </c>
    </row>
    <row r="23" ht="90.0" customHeight="1">
      <c r="A23" s="31"/>
      <c r="B23" s="31"/>
      <c r="C23" s="31"/>
      <c r="D23" s="31"/>
      <c r="E23" s="31"/>
      <c r="F23" s="31"/>
      <c r="G23" s="31"/>
      <c r="H23" s="48"/>
      <c r="J23" s="8"/>
      <c r="K23" s="32"/>
      <c r="L23" s="32"/>
      <c r="M23" s="32"/>
      <c r="N23" s="24" t="str">
        <f>IFERROR(__xludf.DUMMYFUNCTION("IMAGE(QUERY('Player Refs'!A:B,""SELECT B WHERE A = '""&amp;K23&amp;""'"",0))"),"")</f>
        <v/>
      </c>
      <c r="O23" s="8"/>
      <c r="P23" s="31"/>
      <c r="Q23" s="31"/>
      <c r="R23" s="26"/>
      <c r="S23" s="26" t="str">
        <f>IFERROR(__xludf.DUMMYFUNCTION("IMAGE(QUERY('Set Refs'!A:B,""SELECT B WHERE A = '""&amp;P23&amp;""'"",0))"),"")</f>
        <v/>
      </c>
    </row>
    <row r="24" ht="90.0" hidden="1" customHeight="1">
      <c r="A24" s="31"/>
      <c r="B24" s="31"/>
      <c r="C24" s="31"/>
      <c r="D24" s="31"/>
      <c r="E24" s="31"/>
      <c r="F24" s="31"/>
      <c r="G24" s="31"/>
      <c r="H24" s="48"/>
      <c r="J24" s="8"/>
      <c r="K24" s="31"/>
      <c r="L24" s="31"/>
      <c r="M24" s="31"/>
      <c r="N24" s="31"/>
      <c r="O24" s="8"/>
      <c r="P24" s="31"/>
      <c r="Q24" s="31"/>
      <c r="R24" s="31"/>
      <c r="S24" s="31"/>
    </row>
    <row r="25" ht="75.0" hidden="1" customHeight="1">
      <c r="A25" s="31"/>
      <c r="B25" s="31"/>
      <c r="C25" s="31"/>
      <c r="D25" s="31"/>
      <c r="E25" s="31"/>
      <c r="F25" s="31"/>
      <c r="G25" s="31"/>
      <c r="H25" s="48"/>
      <c r="J25" s="8"/>
      <c r="K25" s="31"/>
      <c r="L25" s="31"/>
      <c r="M25" s="31"/>
      <c r="N25" s="31"/>
      <c r="O25" s="8"/>
      <c r="P25" s="31"/>
      <c r="Q25" s="31"/>
      <c r="R25" s="31"/>
      <c r="S25" s="31"/>
    </row>
    <row r="26" ht="75.0" hidden="1" customHeight="1">
      <c r="A26" s="31"/>
      <c r="B26" s="31"/>
      <c r="C26" s="31"/>
      <c r="D26" s="31"/>
      <c r="E26" s="31"/>
      <c r="F26" s="31"/>
      <c r="G26" s="31"/>
      <c r="H26" s="48"/>
      <c r="J26" s="8"/>
      <c r="K26" s="31"/>
      <c r="L26" s="31"/>
      <c r="M26" s="31"/>
      <c r="N26" s="31"/>
      <c r="O26" s="8"/>
      <c r="P26" s="31"/>
      <c r="Q26" s="31"/>
      <c r="R26" s="31"/>
      <c r="S26" s="31"/>
    </row>
    <row r="27" ht="75.0" hidden="1" customHeight="1">
      <c r="A27" s="31"/>
      <c r="B27" s="31"/>
      <c r="C27" s="31"/>
      <c r="D27" s="31"/>
      <c r="E27" s="31"/>
      <c r="F27" s="31"/>
      <c r="G27" s="31"/>
      <c r="H27" s="48"/>
      <c r="J27" s="8"/>
      <c r="K27" s="31"/>
      <c r="L27" s="31"/>
      <c r="M27" s="31"/>
      <c r="N27" s="31"/>
      <c r="O27" s="8"/>
      <c r="P27" s="31"/>
      <c r="Q27" s="31"/>
      <c r="R27" s="31"/>
      <c r="S27" s="31"/>
    </row>
    <row r="28" ht="75.0" hidden="1" customHeight="1">
      <c r="A28" s="31"/>
      <c r="B28" s="31"/>
      <c r="C28" s="31"/>
      <c r="D28" s="31"/>
      <c r="E28" s="31"/>
      <c r="F28" s="31"/>
      <c r="G28" s="31"/>
      <c r="H28" s="48"/>
      <c r="J28" s="8"/>
      <c r="K28" s="31"/>
      <c r="L28" s="31"/>
      <c r="M28" s="31"/>
      <c r="N28" s="31"/>
      <c r="O28" s="8"/>
      <c r="P28" s="31"/>
      <c r="Q28" s="31"/>
      <c r="R28" s="31"/>
      <c r="S28" s="31"/>
    </row>
    <row r="29" ht="75.0" hidden="1" customHeight="1">
      <c r="A29" s="31"/>
      <c r="B29" s="31"/>
      <c r="C29" s="31"/>
      <c r="D29" s="31"/>
      <c r="E29" s="31"/>
      <c r="F29" s="31"/>
      <c r="G29" s="31"/>
      <c r="H29" s="48"/>
      <c r="J29" s="8"/>
      <c r="K29" s="31"/>
      <c r="L29" s="31"/>
      <c r="M29" s="31"/>
      <c r="N29" s="31"/>
      <c r="O29" s="8"/>
      <c r="P29" s="31"/>
      <c r="Q29" s="31"/>
      <c r="R29" s="31"/>
      <c r="S29" s="31"/>
    </row>
    <row r="30" ht="15.75" hidden="1" customHeight="1">
      <c r="A30" s="31"/>
      <c r="B30" s="31"/>
      <c r="C30" s="31"/>
      <c r="D30" s="31"/>
      <c r="E30" s="31"/>
      <c r="F30" s="31"/>
      <c r="G30" s="31"/>
      <c r="H30" s="31"/>
      <c r="I30" s="31"/>
      <c r="J30" s="8"/>
      <c r="K30" s="31"/>
      <c r="L30" s="31"/>
      <c r="M30" s="31"/>
      <c r="N30" s="31"/>
      <c r="O30" s="8"/>
      <c r="P30" s="31"/>
      <c r="Q30" s="31"/>
      <c r="R30" s="31"/>
      <c r="S30" s="31"/>
    </row>
    <row r="31" ht="15.75" hidden="1" customHeight="1">
      <c r="A31" s="31"/>
      <c r="B31" s="31"/>
      <c r="C31" s="31"/>
      <c r="D31" s="31"/>
      <c r="E31" s="31"/>
      <c r="F31" s="31"/>
      <c r="G31" s="31"/>
      <c r="H31" s="31"/>
      <c r="I31" s="31"/>
      <c r="J31" s="8"/>
      <c r="K31" s="31"/>
      <c r="L31" s="31"/>
      <c r="M31" s="31"/>
      <c r="N31" s="31"/>
      <c r="O31" s="8"/>
      <c r="P31" s="31"/>
      <c r="Q31" s="31"/>
      <c r="R31" s="31"/>
      <c r="S31" s="31"/>
    </row>
    <row r="32" ht="15.75" hidden="1" customHeight="1">
      <c r="A32" s="31"/>
      <c r="B32" s="31"/>
      <c r="C32" s="31"/>
      <c r="D32" s="31"/>
      <c r="E32" s="31"/>
      <c r="F32" s="31"/>
      <c r="G32" s="31"/>
      <c r="H32" s="31"/>
      <c r="I32" s="31"/>
      <c r="J32" s="8"/>
      <c r="K32" s="31"/>
      <c r="L32" s="31"/>
      <c r="M32" s="31"/>
      <c r="N32" s="31"/>
      <c r="O32" s="8"/>
      <c r="P32" s="31"/>
      <c r="Q32" s="31"/>
      <c r="R32" s="31"/>
      <c r="S32" s="31"/>
    </row>
    <row r="33" ht="15.75" hidden="1" customHeight="1">
      <c r="A33" s="31"/>
      <c r="B33" s="31"/>
      <c r="C33" s="31"/>
      <c r="D33" s="31"/>
      <c r="E33" s="31"/>
      <c r="F33" s="31"/>
      <c r="G33" s="31"/>
      <c r="H33" s="31"/>
      <c r="I33" s="31"/>
      <c r="J33" s="8"/>
      <c r="K33" s="31"/>
      <c r="L33" s="31"/>
      <c r="M33" s="31"/>
      <c r="N33" s="31"/>
      <c r="O33" s="8"/>
      <c r="P33" s="31"/>
      <c r="Q33" s="31"/>
      <c r="R33" s="31"/>
      <c r="S33" s="31"/>
    </row>
    <row r="34" ht="15.75" hidden="1" customHeight="1">
      <c r="A34" s="31"/>
      <c r="B34" s="31"/>
      <c r="C34" s="31"/>
      <c r="D34" s="31"/>
      <c r="E34" s="31"/>
      <c r="F34" s="31"/>
      <c r="G34" s="31"/>
      <c r="H34" s="31"/>
      <c r="I34" s="31"/>
      <c r="J34" s="8"/>
      <c r="K34" s="31"/>
      <c r="L34" s="31"/>
      <c r="M34" s="31"/>
      <c r="N34" s="31"/>
      <c r="O34" s="8"/>
      <c r="P34" s="31"/>
      <c r="Q34" s="31"/>
      <c r="R34" s="31"/>
      <c r="S34" s="31"/>
    </row>
    <row r="35" ht="15.75" hidden="1" customHeight="1">
      <c r="A35" s="31"/>
      <c r="B35" s="31"/>
      <c r="C35" s="31"/>
      <c r="D35" s="31"/>
      <c r="E35" s="31"/>
      <c r="F35" s="31"/>
      <c r="G35" s="31"/>
      <c r="H35" s="31"/>
      <c r="I35" s="31"/>
      <c r="J35" s="8"/>
      <c r="K35" s="31"/>
      <c r="L35" s="31"/>
      <c r="M35" s="31"/>
      <c r="N35" s="31"/>
      <c r="O35" s="8"/>
      <c r="P35" s="31"/>
      <c r="Q35" s="31"/>
      <c r="R35" s="31"/>
      <c r="S35" s="31"/>
    </row>
    <row r="36" ht="15.75" hidden="1" customHeight="1">
      <c r="A36" s="31"/>
      <c r="B36" s="31"/>
      <c r="C36" s="31"/>
      <c r="D36" s="31"/>
      <c r="E36" s="31"/>
      <c r="F36" s="31"/>
      <c r="G36" s="31"/>
      <c r="H36" s="31"/>
      <c r="I36" s="31"/>
      <c r="J36" s="8"/>
      <c r="K36" s="31"/>
      <c r="L36" s="31"/>
      <c r="M36" s="31"/>
      <c r="N36" s="31"/>
      <c r="O36" s="8"/>
      <c r="P36" s="31"/>
      <c r="Q36" s="31"/>
      <c r="R36" s="31"/>
      <c r="S36" s="31"/>
    </row>
    <row r="37" ht="15.75" hidden="1" customHeight="1">
      <c r="A37" s="31"/>
      <c r="B37" s="31"/>
      <c r="C37" s="31"/>
      <c r="D37" s="31"/>
      <c r="E37" s="31"/>
      <c r="F37" s="31"/>
      <c r="G37" s="31"/>
      <c r="H37" s="31"/>
      <c r="I37" s="31"/>
      <c r="J37" s="8"/>
      <c r="K37" s="31"/>
      <c r="L37" s="31"/>
      <c r="M37" s="31"/>
      <c r="N37" s="31"/>
      <c r="O37" s="8"/>
      <c r="P37" s="31"/>
      <c r="Q37" s="31"/>
      <c r="R37" s="31"/>
      <c r="S37" s="31"/>
    </row>
    <row r="38" ht="15.75" hidden="1" customHeight="1">
      <c r="A38" s="31"/>
      <c r="B38" s="31"/>
      <c r="C38" s="31"/>
      <c r="D38" s="31"/>
      <c r="E38" s="31"/>
      <c r="F38" s="31"/>
      <c r="G38" s="31"/>
      <c r="H38" s="31"/>
      <c r="I38" s="31"/>
      <c r="J38" s="8"/>
      <c r="K38" s="31"/>
      <c r="L38" s="31"/>
      <c r="M38" s="31"/>
      <c r="N38" s="31"/>
      <c r="O38" s="8"/>
      <c r="P38" s="31"/>
      <c r="Q38" s="31"/>
      <c r="R38" s="31"/>
      <c r="S38" s="31"/>
    </row>
    <row r="39" ht="15.75" hidden="1" customHeight="1">
      <c r="A39" s="31"/>
      <c r="B39" s="31"/>
      <c r="C39" s="31"/>
      <c r="D39" s="31"/>
      <c r="E39" s="31"/>
      <c r="F39" s="31"/>
      <c r="G39" s="31"/>
      <c r="H39" s="31"/>
      <c r="I39" s="31"/>
      <c r="J39" s="8"/>
      <c r="K39" s="31"/>
      <c r="L39" s="31"/>
      <c r="M39" s="31"/>
      <c r="N39" s="31"/>
      <c r="O39" s="8"/>
      <c r="P39" s="31"/>
      <c r="Q39" s="31"/>
      <c r="R39" s="31"/>
      <c r="S39" s="31"/>
    </row>
    <row r="40" ht="15.75" hidden="1" customHeight="1">
      <c r="A40" s="31"/>
      <c r="B40" s="31"/>
      <c r="C40" s="31"/>
      <c r="D40" s="31"/>
      <c r="E40" s="31"/>
      <c r="F40" s="31"/>
      <c r="G40" s="31"/>
      <c r="H40" s="31"/>
      <c r="I40" s="31"/>
      <c r="J40" s="8"/>
      <c r="K40" s="31"/>
      <c r="L40" s="31"/>
      <c r="M40" s="31"/>
      <c r="N40" s="31"/>
      <c r="O40" s="8"/>
      <c r="P40" s="31"/>
      <c r="Q40" s="31"/>
      <c r="R40" s="31"/>
      <c r="S40" s="31"/>
    </row>
    <row r="41" ht="15.75" hidden="1" customHeight="1">
      <c r="A41" s="31"/>
      <c r="B41" s="31"/>
      <c r="C41" s="31"/>
      <c r="D41" s="31"/>
      <c r="E41" s="31"/>
      <c r="F41" s="31"/>
      <c r="G41" s="31"/>
      <c r="H41" s="31"/>
      <c r="I41" s="31"/>
      <c r="J41" s="8"/>
      <c r="K41" s="31"/>
      <c r="L41" s="31"/>
      <c r="M41" s="31"/>
      <c r="N41" s="31"/>
      <c r="O41" s="8"/>
      <c r="P41" s="31"/>
      <c r="Q41" s="31"/>
      <c r="R41" s="31"/>
      <c r="S41" s="31"/>
    </row>
    <row r="42" ht="15.75" hidden="1" customHeight="1">
      <c r="A42" s="31"/>
      <c r="B42" s="31"/>
      <c r="C42" s="31"/>
      <c r="D42" s="31"/>
      <c r="E42" s="31"/>
      <c r="F42" s="31"/>
      <c r="G42" s="31"/>
      <c r="H42" s="31"/>
      <c r="I42" s="31"/>
      <c r="J42" s="8"/>
      <c r="K42" s="31"/>
      <c r="L42" s="31"/>
      <c r="M42" s="31"/>
      <c r="N42" s="31"/>
      <c r="O42" s="8"/>
      <c r="P42" s="31"/>
      <c r="Q42" s="31"/>
      <c r="R42" s="31"/>
      <c r="S42" s="31"/>
    </row>
    <row r="43" ht="15.75" hidden="1" customHeight="1">
      <c r="A43" s="31"/>
      <c r="B43" s="31"/>
      <c r="C43" s="31"/>
      <c r="D43" s="31"/>
      <c r="E43" s="31"/>
      <c r="F43" s="31"/>
      <c r="G43" s="31"/>
      <c r="H43" s="31"/>
      <c r="I43" s="31"/>
      <c r="J43" s="8"/>
      <c r="K43" s="31"/>
      <c r="L43" s="31"/>
      <c r="M43" s="31"/>
      <c r="N43" s="31"/>
      <c r="O43" s="8"/>
      <c r="P43" s="31"/>
      <c r="Q43" s="31"/>
      <c r="R43" s="31"/>
      <c r="S43" s="31"/>
    </row>
    <row r="44" ht="15.75" hidden="1" customHeight="1">
      <c r="A44" s="31"/>
      <c r="B44" s="31"/>
      <c r="C44" s="31"/>
      <c r="D44" s="31"/>
      <c r="E44" s="31"/>
      <c r="F44" s="31"/>
      <c r="G44" s="31"/>
      <c r="H44" s="31"/>
      <c r="I44" s="31"/>
      <c r="J44" s="8"/>
      <c r="K44" s="31"/>
      <c r="L44" s="31"/>
      <c r="M44" s="31"/>
      <c r="N44" s="31"/>
      <c r="O44" s="8"/>
      <c r="P44" s="31"/>
      <c r="Q44" s="31"/>
      <c r="R44" s="31"/>
      <c r="S44" s="31"/>
    </row>
    <row r="45" ht="15.75" hidden="1" customHeight="1">
      <c r="A45" s="31"/>
      <c r="B45" s="31"/>
      <c r="C45" s="31"/>
      <c r="D45" s="31"/>
      <c r="E45" s="31"/>
      <c r="F45" s="31"/>
      <c r="G45" s="31"/>
      <c r="H45" s="31"/>
      <c r="I45" s="31"/>
      <c r="J45" s="8"/>
      <c r="K45" s="31"/>
      <c r="L45" s="31"/>
      <c r="M45" s="31"/>
      <c r="N45" s="31"/>
      <c r="O45" s="8"/>
      <c r="P45" s="31"/>
      <c r="Q45" s="31"/>
      <c r="R45" s="31"/>
      <c r="S45" s="31"/>
    </row>
    <row r="46" ht="15.75" hidden="1" customHeight="1">
      <c r="A46" s="31"/>
      <c r="B46" s="31"/>
      <c r="C46" s="31"/>
      <c r="D46" s="31"/>
      <c r="E46" s="31"/>
      <c r="F46" s="31"/>
      <c r="G46" s="31"/>
      <c r="H46" s="31"/>
      <c r="I46" s="31"/>
      <c r="J46" s="8"/>
      <c r="K46" s="31"/>
      <c r="L46" s="31"/>
      <c r="M46" s="31"/>
      <c r="N46" s="31"/>
      <c r="O46" s="8"/>
      <c r="P46" s="31"/>
      <c r="Q46" s="31"/>
      <c r="R46" s="31"/>
      <c r="S46" s="31"/>
    </row>
    <row r="47" ht="15.75" hidden="1" customHeight="1">
      <c r="A47" s="31"/>
      <c r="B47" s="31"/>
      <c r="C47" s="31"/>
      <c r="D47" s="31"/>
      <c r="E47" s="31"/>
      <c r="F47" s="31"/>
      <c r="G47" s="31"/>
      <c r="H47" s="31"/>
      <c r="I47" s="31"/>
      <c r="J47" s="8"/>
      <c r="K47" s="31"/>
      <c r="L47" s="31"/>
      <c r="M47" s="31"/>
      <c r="N47" s="31"/>
      <c r="O47" s="8"/>
      <c r="P47" s="31"/>
      <c r="Q47" s="31"/>
      <c r="R47" s="31"/>
      <c r="S47" s="31"/>
    </row>
    <row r="48" ht="15.75" hidden="1" customHeight="1">
      <c r="A48" s="31"/>
      <c r="B48" s="31"/>
      <c r="C48" s="31"/>
      <c r="D48" s="31"/>
      <c r="E48" s="31"/>
      <c r="F48" s="31"/>
      <c r="G48" s="31"/>
      <c r="H48" s="31"/>
      <c r="I48" s="31"/>
      <c r="J48" s="8"/>
      <c r="K48" s="31"/>
      <c r="L48" s="31"/>
      <c r="M48" s="31"/>
      <c r="N48" s="31"/>
      <c r="O48" s="8"/>
      <c r="P48" s="31"/>
      <c r="Q48" s="31"/>
      <c r="R48" s="31"/>
      <c r="S48" s="31"/>
    </row>
    <row r="49" ht="15.75" hidden="1" customHeight="1">
      <c r="A49" s="31"/>
      <c r="B49" s="31"/>
      <c r="C49" s="31"/>
      <c r="D49" s="31"/>
      <c r="E49" s="31"/>
      <c r="F49" s="31"/>
      <c r="G49" s="31"/>
      <c r="H49" s="31"/>
      <c r="I49" s="31"/>
      <c r="J49" s="8"/>
      <c r="K49" s="31"/>
      <c r="L49" s="31"/>
      <c r="M49" s="31"/>
      <c r="N49" s="31"/>
      <c r="O49" s="8"/>
      <c r="P49" s="31"/>
      <c r="Q49" s="31"/>
      <c r="R49" s="31"/>
      <c r="S49" s="31"/>
    </row>
    <row r="50" ht="15.75" hidden="1" customHeight="1">
      <c r="A50" s="31"/>
      <c r="B50" s="31"/>
      <c r="C50" s="31"/>
      <c r="D50" s="31"/>
      <c r="E50" s="31"/>
      <c r="F50" s="31"/>
      <c r="G50" s="31"/>
      <c r="H50" s="31"/>
      <c r="I50" s="31"/>
      <c r="J50" s="8"/>
      <c r="K50" s="31"/>
      <c r="L50" s="31"/>
      <c r="M50" s="31"/>
      <c r="N50" s="31"/>
      <c r="O50" s="8"/>
      <c r="P50" s="31"/>
      <c r="Q50" s="31"/>
      <c r="R50" s="31"/>
      <c r="S50" s="31"/>
    </row>
    <row r="51" ht="15.75" hidden="1" customHeight="1">
      <c r="A51" s="31"/>
      <c r="B51" s="31"/>
      <c r="C51" s="31"/>
      <c r="D51" s="31"/>
      <c r="E51" s="31"/>
      <c r="F51" s="31"/>
      <c r="G51" s="31"/>
      <c r="H51" s="31"/>
      <c r="I51" s="31"/>
      <c r="J51" s="8"/>
      <c r="K51" s="31"/>
      <c r="L51" s="31"/>
      <c r="M51" s="31"/>
      <c r="N51" s="31"/>
      <c r="O51" s="8"/>
      <c r="P51" s="31"/>
      <c r="Q51" s="31"/>
      <c r="R51" s="31"/>
      <c r="S51" s="31"/>
    </row>
    <row r="52" ht="15.75" hidden="1" customHeight="1">
      <c r="A52" s="31"/>
      <c r="B52" s="31"/>
      <c r="C52" s="31"/>
      <c r="D52" s="31"/>
      <c r="E52" s="31"/>
      <c r="F52" s="31"/>
      <c r="G52" s="31"/>
      <c r="H52" s="31"/>
      <c r="I52" s="31"/>
      <c r="J52" s="8"/>
      <c r="K52" s="31"/>
      <c r="L52" s="31"/>
      <c r="M52" s="31"/>
      <c r="N52" s="31"/>
      <c r="O52" s="8"/>
      <c r="P52" s="31"/>
      <c r="Q52" s="31"/>
      <c r="R52" s="31"/>
      <c r="S52" s="31"/>
    </row>
    <row r="53" ht="15.75" hidden="1" customHeight="1">
      <c r="A53" s="31"/>
      <c r="B53" s="31"/>
      <c r="C53" s="31"/>
      <c r="D53" s="31"/>
      <c r="E53" s="31"/>
      <c r="F53" s="31"/>
      <c r="G53" s="31"/>
      <c r="H53" s="31"/>
      <c r="I53" s="31"/>
      <c r="J53" s="8"/>
      <c r="K53" s="31"/>
      <c r="L53" s="31"/>
      <c r="M53" s="31"/>
      <c r="N53" s="31"/>
      <c r="O53" s="8"/>
      <c r="P53" s="31"/>
      <c r="Q53" s="31"/>
      <c r="R53" s="31"/>
      <c r="S53" s="31"/>
    </row>
    <row r="54" ht="15.75" hidden="1" customHeight="1">
      <c r="A54" s="31"/>
      <c r="B54" s="31"/>
      <c r="C54" s="31"/>
      <c r="D54" s="31"/>
      <c r="E54" s="31"/>
      <c r="F54" s="31"/>
      <c r="G54" s="31"/>
      <c r="H54" s="31"/>
      <c r="I54" s="31"/>
      <c r="J54" s="8"/>
      <c r="K54" s="31"/>
      <c r="L54" s="31"/>
      <c r="M54" s="31"/>
      <c r="N54" s="31"/>
      <c r="O54" s="8"/>
      <c r="P54" s="31"/>
      <c r="Q54" s="31"/>
      <c r="R54" s="31"/>
      <c r="S54" s="31"/>
    </row>
    <row r="55" ht="15.75" hidden="1" customHeight="1">
      <c r="A55" s="31"/>
      <c r="B55" s="31"/>
      <c r="C55" s="31"/>
      <c r="D55" s="31"/>
      <c r="E55" s="31"/>
      <c r="F55" s="31"/>
      <c r="G55" s="31"/>
      <c r="H55" s="31"/>
      <c r="I55" s="31"/>
      <c r="J55" s="8"/>
      <c r="K55" s="31"/>
      <c r="L55" s="31"/>
      <c r="M55" s="31"/>
      <c r="N55" s="31"/>
      <c r="O55" s="8"/>
      <c r="P55" s="31"/>
      <c r="Q55" s="31"/>
      <c r="R55" s="31"/>
      <c r="S55" s="31"/>
    </row>
    <row r="56" ht="15.75" hidden="1" customHeight="1">
      <c r="A56" s="31"/>
      <c r="B56" s="31"/>
      <c r="C56" s="31"/>
      <c r="D56" s="31"/>
      <c r="E56" s="31"/>
      <c r="F56" s="31"/>
      <c r="G56" s="31"/>
      <c r="H56" s="31"/>
      <c r="I56" s="31"/>
      <c r="J56" s="8"/>
      <c r="K56" s="31"/>
      <c r="L56" s="31"/>
      <c r="M56" s="31"/>
      <c r="N56" s="31"/>
      <c r="O56" s="8"/>
      <c r="P56" s="31"/>
      <c r="Q56" s="31"/>
      <c r="R56" s="31"/>
      <c r="S56" s="31"/>
    </row>
    <row r="57" ht="15.75" hidden="1" customHeight="1">
      <c r="A57" s="31"/>
      <c r="B57" s="31"/>
      <c r="C57" s="31"/>
      <c r="D57" s="31"/>
      <c r="E57" s="31"/>
      <c r="F57" s="31"/>
      <c r="G57" s="31"/>
      <c r="H57" s="31"/>
      <c r="I57" s="31"/>
      <c r="J57" s="8"/>
      <c r="K57" s="31"/>
      <c r="L57" s="31"/>
      <c r="M57" s="31"/>
      <c r="N57" s="31"/>
      <c r="O57" s="8"/>
      <c r="P57" s="31"/>
      <c r="Q57" s="31"/>
      <c r="R57" s="31"/>
      <c r="S57" s="31"/>
    </row>
    <row r="58" ht="15.75" hidden="1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8"/>
      <c r="P58" s="31"/>
      <c r="Q58" s="31"/>
      <c r="R58" s="31"/>
      <c r="S58" s="31"/>
    </row>
    <row r="59" ht="15.75" hidden="1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</row>
    <row r="60" ht="15.75" hidden="1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</row>
    <row r="61" ht="15.75" hidden="1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</row>
    <row r="62" ht="15.75" hidden="1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</row>
    <row r="63" ht="15.75" hidden="1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</row>
    <row r="64" ht="15.75" hidden="1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</row>
    <row r="65" ht="15.75" hidden="1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</row>
    <row r="66" ht="15.75" hidden="1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</row>
    <row r="67" ht="15.75" hidden="1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</row>
    <row r="68" ht="15.75" hidden="1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</row>
    <row r="69" ht="15.75" hidden="1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</row>
    <row r="70" ht="15.75" hidden="1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</row>
    <row r="71" ht="15.75" hidden="1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</row>
    <row r="72" ht="15.75" hidden="1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</row>
    <row r="73" ht="15.75" hidden="1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</row>
    <row r="74" ht="15.75" hidden="1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</row>
    <row r="75" ht="15.75" hidden="1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</row>
    <row r="76" ht="15.75" hidden="1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</row>
    <row r="77" ht="15.75" hidden="1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</row>
    <row r="78" ht="15.75" hidden="1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</row>
    <row r="79" ht="15.75" hidden="1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</row>
    <row r="80" ht="15.75" hidden="1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</row>
    <row r="81" ht="15.75" hidden="1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</row>
    <row r="82" ht="15.75" hidden="1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</row>
    <row r="83" ht="15.75" hidden="1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</row>
    <row r="84" ht="15.75" hidden="1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</row>
    <row r="85" ht="15.75" hidden="1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</row>
    <row r="86" ht="15.75" hidden="1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</row>
    <row r="87" ht="15.75" hidden="1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</row>
    <row r="88" ht="15.75" hidden="1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</row>
    <row r="89" ht="15.75" hidden="1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</row>
    <row r="90" ht="15.75" hidden="1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</row>
    <row r="91" ht="15.75" hidden="1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</row>
    <row r="92" ht="15.75" hidden="1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</row>
    <row r="93" ht="15.75" hidden="1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</row>
    <row r="94" ht="15.75" hidden="1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</row>
    <row r="95" ht="15.75" hidden="1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</row>
    <row r="96" ht="15.75" hidden="1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</row>
    <row r="97" ht="15.75" hidden="1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</row>
    <row r="98" ht="15.75" hidden="1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</row>
    <row r="99" ht="15.75" hidden="1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</row>
    <row r="100" ht="15.75" hidden="1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</row>
    <row r="101" ht="15.75" hidden="1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</row>
    <row r="102" ht="15.75" hidden="1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</row>
    <row r="103" ht="15.75" hidden="1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</row>
    <row r="104" ht="15.75" hidden="1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</row>
    <row r="105" ht="15.75" hidden="1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</row>
    <row r="106" ht="15.75" hidden="1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</row>
    <row r="107" ht="15.75" hidden="1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</row>
    <row r="108" ht="15.75" hidden="1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</row>
    <row r="109" ht="15.75" hidden="1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</row>
    <row r="110" ht="15.75" hidden="1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</row>
    <row r="111" ht="15.75" hidden="1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</row>
    <row r="112" ht="15.75" hidden="1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</row>
    <row r="113" ht="15.75" hidden="1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</row>
    <row r="114" ht="15.75" hidden="1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</row>
    <row r="115" ht="15.75" hidden="1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</row>
    <row r="116" ht="15.75" hidden="1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</row>
    <row r="117" ht="15.75" hidden="1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</row>
    <row r="118" ht="15.75" hidden="1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</row>
    <row r="119" ht="15.75" hidden="1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</row>
    <row r="120" ht="15.75" hidden="1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</row>
    <row r="121" ht="15.75" hidden="1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</row>
    <row r="122" ht="15.75" hidden="1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</row>
    <row r="123" ht="15.75" hidden="1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</row>
    <row r="124" ht="15.75" hidden="1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</row>
    <row r="125" ht="15.75" hidden="1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</row>
    <row r="126" ht="15.75" hidden="1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</row>
    <row r="127" ht="15.75" hidden="1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</row>
    <row r="128" ht="15.75" hidden="1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</row>
    <row r="129" ht="15.75" hidden="1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</row>
    <row r="130" ht="15.75" hidden="1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</row>
    <row r="131" ht="15.75" hidden="1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</row>
    <row r="132" ht="15.75" hidden="1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</row>
    <row r="133" ht="15.75" hidden="1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</row>
    <row r="134" ht="15.75" hidden="1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</row>
    <row r="135" ht="15.75" hidden="1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</row>
    <row r="136" ht="15.75" hidden="1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</row>
    <row r="137" ht="15.75" hidden="1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</row>
    <row r="138" ht="15.75" hidden="1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</row>
    <row r="139" ht="15.75" hidden="1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</row>
    <row r="140" ht="15.75" hidden="1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</row>
    <row r="141" ht="15.75" hidden="1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</row>
    <row r="142" ht="15.75" hidden="1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</row>
    <row r="143" ht="15.75" hidden="1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</row>
    <row r="144" ht="15.75" hidden="1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</row>
    <row r="145" ht="15.75" hidden="1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</row>
    <row r="146" ht="15.75" hidden="1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</row>
    <row r="147" ht="15.75" hidden="1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</row>
    <row r="148" ht="15.75" hidden="1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</row>
    <row r="149" ht="15.75" hidden="1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</row>
    <row r="150" ht="15.75" hidden="1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</row>
    <row r="151" ht="15.75" hidden="1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</row>
    <row r="152" ht="15.75" hidden="1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</row>
    <row r="153" ht="15.75" hidden="1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</row>
    <row r="154" ht="15.75" hidden="1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</row>
    <row r="155" ht="15.75" hidden="1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</row>
    <row r="156" ht="15.75" hidden="1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</row>
    <row r="157" ht="15.75" hidden="1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</row>
    <row r="158" ht="15.75" hidden="1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</row>
    <row r="159" ht="15.75" hidden="1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</row>
    <row r="160" ht="15.75" hidden="1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</row>
    <row r="161" ht="15.75" hidden="1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</row>
    <row r="162" ht="15.75" hidden="1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</row>
    <row r="163" ht="15.75" hidden="1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</row>
    <row r="164" ht="15.75" hidden="1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</row>
    <row r="165" ht="15.75" hidden="1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</row>
    <row r="166" ht="15.75" hidden="1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</row>
    <row r="167" ht="15.75" hidden="1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</row>
    <row r="168" ht="15.75" hidden="1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</row>
    <row r="169" ht="15.75" hidden="1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</row>
    <row r="170" ht="15.75" hidden="1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</row>
    <row r="171" ht="15.75" hidden="1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</row>
    <row r="172" ht="15.75" hidden="1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</row>
    <row r="173" ht="15.75" hidden="1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</row>
    <row r="174" ht="15.75" hidden="1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</row>
    <row r="175" ht="15.75" hidden="1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</row>
    <row r="176" ht="15.75" hidden="1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</row>
    <row r="177" ht="15.75" hidden="1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</row>
    <row r="178" ht="15.75" hidden="1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</row>
    <row r="179" ht="15.75" hidden="1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</row>
    <row r="180" ht="15.75" hidden="1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</row>
    <row r="181" ht="15.75" hidden="1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</row>
    <row r="182" ht="15.75" hidden="1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</row>
    <row r="183" ht="15.75" hidden="1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</row>
    <row r="184" ht="15.75" hidden="1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</row>
    <row r="185" ht="15.75" hidden="1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</row>
    <row r="186" ht="15.75" hidden="1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</row>
    <row r="187" ht="15.75" hidden="1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</row>
    <row r="188" ht="15.75" hidden="1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</row>
    <row r="189" ht="15.75" hidden="1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</row>
    <row r="190" ht="15.75" hidden="1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</row>
    <row r="191" ht="15.75" hidden="1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</row>
    <row r="192" ht="15.75" hidden="1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</row>
    <row r="193" ht="15.75" hidden="1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</row>
    <row r="194" ht="15.75" hidden="1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</row>
    <row r="195" ht="15.75" hidden="1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</row>
    <row r="196" ht="15.75" hidden="1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</row>
    <row r="197" ht="15.75" hidden="1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</row>
    <row r="198" ht="15.75" hidden="1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</row>
    <row r="199" ht="15.75" hidden="1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</row>
    <row r="200" ht="15.75" hidden="1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</row>
    <row r="201" ht="15.75" hidden="1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</row>
    <row r="202" ht="15.75" hidden="1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</row>
    <row r="203" ht="15.75" hidden="1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</row>
    <row r="204" ht="15.75" hidden="1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</row>
    <row r="205" ht="15.75" hidden="1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</row>
    <row r="206" ht="15.75" hidden="1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</row>
    <row r="207" ht="15.75" hidden="1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</row>
    <row r="208" ht="15.75" hidden="1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</row>
    <row r="209" ht="15.75" hidden="1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</row>
    <row r="210" ht="15.75" hidden="1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</row>
    <row r="211" ht="15.75" hidden="1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</row>
    <row r="212" ht="15.75" hidden="1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</row>
    <row r="213" ht="15.75" hidden="1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</row>
    <row r="214" ht="15.75" hidden="1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</row>
    <row r="215" ht="15.75" hidden="1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</row>
    <row r="216" ht="15.75" hidden="1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</row>
    <row r="217" ht="15.75" hidden="1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</row>
    <row r="218" ht="15.75" hidden="1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</row>
    <row r="219" ht="15.75" hidden="1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</row>
    <row r="220" ht="15.75" hidden="1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</row>
    <row r="221" ht="15.75" hidden="1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</row>
    <row r="222" ht="15.75" hidden="1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</row>
    <row r="223" ht="15.75" hidden="1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</row>
    <row r="224" ht="15.75" hidden="1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</row>
    <row r="225" ht="15.75" hidden="1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</row>
    <row r="226" ht="15.75" hidden="1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</row>
    <row r="227" ht="15.75" hidden="1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</row>
    <row r="228" ht="15.75" hidden="1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</row>
    <row r="229" ht="15.75" hidden="1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</row>
    <row r="230" ht="15.75" hidden="1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</row>
    <row r="231" ht="15.75" hidden="1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</row>
    <row r="232" ht="15.75" hidden="1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</row>
    <row r="233" ht="15.75" hidden="1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</row>
    <row r="234" ht="15.75" hidden="1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</row>
    <row r="235" ht="15.75" hidden="1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</row>
    <row r="236" ht="15.75" hidden="1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</row>
    <row r="237" ht="15.75" hidden="1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</row>
    <row r="238" ht="15.75" hidden="1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</row>
    <row r="239" ht="15.75" hidden="1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</row>
    <row r="240" ht="15.75" hidden="1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</row>
    <row r="241" ht="15.75" hidden="1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</row>
    <row r="242" ht="15.75" hidden="1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</row>
    <row r="243" ht="15.75" hidden="1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</row>
    <row r="244" ht="15.75" hidden="1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</row>
    <row r="245" ht="15.75" hidden="1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</row>
    <row r="246" ht="15.75" hidden="1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</row>
    <row r="247" ht="15.75" hidden="1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</row>
    <row r="248" ht="15.75" hidden="1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</row>
    <row r="249" ht="15.75" hidden="1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</row>
    <row r="250" ht="15.75" hidden="1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</row>
    <row r="251" ht="15.75" hidden="1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</row>
    <row r="252" ht="15.75" hidden="1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</row>
    <row r="253" ht="15.75" hidden="1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</row>
    <row r="254" ht="15.75" hidden="1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</row>
    <row r="255" ht="15.75" hidden="1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</row>
    <row r="256" ht="15.75" hidden="1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</row>
    <row r="257" ht="15.75" hidden="1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</row>
    <row r="258" ht="15.75" hidden="1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</row>
    <row r="259" ht="15.75" hidden="1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</row>
    <row r="260" ht="15.75" hidden="1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</row>
    <row r="261" ht="15.75" hidden="1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</row>
    <row r="262" ht="15.75" hidden="1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</row>
    <row r="263" ht="15.75" hidden="1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</row>
    <row r="264" ht="15.75" hidden="1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</row>
    <row r="265" ht="15.75" hidden="1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</row>
    <row r="266" ht="15.75" hidden="1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</row>
    <row r="267" ht="15.75" hidden="1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</row>
    <row r="268" ht="15.75" hidden="1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</row>
    <row r="269" ht="15.75" hidden="1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</row>
    <row r="270" ht="15.75" hidden="1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</row>
    <row r="271" ht="15.75" hidden="1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</row>
    <row r="272" ht="15.75" hidden="1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</row>
    <row r="273" ht="15.75" hidden="1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</row>
    <row r="274" ht="15.75" hidden="1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</row>
    <row r="275" ht="15.75" hidden="1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</row>
    <row r="276" ht="15.75" hidden="1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</row>
    <row r="277" ht="15.75" hidden="1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</row>
    <row r="278" ht="15.75" hidden="1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</row>
    <row r="279" ht="15.75" hidden="1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</row>
    <row r="280" ht="15.75" hidden="1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</row>
    <row r="281" ht="15.75" hidden="1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</row>
    <row r="282" ht="15.75" hidden="1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</row>
    <row r="283" ht="15.75" hidden="1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</row>
    <row r="284" ht="15.75" hidden="1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</row>
    <row r="285" ht="15.75" hidden="1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</row>
    <row r="286" ht="15.75" hidden="1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</row>
    <row r="287" ht="15.75" hidden="1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</row>
    <row r="288" ht="15.75" hidden="1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</row>
    <row r="289" ht="15.75" hidden="1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</row>
    <row r="290" ht="15.75" hidden="1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</row>
    <row r="291" ht="15.75" hidden="1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</row>
    <row r="292" ht="15.75" hidden="1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</row>
    <row r="293" ht="15.75" hidden="1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</row>
    <row r="294" ht="15.75" hidden="1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</row>
    <row r="295" ht="15.75" hidden="1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</row>
    <row r="296" ht="15.75" hidden="1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</row>
    <row r="297" ht="15.75" hidden="1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</row>
    <row r="298" ht="15.75" hidden="1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</row>
    <row r="299" ht="15.75" hidden="1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</row>
    <row r="300" ht="15.75" hidden="1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</row>
    <row r="301" ht="15.75" hidden="1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</row>
    <row r="302" ht="15.75" hidden="1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</row>
    <row r="303" ht="15.75" hidden="1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</row>
    <row r="304" ht="15.75" hidden="1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</row>
    <row r="305" ht="15.75" hidden="1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</row>
    <row r="306" ht="15.75" hidden="1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</row>
    <row r="307" ht="15.75" hidden="1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</row>
    <row r="308" ht="15.75" hidden="1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</row>
    <row r="309" ht="15.75" hidden="1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</row>
    <row r="310" ht="15.75" hidden="1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</row>
    <row r="311" ht="15.75" hidden="1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</row>
    <row r="312" ht="15.75" hidden="1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</row>
    <row r="313" ht="15.75" hidden="1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</row>
    <row r="314" ht="15.75" hidden="1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</row>
    <row r="315" ht="15.75" hidden="1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</row>
    <row r="316" ht="15.75" hidden="1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</row>
    <row r="317" ht="15.75" hidden="1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</row>
    <row r="318" ht="15.75" hidden="1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</row>
    <row r="319" ht="15.75" hidden="1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</row>
    <row r="320" ht="15.75" hidden="1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</row>
    <row r="321" ht="15.75" hidden="1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</row>
    <row r="322" ht="15.75" hidden="1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</row>
    <row r="323" ht="15.75" hidden="1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</row>
    <row r="324" ht="15.75" hidden="1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</row>
    <row r="325" ht="15.75" hidden="1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</row>
    <row r="326" ht="15.75" hidden="1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</row>
    <row r="327" ht="15.75" hidden="1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</row>
    <row r="328" ht="15.75" hidden="1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</row>
    <row r="329" ht="15.75" hidden="1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</row>
    <row r="330" ht="15.75" hidden="1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</row>
    <row r="331" ht="15.75" hidden="1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</row>
    <row r="332" ht="15.75" hidden="1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</row>
    <row r="333" ht="15.75" hidden="1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</row>
    <row r="334" ht="15.75" hidden="1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</row>
    <row r="335" ht="15.75" hidden="1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</row>
    <row r="336" ht="15.75" hidden="1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</row>
    <row r="337" ht="15.75" hidden="1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</row>
    <row r="338" ht="15.75" hidden="1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</row>
    <row r="339" ht="15.75" hidden="1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</row>
    <row r="340" ht="15.75" hidden="1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</row>
    <row r="341" ht="15.75" hidden="1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</row>
    <row r="342" ht="15.75" hidden="1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</row>
    <row r="343" ht="15.75" hidden="1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</row>
    <row r="344" ht="15.75" hidden="1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</row>
    <row r="345" ht="15.75" hidden="1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</row>
    <row r="346" ht="15.75" hidden="1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</row>
    <row r="347" ht="15.75" hidden="1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</row>
    <row r="348" ht="15.75" hidden="1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</row>
    <row r="349" ht="15.75" hidden="1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</row>
    <row r="350" ht="15.75" hidden="1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</row>
    <row r="351" ht="15.75" hidden="1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</row>
    <row r="352" ht="15.75" hidden="1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</row>
    <row r="353" ht="15.75" hidden="1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</row>
    <row r="354" ht="15.75" hidden="1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</row>
    <row r="355" ht="15.75" hidden="1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</row>
    <row r="356" ht="15.75" hidden="1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</row>
    <row r="357" ht="15.75" hidden="1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</row>
    <row r="358" ht="15.75" hidden="1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</row>
    <row r="359" ht="15.75" hidden="1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</row>
    <row r="360" ht="15.75" hidden="1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</row>
    <row r="361" ht="15.75" hidden="1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</row>
    <row r="362" ht="15.75" hidden="1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</row>
    <row r="363" ht="15.75" hidden="1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</row>
    <row r="364" ht="15.75" hidden="1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</row>
    <row r="365" ht="15.75" hidden="1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</row>
    <row r="366" ht="15.75" hidden="1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</row>
    <row r="367" ht="15.75" hidden="1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</row>
    <row r="368" ht="15.75" hidden="1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</row>
    <row r="369" ht="15.75" hidden="1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</row>
    <row r="370" ht="15.75" hidden="1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</row>
    <row r="371" ht="15.75" hidden="1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</row>
    <row r="372" ht="15.75" hidden="1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</row>
    <row r="373" ht="15.75" hidden="1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</row>
    <row r="374" ht="15.75" hidden="1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</row>
    <row r="375" ht="15.75" hidden="1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</row>
    <row r="376" ht="15.75" hidden="1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</row>
    <row r="377" ht="15.75" hidden="1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</row>
    <row r="378" ht="15.75" hidden="1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</row>
    <row r="379" ht="15.75" hidden="1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</row>
    <row r="380" ht="15.75" hidden="1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</row>
    <row r="381" ht="15.75" hidden="1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</row>
    <row r="382" ht="15.75" hidden="1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</row>
    <row r="383" ht="15.75" hidden="1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</row>
    <row r="384" ht="15.75" hidden="1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</row>
    <row r="385" ht="15.75" hidden="1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</row>
    <row r="386" ht="15.75" hidden="1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</row>
    <row r="387" ht="15.75" hidden="1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</row>
    <row r="388" ht="15.75" hidden="1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</row>
    <row r="389" ht="15.75" hidden="1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</row>
    <row r="390" ht="15.75" hidden="1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</row>
    <row r="391" ht="15.75" hidden="1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</row>
    <row r="392" ht="15.75" hidden="1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</row>
    <row r="393" ht="15.75" hidden="1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</row>
    <row r="394" ht="15.75" hidden="1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</row>
    <row r="395" ht="15.75" hidden="1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</row>
    <row r="396" ht="15.75" hidden="1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</row>
    <row r="397" ht="15.75" hidden="1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</row>
    <row r="398" ht="15.75" hidden="1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</row>
    <row r="399" ht="15.75" hidden="1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</row>
    <row r="400" ht="15.75" hidden="1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</row>
    <row r="401" ht="15.75" hidden="1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</row>
    <row r="402" ht="15.75" hidden="1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</row>
    <row r="403" ht="15.75" hidden="1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</row>
    <row r="404" ht="15.75" hidden="1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</row>
    <row r="405" ht="15.75" hidden="1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</row>
    <row r="406" ht="15.75" hidden="1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</row>
    <row r="407" ht="15.75" hidden="1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</row>
    <row r="408" ht="15.75" hidden="1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</row>
    <row r="409" ht="15.75" hidden="1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</row>
    <row r="410" ht="15.75" hidden="1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</row>
    <row r="411" ht="15.75" hidden="1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</row>
    <row r="412" ht="15.75" hidden="1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</row>
    <row r="413" ht="15.75" hidden="1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</row>
    <row r="414" ht="15.75" hidden="1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</row>
    <row r="415" ht="15.75" hidden="1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</row>
    <row r="416" ht="15.75" hidden="1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</row>
    <row r="417" ht="15.75" hidden="1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</row>
    <row r="418" ht="15.75" hidden="1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</row>
    <row r="419" ht="15.75" hidden="1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</row>
    <row r="420" ht="15.75" hidden="1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</row>
    <row r="421" ht="15.75" hidden="1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</row>
    <row r="422" ht="15.75" hidden="1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</row>
    <row r="423" ht="15.75" hidden="1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</row>
    <row r="424" ht="15.75" hidden="1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</row>
    <row r="425" ht="15.75" hidden="1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</row>
    <row r="426" ht="15.75" hidden="1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</row>
    <row r="427" ht="15.75" hidden="1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</row>
    <row r="428" ht="15.75" hidden="1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</row>
    <row r="429" ht="15.75" hidden="1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</row>
    <row r="430" ht="15.75" hidden="1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</row>
    <row r="431" ht="15.75" hidden="1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</row>
    <row r="432" ht="15.75" hidden="1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</row>
    <row r="433" ht="15.75" hidden="1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</row>
    <row r="434" ht="15.75" hidden="1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</row>
    <row r="435" ht="15.75" hidden="1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</row>
    <row r="436" ht="15.75" hidden="1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</row>
    <row r="437" ht="15.75" hidden="1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</row>
    <row r="438" ht="15.75" hidden="1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</row>
    <row r="439" ht="15.75" hidden="1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</row>
    <row r="440" ht="15.75" hidden="1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</row>
    <row r="441" ht="15.75" hidden="1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</row>
    <row r="442" ht="15.75" hidden="1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</row>
    <row r="443" ht="15.75" hidden="1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</row>
    <row r="444" ht="15.75" hidden="1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</row>
    <row r="445" ht="15.75" hidden="1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</row>
    <row r="446" ht="15.75" hidden="1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</row>
    <row r="447" ht="15.75" hidden="1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</row>
    <row r="448" ht="15.75" hidden="1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</row>
    <row r="449" ht="15.75" hidden="1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</row>
    <row r="450" ht="15.75" hidden="1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</row>
    <row r="451" ht="15.75" hidden="1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</row>
    <row r="452" ht="15.75" hidden="1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</row>
    <row r="453" ht="15.75" hidden="1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</row>
    <row r="454" ht="15.75" hidden="1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</row>
    <row r="455" ht="15.75" hidden="1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</row>
    <row r="456" ht="15.75" hidden="1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</row>
    <row r="457" ht="15.75" hidden="1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</row>
    <row r="458" ht="15.75" hidden="1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</row>
    <row r="459" ht="15.75" hidden="1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</row>
    <row r="460" ht="15.75" hidden="1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</row>
    <row r="461" ht="15.75" hidden="1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</row>
    <row r="462" ht="15.75" hidden="1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</row>
    <row r="463" ht="15.75" hidden="1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</row>
    <row r="464" ht="15.75" hidden="1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</row>
    <row r="465" ht="15.75" hidden="1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</row>
    <row r="466" ht="15.75" hidden="1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</row>
    <row r="467" ht="15.75" hidden="1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</row>
    <row r="468" ht="15.75" hidden="1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</row>
    <row r="469" ht="15.75" hidden="1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</row>
    <row r="470" ht="15.75" hidden="1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</row>
    <row r="471" ht="15.75" hidden="1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</row>
    <row r="472" ht="15.75" hidden="1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</row>
    <row r="473" ht="15.75" hidden="1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</row>
    <row r="474" ht="15.75" hidden="1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</row>
    <row r="475" ht="15.75" hidden="1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</row>
    <row r="476" ht="15.75" hidden="1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</row>
    <row r="477" ht="15.75" hidden="1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</row>
    <row r="478" ht="15.75" hidden="1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</row>
    <row r="479" ht="15.75" hidden="1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</row>
    <row r="480" ht="15.75" hidden="1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</row>
    <row r="481" ht="15.75" hidden="1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</row>
    <row r="482" ht="15.75" hidden="1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</row>
    <row r="483" ht="15.75" hidden="1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</row>
    <row r="484" ht="15.75" hidden="1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</row>
    <row r="485" ht="15.75" hidden="1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</row>
    <row r="486" ht="15.75" hidden="1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</row>
    <row r="487" ht="15.75" hidden="1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</row>
    <row r="488" ht="15.75" hidden="1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</row>
    <row r="489" ht="15.75" hidden="1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</row>
    <row r="490" ht="15.75" hidden="1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</row>
    <row r="491" ht="15.75" hidden="1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</row>
    <row r="492" ht="15.75" hidden="1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</row>
    <row r="493" ht="15.75" hidden="1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</row>
    <row r="494" ht="15.75" hidden="1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</row>
    <row r="495" ht="15.75" hidden="1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</row>
    <row r="496" ht="15.75" hidden="1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</row>
    <row r="497" ht="15.75" hidden="1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</row>
    <row r="498" ht="15.75" hidden="1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</row>
    <row r="499" ht="15.75" hidden="1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</row>
    <row r="500" ht="15.75" hidden="1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</row>
    <row r="501" ht="15.75" hidden="1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</row>
    <row r="502" ht="15.75" hidden="1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</row>
    <row r="503" ht="15.75" hidden="1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</row>
    <row r="504" ht="15.75" hidden="1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</row>
    <row r="505" ht="15.75" hidden="1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</row>
    <row r="506" ht="15.75" hidden="1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</row>
    <row r="507" ht="15.75" hidden="1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</row>
    <row r="508" ht="15.75" hidden="1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</row>
    <row r="509" ht="15.75" hidden="1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</row>
    <row r="510" ht="15.75" hidden="1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</row>
    <row r="511" ht="15.75" hidden="1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</row>
    <row r="512" ht="15.75" hidden="1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</row>
    <row r="513" ht="15.75" hidden="1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</row>
    <row r="514" ht="15.75" hidden="1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</row>
    <row r="515" ht="15.75" hidden="1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</row>
    <row r="516" ht="15.75" hidden="1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</row>
    <row r="517" ht="15.75" hidden="1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</row>
    <row r="518" ht="15.75" hidden="1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</row>
    <row r="519" ht="15.75" hidden="1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</row>
    <row r="520" ht="15.75" hidden="1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</row>
    <row r="521" ht="15.75" hidden="1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</row>
    <row r="522" ht="15.75" hidden="1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</row>
    <row r="523" ht="15.75" hidden="1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</row>
    <row r="524" ht="15.75" hidden="1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</row>
    <row r="525" ht="15.75" hidden="1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</row>
    <row r="526" ht="15.75" hidden="1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</row>
    <row r="527" ht="15.75" hidden="1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</row>
    <row r="528" ht="15.75" hidden="1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</row>
    <row r="529" ht="15.75" hidden="1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</row>
    <row r="530" ht="15.75" hidden="1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</row>
    <row r="531" ht="15.75" hidden="1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</row>
    <row r="532" ht="15.75" hidden="1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</row>
    <row r="533" ht="15.75" hidden="1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</row>
    <row r="534" ht="15.75" hidden="1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</row>
    <row r="535" ht="15.75" hidden="1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</row>
    <row r="536" ht="15.75" hidden="1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</row>
    <row r="537" ht="15.75" hidden="1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</row>
    <row r="538" ht="15.75" hidden="1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</row>
    <row r="539" ht="15.75" hidden="1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</row>
    <row r="540" ht="15.75" hidden="1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</row>
    <row r="541" ht="15.75" hidden="1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</row>
    <row r="542" ht="15.75" hidden="1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</row>
    <row r="543" ht="15.75" hidden="1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</row>
    <row r="544" ht="15.75" hidden="1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</row>
    <row r="545" ht="15.75" hidden="1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</row>
    <row r="546" ht="15.75" hidden="1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</row>
    <row r="547" ht="15.75" hidden="1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</row>
    <row r="548" ht="15.75" hidden="1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</row>
    <row r="549" ht="15.75" hidden="1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</row>
    <row r="550" ht="15.75" hidden="1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</row>
    <row r="551" ht="15.75" hidden="1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</row>
    <row r="552" ht="15.75" hidden="1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</row>
    <row r="553" ht="15.75" hidden="1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</row>
    <row r="554" ht="15.75" hidden="1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</row>
    <row r="555" ht="15.75" hidden="1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</row>
    <row r="556" ht="15.75" hidden="1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</row>
    <row r="557" ht="15.75" hidden="1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</row>
    <row r="558" ht="15.75" hidden="1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</row>
    <row r="559" ht="15.75" hidden="1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</row>
    <row r="560" ht="15.75" hidden="1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</row>
    <row r="561" ht="15.75" hidden="1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</row>
    <row r="562" ht="15.75" hidden="1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</row>
    <row r="563" ht="15.75" hidden="1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</row>
    <row r="564" ht="15.75" hidden="1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</row>
    <row r="565" ht="15.75" hidden="1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</row>
    <row r="566" ht="15.75" hidden="1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</row>
    <row r="567" ht="15.75" hidden="1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</row>
    <row r="568" ht="15.75" hidden="1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</row>
    <row r="569" ht="15.75" hidden="1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</row>
    <row r="570" ht="15.75" hidden="1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</row>
    <row r="571" ht="15.75" hidden="1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</row>
    <row r="572" ht="15.75" hidden="1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</row>
    <row r="573" ht="15.75" hidden="1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</row>
    <row r="574" ht="15.75" hidden="1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</row>
    <row r="575" ht="15.75" hidden="1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</row>
    <row r="576" ht="15.75" hidden="1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</row>
    <row r="577" ht="15.75" hidden="1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</row>
    <row r="578" ht="15.75" hidden="1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</row>
    <row r="579" ht="15.75" hidden="1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</row>
    <row r="580" ht="15.75" hidden="1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</row>
    <row r="581" ht="15.75" hidden="1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</row>
    <row r="582" ht="15.75" hidden="1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</row>
    <row r="583" ht="15.75" hidden="1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</row>
    <row r="584" ht="15.75" hidden="1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</row>
    <row r="585" ht="15.75" hidden="1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</row>
    <row r="586" ht="15.75" hidden="1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</row>
    <row r="587" ht="15.75" hidden="1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</row>
    <row r="588" ht="15.75" hidden="1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</row>
    <row r="589" ht="15.75" hidden="1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</row>
    <row r="590" ht="15.75" hidden="1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</row>
    <row r="591" ht="15.75" hidden="1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</row>
    <row r="592" ht="15.75" hidden="1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</row>
    <row r="593" ht="15.75" hidden="1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</row>
    <row r="594" ht="15.75" hidden="1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</row>
    <row r="595" ht="15.75" hidden="1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</row>
    <row r="596" ht="15.75" hidden="1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</row>
    <row r="597" ht="15.75" hidden="1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</row>
    <row r="598" ht="15.75" hidden="1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</row>
    <row r="599" ht="15.75" hidden="1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</row>
    <row r="600" ht="15.75" hidden="1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</row>
    <row r="601" ht="15.75" hidden="1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</row>
    <row r="602" ht="15.75" hidden="1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</row>
    <row r="603" ht="15.75" hidden="1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</row>
    <row r="604" ht="15.75" hidden="1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</row>
    <row r="605" ht="15.75" hidden="1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</row>
    <row r="606" ht="15.75" hidden="1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</row>
    <row r="607" ht="15.75" hidden="1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</row>
    <row r="608" ht="15.75" hidden="1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</row>
    <row r="609" ht="15.75" hidden="1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</row>
    <row r="610" ht="15.75" hidden="1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</row>
    <row r="611" ht="15.75" hidden="1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</row>
    <row r="612" ht="15.75" hidden="1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</row>
    <row r="613" ht="15.75" hidden="1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</row>
    <row r="614" ht="15.75" hidden="1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</row>
    <row r="615" ht="15.75" hidden="1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</row>
    <row r="616" ht="15.75" hidden="1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</row>
    <row r="617" ht="15.75" hidden="1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</row>
    <row r="618" ht="15.75" hidden="1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</row>
    <row r="619" ht="15.75" hidden="1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</row>
    <row r="620" ht="15.75" hidden="1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</row>
    <row r="621" ht="15.75" hidden="1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</row>
    <row r="622" ht="15.75" hidden="1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</row>
    <row r="623" ht="15.75" hidden="1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</row>
    <row r="624" ht="15.75" hidden="1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</row>
    <row r="625" ht="15.75" hidden="1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</row>
    <row r="626" ht="15.75" hidden="1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</row>
    <row r="627" ht="15.75" hidden="1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</row>
    <row r="628" ht="15.75" hidden="1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</row>
    <row r="629" ht="15.75" hidden="1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</row>
    <row r="630" ht="15.75" hidden="1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</row>
    <row r="631" ht="15.75" hidden="1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</row>
    <row r="632" ht="15.75" hidden="1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</row>
    <row r="633" ht="15.75" hidden="1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</row>
    <row r="634" ht="15.75" hidden="1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</row>
    <row r="635" ht="15.75" hidden="1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</row>
    <row r="636" ht="15.75" hidden="1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</row>
    <row r="637" ht="15.75" hidden="1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</row>
    <row r="638" ht="15.75" hidden="1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</row>
    <row r="639" ht="15.75" hidden="1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</row>
    <row r="640" ht="15.75" hidden="1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</row>
    <row r="641" ht="15.75" hidden="1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</row>
    <row r="642" ht="15.75" hidden="1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</row>
    <row r="643" ht="15.75" hidden="1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</row>
    <row r="644" ht="15.75" hidden="1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</row>
    <row r="645" ht="15.75" hidden="1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</row>
    <row r="646" ht="15.75" hidden="1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</row>
    <row r="647" ht="15.75" hidden="1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</row>
    <row r="648" ht="15.75" hidden="1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</row>
    <row r="649" ht="15.75" hidden="1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</row>
    <row r="650" ht="15.75" hidden="1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</row>
    <row r="651" ht="15.75" hidden="1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</row>
    <row r="652" ht="15.75" hidden="1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</row>
    <row r="653" ht="15.75" hidden="1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</row>
    <row r="654" ht="15.75" hidden="1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</row>
    <row r="655" ht="15.75" hidden="1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</row>
    <row r="656" ht="15.75" hidden="1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</row>
    <row r="657" ht="15.75" hidden="1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</row>
    <row r="658" ht="15.75" hidden="1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</row>
    <row r="659" ht="15.75" hidden="1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</row>
    <row r="660" ht="15.75" hidden="1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</row>
    <row r="661" ht="15.75" hidden="1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</row>
    <row r="662" ht="15.75" hidden="1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</row>
    <row r="663" ht="15.75" hidden="1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</row>
    <row r="664" ht="15.75" hidden="1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</row>
    <row r="665" ht="15.75" hidden="1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</row>
    <row r="666" ht="15.75" hidden="1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</row>
    <row r="667" ht="15.75" hidden="1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</row>
    <row r="668" ht="15.75" hidden="1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</row>
    <row r="669" ht="15.75" hidden="1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</row>
    <row r="670" ht="15.75" hidden="1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</row>
    <row r="671" ht="15.75" hidden="1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</row>
    <row r="672" ht="15.75" hidden="1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</row>
    <row r="673" ht="15.75" hidden="1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</row>
    <row r="674" ht="15.75" hidden="1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</row>
    <row r="675" ht="15.75" hidden="1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</row>
    <row r="676" ht="15.75" hidden="1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</row>
    <row r="677" ht="15.75" hidden="1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</row>
    <row r="678" ht="15.75" hidden="1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</row>
    <row r="679" ht="15.75" hidden="1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</row>
    <row r="680" ht="15.75" hidden="1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</row>
    <row r="681" ht="15.75" hidden="1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</row>
    <row r="682" ht="15.75" hidden="1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</row>
    <row r="683" ht="15.75" hidden="1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</row>
    <row r="684" ht="15.75" hidden="1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</row>
    <row r="685" ht="15.75" hidden="1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</row>
    <row r="686" ht="15.75" hidden="1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</row>
    <row r="687" ht="15.75" hidden="1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</row>
    <row r="688" ht="15.75" hidden="1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</row>
    <row r="689" ht="15.75" hidden="1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</row>
    <row r="690" ht="15.75" hidden="1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</row>
    <row r="691" ht="15.75" hidden="1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</row>
    <row r="692" ht="15.75" hidden="1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</row>
    <row r="693" ht="15.75" hidden="1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</row>
    <row r="694" ht="15.75" hidden="1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</row>
    <row r="695" ht="15.75" hidden="1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</row>
    <row r="696" ht="15.75" hidden="1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</row>
    <row r="697" ht="15.75" hidden="1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</row>
    <row r="698" ht="15.75" hidden="1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</row>
    <row r="699" ht="15.75" hidden="1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</row>
    <row r="700" ht="15.75" hidden="1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</row>
    <row r="701" ht="15.75" hidden="1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</row>
    <row r="702" ht="15.75" hidden="1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</row>
    <row r="703" ht="15.75" hidden="1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</row>
    <row r="704" ht="15.75" hidden="1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</row>
    <row r="705" ht="15.75" hidden="1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</row>
    <row r="706" ht="15.75" hidden="1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</row>
    <row r="707" ht="15.75" hidden="1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</row>
    <row r="708" ht="15.75" hidden="1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</row>
    <row r="709" ht="15.75" hidden="1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</row>
    <row r="710" ht="15.75" hidden="1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</row>
    <row r="711" ht="15.75" hidden="1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</row>
    <row r="712" ht="15.75" hidden="1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</row>
    <row r="713" ht="15.75" hidden="1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</row>
    <row r="714" ht="15.75" hidden="1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</row>
    <row r="715" ht="15.75" hidden="1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</row>
    <row r="716" ht="15.75" hidden="1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</row>
    <row r="717" ht="15.75" hidden="1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</row>
    <row r="718" ht="15.75" hidden="1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</row>
    <row r="719" ht="15.75" hidden="1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</row>
    <row r="720" ht="15.75" hidden="1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</row>
    <row r="721" ht="15.75" hidden="1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</row>
    <row r="722" ht="15.75" hidden="1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</row>
    <row r="723" ht="15.75" hidden="1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</row>
    <row r="724" ht="15.75" hidden="1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</row>
    <row r="725" ht="15.75" hidden="1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</row>
    <row r="726" ht="15.75" hidden="1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</row>
    <row r="727" ht="15.75" hidden="1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</row>
    <row r="728" ht="15.75" hidden="1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</row>
    <row r="729" ht="15.75" hidden="1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</row>
    <row r="730" ht="15.75" hidden="1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</row>
    <row r="731" ht="15.75" hidden="1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</row>
    <row r="732" ht="15.75" hidden="1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</row>
    <row r="733" ht="15.75" hidden="1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</row>
    <row r="734" ht="15.75" hidden="1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</row>
    <row r="735" ht="15.75" hidden="1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</row>
    <row r="736" ht="15.75" hidden="1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</row>
    <row r="737" ht="15.75" hidden="1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</row>
    <row r="738" ht="15.75" hidden="1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</row>
    <row r="739" ht="15.75" hidden="1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</row>
    <row r="740" ht="15.75" hidden="1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</row>
    <row r="741" ht="15.75" hidden="1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</row>
    <row r="742" ht="15.75" hidden="1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</row>
    <row r="743" ht="15.75" hidden="1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</row>
    <row r="744" ht="15.75" hidden="1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</row>
    <row r="745" ht="15.75" hidden="1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</row>
    <row r="746" ht="15.75" hidden="1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</row>
    <row r="747" ht="15.75" hidden="1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</row>
    <row r="748" ht="15.75" hidden="1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</row>
    <row r="749" ht="15.75" hidden="1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</row>
    <row r="750" ht="15.75" hidden="1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</row>
    <row r="751" ht="15.75" hidden="1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</row>
    <row r="752" ht="15.75" hidden="1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</row>
    <row r="753" ht="15.75" hidden="1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</row>
    <row r="754" ht="15.75" hidden="1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</row>
    <row r="755" ht="15.75" hidden="1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</row>
    <row r="756" ht="15.75" hidden="1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</row>
    <row r="757" ht="15.75" hidden="1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</row>
    <row r="758" ht="15.75" hidden="1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</row>
    <row r="759" ht="15.75" hidden="1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</row>
    <row r="760" ht="15.75" hidden="1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</row>
    <row r="761" ht="15.75" hidden="1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</row>
    <row r="762" ht="15.75" hidden="1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</row>
    <row r="763" ht="15.75" hidden="1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</row>
    <row r="764" ht="15.75" hidden="1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</row>
    <row r="765" ht="15.75" hidden="1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</row>
    <row r="766" ht="15.75" hidden="1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</row>
    <row r="767" ht="15.75" hidden="1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</row>
    <row r="768" ht="15.75" hidden="1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</row>
    <row r="769" ht="15.75" hidden="1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</row>
    <row r="770" ht="15.75" hidden="1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</row>
    <row r="771" ht="15.75" hidden="1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</row>
    <row r="772" ht="15.75" hidden="1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</row>
    <row r="773" ht="15.75" hidden="1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</row>
    <row r="774" ht="15.75" hidden="1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</row>
    <row r="775" ht="15.75" hidden="1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</row>
    <row r="776" ht="15.75" hidden="1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</row>
    <row r="777" ht="15.75" hidden="1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</row>
    <row r="778" ht="15.75" hidden="1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</row>
    <row r="779" ht="15.75" hidden="1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</row>
    <row r="780" ht="15.75" hidden="1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</row>
    <row r="781" ht="15.75" hidden="1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</row>
    <row r="782" ht="15.75" hidden="1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</row>
    <row r="783" ht="15.75" hidden="1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</row>
    <row r="784" ht="15.75" hidden="1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</row>
    <row r="785" ht="15.75" hidden="1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</row>
    <row r="786" ht="15.75" hidden="1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</row>
    <row r="787" ht="15.75" hidden="1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</row>
    <row r="788" ht="15.75" hidden="1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</row>
    <row r="789" ht="15.75" hidden="1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</row>
    <row r="790" ht="15.75" hidden="1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</row>
    <row r="791" ht="15.75" hidden="1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</row>
    <row r="792" ht="15.75" hidden="1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</row>
    <row r="793" ht="15.75" hidden="1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</row>
    <row r="794" ht="15.75" hidden="1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</row>
    <row r="795" ht="15.75" hidden="1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</row>
    <row r="796" ht="15.75" hidden="1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</row>
    <row r="797" ht="15.75" hidden="1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</row>
    <row r="798" ht="15.75" hidden="1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</row>
    <row r="799" ht="15.75" hidden="1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</row>
    <row r="800" ht="15.75" hidden="1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</row>
    <row r="801" ht="15.75" hidden="1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</row>
    <row r="802" ht="15.75" hidden="1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</row>
    <row r="803" ht="15.75" hidden="1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</row>
    <row r="804" ht="15.75" hidden="1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</row>
    <row r="805" ht="15.75" hidden="1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</row>
    <row r="806" ht="15.75" hidden="1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</row>
    <row r="807" ht="15.75" hidden="1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</row>
    <row r="808" ht="15.75" hidden="1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</row>
    <row r="809" ht="15.75" hidden="1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</row>
    <row r="810" ht="15.75" hidden="1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</row>
    <row r="811" ht="15.75" hidden="1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</row>
    <row r="812" ht="15.75" hidden="1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</row>
    <row r="813" ht="15.75" hidden="1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</row>
    <row r="814" ht="15.75" hidden="1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</row>
    <row r="815" ht="15.75" hidden="1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</row>
    <row r="816" ht="15.75" hidden="1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</row>
    <row r="817" ht="15.75" hidden="1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</row>
    <row r="818" ht="15.75" hidden="1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</row>
    <row r="819" ht="15.75" hidden="1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</row>
    <row r="820" ht="15.75" hidden="1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</row>
    <row r="821" ht="15.75" hidden="1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</row>
    <row r="822" ht="15.75" hidden="1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</row>
    <row r="823" ht="15.75" hidden="1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</row>
    <row r="824" ht="15.75" hidden="1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</row>
    <row r="825" ht="15.75" hidden="1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</row>
    <row r="826" ht="15.75" hidden="1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</row>
    <row r="827" ht="15.75" hidden="1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</row>
    <row r="828" ht="15.75" hidden="1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</row>
    <row r="829" ht="15.75" hidden="1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</row>
    <row r="830" ht="15.75" hidden="1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</row>
    <row r="831" ht="15.75" hidden="1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</row>
    <row r="832" ht="15.75" hidden="1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</row>
    <row r="833" ht="15.75" hidden="1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</row>
    <row r="834" ht="15.75" hidden="1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</row>
    <row r="835" ht="15.75" hidden="1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</row>
    <row r="836" ht="15.75" hidden="1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</row>
    <row r="837" ht="15.75" hidden="1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</row>
    <row r="838" ht="15.75" hidden="1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</row>
    <row r="839" ht="15.75" hidden="1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</row>
    <row r="840" ht="15.75" hidden="1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</row>
    <row r="841" ht="15.75" hidden="1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</row>
    <row r="842" ht="15.75" hidden="1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</row>
    <row r="843" ht="15.75" hidden="1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</row>
    <row r="844" ht="15.75" hidden="1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</row>
    <row r="845" ht="15.75" hidden="1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</row>
    <row r="846" ht="15.75" hidden="1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</row>
    <row r="847" ht="15.75" hidden="1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</row>
    <row r="848" ht="15.75" hidden="1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</row>
    <row r="849" ht="15.75" hidden="1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</row>
    <row r="850" ht="15.75" hidden="1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</row>
    <row r="851" ht="15.75" hidden="1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</row>
    <row r="852" ht="15.75" hidden="1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</row>
    <row r="853" ht="15.75" hidden="1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</row>
    <row r="854" ht="15.75" hidden="1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</row>
    <row r="855" ht="15.75" hidden="1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</row>
    <row r="856" ht="15.75" hidden="1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</row>
    <row r="857" ht="15.75" hidden="1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</row>
    <row r="858" ht="15.75" hidden="1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</row>
    <row r="859" ht="15.75" hidden="1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</row>
    <row r="860" ht="15.75" hidden="1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</row>
    <row r="861" ht="15.75" hidden="1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</row>
    <row r="862" ht="15.75" hidden="1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</row>
    <row r="863" ht="15.75" hidden="1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</row>
    <row r="864" ht="15.75" hidden="1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</row>
    <row r="865" ht="15.75" hidden="1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</row>
    <row r="866" ht="15.75" hidden="1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</row>
    <row r="867" ht="15.75" hidden="1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</row>
    <row r="868" ht="15.75" hidden="1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</row>
    <row r="869" ht="15.75" hidden="1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</row>
    <row r="870" ht="15.75" hidden="1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</row>
    <row r="871" ht="15.75" hidden="1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</row>
    <row r="872" ht="15.75" hidden="1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</row>
    <row r="873" ht="15.75" hidden="1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</row>
    <row r="874" ht="15.75" hidden="1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</row>
    <row r="875" ht="15.75" hidden="1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</row>
    <row r="876" ht="15.75" hidden="1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</row>
    <row r="877" ht="15.75" hidden="1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</row>
    <row r="878" ht="15.75" hidden="1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</row>
    <row r="879" ht="15.75" hidden="1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</row>
    <row r="880" ht="15.75" hidden="1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</row>
    <row r="881" ht="15.75" hidden="1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</row>
    <row r="882" ht="15.75" hidden="1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</row>
    <row r="883" ht="15.75" hidden="1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</row>
    <row r="884" ht="15.75" hidden="1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</row>
    <row r="885" ht="15.75" hidden="1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</row>
    <row r="886" ht="15.75" hidden="1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</row>
    <row r="887" ht="15.75" hidden="1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</row>
    <row r="888" ht="15.75" hidden="1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</row>
    <row r="889" ht="15.75" hidden="1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</row>
    <row r="890" ht="15.75" hidden="1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</row>
    <row r="891" ht="15.75" hidden="1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</row>
    <row r="892" ht="15.75" hidden="1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</row>
    <row r="893" ht="15.75" hidden="1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</row>
    <row r="894" ht="15.75" hidden="1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</row>
    <row r="895" ht="15.75" hidden="1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</row>
    <row r="896" ht="15.75" hidden="1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</row>
    <row r="897" ht="15.75" hidden="1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</row>
    <row r="898" ht="15.75" hidden="1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</row>
    <row r="899" ht="15.75" hidden="1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</row>
    <row r="900" ht="15.75" hidden="1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</row>
    <row r="901" ht="15.75" hidden="1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</row>
    <row r="902" ht="15.75" hidden="1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</row>
    <row r="903" ht="15.75" hidden="1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</row>
    <row r="904" ht="15.75" hidden="1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</row>
    <row r="905" ht="15.75" hidden="1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</row>
    <row r="906" ht="15.75" hidden="1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</row>
    <row r="907" ht="15.75" hidden="1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</row>
    <row r="908" ht="15.75" hidden="1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</row>
    <row r="909" ht="15.75" hidden="1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</row>
    <row r="910" ht="15.75" hidden="1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</row>
    <row r="911" ht="15.75" hidden="1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</row>
    <row r="912" ht="15.75" hidden="1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</row>
    <row r="913" ht="15.75" hidden="1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</row>
    <row r="914" ht="15.75" hidden="1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</row>
    <row r="915" ht="15.75" hidden="1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</row>
    <row r="916" ht="15.75" hidden="1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</row>
    <row r="917" ht="15.75" hidden="1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</row>
    <row r="918" ht="15.75" hidden="1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</row>
    <row r="919" ht="15.75" hidden="1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</row>
    <row r="920" ht="15.75" hidden="1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</row>
    <row r="921" ht="15.75" hidden="1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</row>
    <row r="922" ht="15.75" hidden="1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</row>
    <row r="923" ht="15.75" hidden="1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</row>
    <row r="924" ht="15.75" hidden="1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</row>
    <row r="925" ht="15.75" hidden="1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</row>
    <row r="926" ht="15.75" hidden="1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</row>
    <row r="927" ht="15.75" hidden="1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</row>
    <row r="928" ht="15.75" hidden="1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</row>
    <row r="929" ht="15.75" hidden="1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</row>
    <row r="930" ht="15.75" hidden="1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</row>
    <row r="931" ht="15.75" hidden="1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</row>
    <row r="932" ht="15.75" hidden="1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</row>
    <row r="933" ht="15.75" hidden="1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</row>
    <row r="934" ht="15.75" hidden="1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</row>
    <row r="935" ht="15.75" hidden="1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</row>
    <row r="936" ht="15.75" hidden="1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</row>
    <row r="937" ht="15.75" hidden="1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</row>
    <row r="938" ht="15.75" hidden="1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</row>
    <row r="939" ht="15.75" hidden="1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</row>
    <row r="940" ht="15.75" hidden="1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</row>
    <row r="941" ht="15.75" hidden="1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</row>
    <row r="942" ht="15.75" hidden="1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</row>
    <row r="943" ht="15.75" hidden="1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</row>
    <row r="944" ht="15.75" hidden="1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</row>
    <row r="945" ht="15.75" hidden="1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</row>
    <row r="946" ht="15.75" hidden="1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</row>
    <row r="947" ht="15.75" hidden="1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</row>
    <row r="948" ht="15.75" hidden="1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</row>
    <row r="949" ht="15.75" hidden="1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</row>
    <row r="950" ht="15.75" hidden="1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</row>
    <row r="951" ht="15.75" hidden="1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</row>
    <row r="952" ht="15.75" hidden="1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</row>
    <row r="953" ht="15.75" hidden="1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</row>
    <row r="954" ht="15.75" hidden="1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</row>
    <row r="955" ht="15.75" hidden="1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</row>
    <row r="956" ht="15.75" hidden="1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</row>
    <row r="957" ht="15.75" hidden="1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</row>
    <row r="958" ht="15.75" hidden="1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</row>
    <row r="959" ht="15.75" hidden="1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</row>
    <row r="960" ht="15.75" hidden="1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</row>
    <row r="961" ht="15.75" hidden="1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</row>
    <row r="962" ht="15.75" hidden="1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</row>
    <row r="963" ht="15.75" hidden="1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</row>
    <row r="964" ht="15.75" hidden="1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</row>
    <row r="965" ht="15.75" hidden="1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</row>
    <row r="966" ht="15.75" hidden="1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</row>
    <row r="967" ht="15.75" hidden="1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</row>
    <row r="968" ht="15.75" hidden="1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</row>
    <row r="969" ht="15.75" hidden="1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</row>
    <row r="970" ht="15.75" hidden="1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</row>
    <row r="971" ht="15.75" hidden="1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</row>
    <row r="972" ht="15.75" hidden="1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</row>
    <row r="973" ht="15.75" hidden="1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</row>
    <row r="974" ht="15.75" hidden="1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</row>
    <row r="975" ht="15.75" hidden="1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</row>
    <row r="976" ht="15.75" hidden="1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</row>
    <row r="977" ht="15.75" hidden="1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</row>
    <row r="978" ht="15.75" hidden="1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</row>
    <row r="979" ht="15.75" hidden="1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</row>
    <row r="980" ht="15.75" hidden="1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</row>
    <row r="981" ht="15.75" hidden="1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</row>
    <row r="982" ht="15.75" hidden="1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</row>
    <row r="983" ht="15.75" hidden="1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</row>
    <row r="984" ht="15.75" hidden="1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</row>
    <row r="985" ht="15.75" hidden="1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</row>
    <row r="986" ht="15.75" hidden="1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</row>
    <row r="987" ht="15.75" hidden="1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</row>
    <row r="988" ht="15.75" hidden="1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</row>
    <row r="989" ht="15.75" hidden="1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</row>
    <row r="990" ht="15.75" hidden="1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</row>
    <row r="991" ht="15.75" hidden="1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</row>
    <row r="992" ht="15.75" hidden="1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</row>
    <row r="993" ht="15.75" hidden="1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</row>
    <row r="994" ht="15.75" hidden="1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</row>
    <row r="995" ht="15.75" hidden="1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</row>
    <row r="996" ht="15.75" hidden="1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</row>
    <row r="997" ht="15.75" hidden="1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</row>
    <row r="998" ht="15.75" hidden="1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</row>
    <row r="999" ht="15.75" hidden="1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</row>
    <row r="1000" ht="15.75" hidden="1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</row>
  </sheetData>
  <mergeCells count="33">
    <mergeCell ref="A1:I1"/>
    <mergeCell ref="K1:N1"/>
    <mergeCell ref="P1:S1"/>
    <mergeCell ref="A2:I2"/>
    <mergeCell ref="K2:N2"/>
    <mergeCell ref="P2:S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25:I25"/>
    <mergeCell ref="H26:I26"/>
    <mergeCell ref="H27:I27"/>
    <mergeCell ref="H28:I28"/>
    <mergeCell ref="H29:I29"/>
    <mergeCell ref="H18:I18"/>
    <mergeCell ref="H19:I19"/>
    <mergeCell ref="H20:I20"/>
    <mergeCell ref="H21:I21"/>
    <mergeCell ref="H22:I22"/>
    <mergeCell ref="H23:I23"/>
    <mergeCell ref="H24:I24"/>
  </mergeCells>
  <printOptions/>
  <pageMargins bottom="1.0" footer="0.0" header="0.0" left="0.75" right="0.75" top="1.0"/>
  <pageSetup orientation="landscape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38"/>
    <col customWidth="1" min="3" max="3" width="21.25"/>
    <col customWidth="1" min="4" max="10" width="11.38"/>
    <col customWidth="1" min="11" max="11" width="18.88"/>
    <col customWidth="1" min="12" max="18" width="11.38"/>
    <col customWidth="1" min="19" max="19" width="16.38"/>
    <col customWidth="1" min="20" max="26" width="11.38"/>
    <col customWidth="1" min="27" max="27" width="21.0"/>
    <col customWidth="1" min="28" max="34" width="11.38"/>
    <col customWidth="1" min="35" max="35" width="16.13"/>
    <col customWidth="1" min="36" max="40" width="11.38"/>
  </cols>
  <sheetData>
    <row r="1">
      <c r="A1" s="49" t="s">
        <v>21</v>
      </c>
      <c r="B1" s="2"/>
      <c r="C1" s="2"/>
      <c r="D1" s="2"/>
      <c r="E1" s="2"/>
      <c r="F1" s="2"/>
      <c r="G1" s="2"/>
      <c r="H1" s="50"/>
      <c r="I1" s="51" t="s">
        <v>22</v>
      </c>
      <c r="J1" s="2"/>
      <c r="K1" s="2"/>
      <c r="L1" s="2"/>
      <c r="M1" s="2"/>
      <c r="N1" s="2"/>
      <c r="O1" s="2"/>
      <c r="P1" s="50"/>
      <c r="Q1" s="52" t="s">
        <v>21</v>
      </c>
      <c r="R1" s="2"/>
      <c r="S1" s="2"/>
      <c r="T1" s="2"/>
      <c r="U1" s="2"/>
      <c r="V1" s="2"/>
      <c r="W1" s="2"/>
      <c r="X1" s="50"/>
      <c r="Y1" s="53" t="s">
        <v>22</v>
      </c>
      <c r="Z1" s="2"/>
      <c r="AA1" s="2"/>
      <c r="AB1" s="2"/>
      <c r="AC1" s="2"/>
      <c r="AD1" s="2"/>
      <c r="AE1" s="2"/>
      <c r="AF1" s="50"/>
      <c r="AG1" s="54" t="s">
        <v>23</v>
      </c>
      <c r="AH1" s="2"/>
      <c r="AI1" s="2"/>
      <c r="AJ1" s="2"/>
      <c r="AK1" s="2"/>
      <c r="AL1" s="2"/>
      <c r="AM1" s="2"/>
      <c r="AN1" s="50"/>
    </row>
    <row r="2">
      <c r="A2" s="55">
        <v>46179.0</v>
      </c>
      <c r="B2" s="2"/>
      <c r="C2" s="2"/>
      <c r="D2" s="2"/>
      <c r="E2" s="2"/>
      <c r="F2" s="2"/>
      <c r="G2" s="2"/>
      <c r="H2" s="50"/>
      <c r="I2" s="56">
        <v>46186.0</v>
      </c>
      <c r="J2" s="2"/>
      <c r="K2" s="2"/>
      <c r="L2" s="2"/>
      <c r="M2" s="2"/>
      <c r="N2" s="2"/>
      <c r="O2" s="2"/>
      <c r="P2" s="50"/>
      <c r="Q2" s="57">
        <v>46193.0</v>
      </c>
      <c r="R2" s="2"/>
      <c r="S2" s="2"/>
      <c r="T2" s="2"/>
      <c r="U2" s="2"/>
      <c r="V2" s="2"/>
      <c r="W2" s="2"/>
      <c r="X2" s="50"/>
      <c r="Y2" s="58">
        <v>46200.0</v>
      </c>
      <c r="Z2" s="2"/>
      <c r="AA2" s="2"/>
      <c r="AB2" s="2"/>
      <c r="AC2" s="2"/>
      <c r="AD2" s="2"/>
      <c r="AE2" s="2"/>
      <c r="AF2" s="50"/>
      <c r="AG2" s="59"/>
      <c r="AH2" s="2"/>
      <c r="AI2" s="2"/>
      <c r="AJ2" s="2"/>
      <c r="AK2" s="2"/>
      <c r="AL2" s="2"/>
      <c r="AM2" s="2"/>
      <c r="AN2" s="50"/>
    </row>
    <row r="3" ht="25.5" customHeight="1">
      <c r="A3" s="60" t="str">
        <f>IFERROR(__xludf.DUMMYFUNCTION("QUERY(
 'Raw Data'!B:G,
 ""SELECT Col2,Col3,Col4,Col5,Col6
  WHERE Col1 = date '""&amp;TEXT(A2,""yyyy-MM-dd"")&amp;""'
  ORDER BY Col5 DESC
  LABEL
   Col2 'Jugador',
   Col3 'Set',
   Col4 'Deck',
   Col5 'Wins',
   Col6 'Losses'"",
 1
)"),"Jugador")</f>
        <v>Jugador</v>
      </c>
      <c r="B3" s="60" t="str">
        <f>IFERROR(__xludf.DUMMYFUNCTION("""COMPUTED_VALUE"""),"Set")</f>
        <v>Set</v>
      </c>
      <c r="C3" s="60" t="str">
        <f>IFERROR(__xludf.DUMMYFUNCTION("""COMPUTED_VALUE"""),"Deck")</f>
        <v>Deck</v>
      </c>
      <c r="D3" s="60" t="str">
        <f>IFERROR(__xludf.DUMMYFUNCTION("""COMPUTED_VALUE"""),"Wins")</f>
        <v>Wins</v>
      </c>
      <c r="E3" s="60" t="str">
        <f>IFERROR(__xludf.DUMMYFUNCTION("""COMPUTED_VALUE"""),"Losses")</f>
        <v>Losses</v>
      </c>
      <c r="F3" s="60" t="s">
        <v>24</v>
      </c>
      <c r="G3" s="60" t="s">
        <v>24</v>
      </c>
      <c r="H3" s="61" t="s">
        <v>24</v>
      </c>
      <c r="I3" s="62" t="str">
        <f>IFERROR(__xludf.DUMMYFUNCTION("QUERY(
 'Raw Data'!B:G,
 ""SELECT Col2,Col3,Col4,Col5,Col6
  WHERE Col1 = date '""&amp;TEXT(I2,""yyyy-MM-dd"")&amp;""'
  ORDER BY Col5 DESC
  LABEL
   Col2 'Jugador',
   Col3 'Set',
   Col4 'Arquetipo',
   Col5 'Wins',
   Col6 'Losses'"",
 1
)"),"Jugador")</f>
        <v>Jugador</v>
      </c>
      <c r="J3" s="60" t="str">
        <f>IFERROR(__xludf.DUMMYFUNCTION("""COMPUTED_VALUE"""),"Set")</f>
        <v>Set</v>
      </c>
      <c r="K3" s="60" t="str">
        <f>IFERROR(__xludf.DUMMYFUNCTION("""COMPUTED_VALUE"""),"Arquetipo")</f>
        <v>Arquetipo</v>
      </c>
      <c r="L3" s="60" t="str">
        <f>IFERROR(__xludf.DUMMYFUNCTION("""COMPUTED_VALUE"""),"Wins")</f>
        <v>Wins</v>
      </c>
      <c r="M3" s="60" t="str">
        <f>IFERROR(__xludf.DUMMYFUNCTION("""COMPUTED_VALUE"""),"Losses")</f>
        <v>Losses</v>
      </c>
      <c r="N3" s="60" t="s">
        <v>24</v>
      </c>
      <c r="O3" s="60" t="s">
        <v>24</v>
      </c>
      <c r="P3" s="61" t="s">
        <v>24</v>
      </c>
      <c r="Q3" s="63" t="str">
        <f>IFERROR(__xludf.DUMMYFUNCTION("QUERY(
 'Raw Data'!B:G,
 ""SELECT Col2,Col3,Col4,Col5,Col6
  WHERE Col1 = date '""&amp;TEXT(Q2,""yyyy-MM-dd"")&amp;""'
  ORDER BY Col5 DESC
  LABEL
   Col2 'Jugador',
   Col3 'Set',
   Col4 'Arquetipo',
   Col5 'Wins',
   Col6 'Losses'"",
 1
)"),"Jugador")</f>
        <v>Jugador</v>
      </c>
      <c r="R3" s="64" t="str">
        <f>IFERROR(__xludf.DUMMYFUNCTION("""COMPUTED_VALUE"""),"Set")</f>
        <v>Set</v>
      </c>
      <c r="S3" s="64" t="str">
        <f>IFERROR(__xludf.DUMMYFUNCTION("""COMPUTED_VALUE"""),"Arquetipo")</f>
        <v>Arquetipo</v>
      </c>
      <c r="T3" s="64" t="str">
        <f>IFERROR(__xludf.DUMMYFUNCTION("""COMPUTED_VALUE"""),"Wins")</f>
        <v>Wins</v>
      </c>
      <c r="U3" s="64" t="str">
        <f>IFERROR(__xludf.DUMMYFUNCTION("""COMPUTED_VALUE"""),"Losses")</f>
        <v>Losses</v>
      </c>
      <c r="V3" s="64" t="s">
        <v>24</v>
      </c>
      <c r="W3" s="64" t="s">
        <v>24</v>
      </c>
      <c r="X3" s="65" t="s">
        <v>24</v>
      </c>
      <c r="Y3" s="66" t="str">
        <f>IFERROR(__xludf.DUMMYFUNCTION("QUERY(
 'Raw Data'!B:G,
 ""SELECT Col2,Col3,Col4,Col5,Col6
  WHERE Col1 = date '""&amp;TEXT(Y2,""yyyy-MM-dd"")&amp;""'
  ORDER BY Col5 DESC
  LABEL
   Col2 'Jugador',
   Col3 'Set',
   Col4 'Arquetipo',
   Col5 'Wins',
   Col6 'Losses'"",
 1
)"),"Jugador")</f>
        <v>Jugador</v>
      </c>
      <c r="Z3" s="67" t="str">
        <f>IFERROR(__xludf.DUMMYFUNCTION("""COMPUTED_VALUE"""),"Set")</f>
        <v>Set</v>
      </c>
      <c r="AA3" s="67" t="str">
        <f>IFERROR(__xludf.DUMMYFUNCTION("""COMPUTED_VALUE"""),"Arquetipo")</f>
        <v>Arquetipo</v>
      </c>
      <c r="AB3" s="67" t="str">
        <f>IFERROR(__xludf.DUMMYFUNCTION("""COMPUTED_VALUE"""),"Wins")</f>
        <v>Wins</v>
      </c>
      <c r="AC3" s="67" t="str">
        <f>IFERROR(__xludf.DUMMYFUNCTION("""COMPUTED_VALUE"""),"Losses")</f>
        <v>Losses</v>
      </c>
      <c r="AD3" s="67" t="s">
        <v>24</v>
      </c>
      <c r="AE3" s="67" t="s">
        <v>24</v>
      </c>
      <c r="AF3" s="68" t="s">
        <v>24</v>
      </c>
      <c r="AG3" s="69" t="str">
        <f>IFERROR(__xludf.DUMMYFUNCTION("QUERY(
 'Raw Data'!B:G,
 ""SELECT Col2,Col3,Col4,Col5,Col6
  WHERE Col1 = date '""&amp;TEXT(AG2,""yyyy-MM-dd"")&amp;""'
  ORDER BY Col5 DESC
  LABEL
   Col2 'Jugador',
   Col3 'Set',
   Col4 'Arquetipo',
   Col5 'Wins',
   Col6 'Losses'"",
 1
)"),"Jugador")</f>
        <v>Jugador</v>
      </c>
      <c r="AH3" s="70" t="str">
        <f>IFERROR(__xludf.DUMMYFUNCTION("""COMPUTED_VALUE"""),"Set")</f>
        <v>Set</v>
      </c>
      <c r="AI3" s="70" t="str">
        <f>IFERROR(__xludf.DUMMYFUNCTION("""COMPUTED_VALUE"""),"Arquetipo")</f>
        <v>Arquetipo</v>
      </c>
      <c r="AJ3" s="70" t="str">
        <f>IFERROR(__xludf.DUMMYFUNCTION("""COMPUTED_VALUE"""),"Wins")</f>
        <v>Wins</v>
      </c>
      <c r="AK3" s="70" t="str">
        <f>IFERROR(__xludf.DUMMYFUNCTION("""COMPUTED_VALUE"""),"Losses")</f>
        <v>Losses</v>
      </c>
      <c r="AL3" s="70" t="s">
        <v>24</v>
      </c>
      <c r="AM3" s="70" t="s">
        <v>24</v>
      </c>
      <c r="AN3" s="71" t="s">
        <v>24</v>
      </c>
    </row>
    <row r="4" ht="75.0" customHeight="1">
      <c r="A4" s="72" t="str">
        <f>IFERROR(__xludf.DUMMYFUNCTION("""COMPUTED_VALUE"""),"Pinya")</f>
        <v>Pinya</v>
      </c>
      <c r="B4" s="73" t="str">
        <f>IFERROR(__xludf.DUMMYFUNCTION("""COMPUTED_VALUE"""),"EIS")</f>
        <v>EIS</v>
      </c>
      <c r="C4" s="74" t="str">
        <f>IFERROR(__xludf.DUMMYFUNCTION("""COMPUTED_VALUE"""),"8 Door TD")</f>
        <v>8 Door TD</v>
      </c>
      <c r="D4" s="73">
        <f>IFERROR(__xludf.DUMMYFUNCTION("""COMPUTED_VALUE"""),4.0)</f>
        <v>4</v>
      </c>
      <c r="E4" s="73">
        <f>IFERROR(__xludf.DUMMYFUNCTION("""COMPUTED_VALUE"""),0.0)</f>
        <v>0</v>
      </c>
      <c r="F4" s="35" t="str">
        <f>IFERROR(__xludf.DUMMYFUNCTION("IF(A4="""","""",IMAGE(QUERY('Deck Info'!A:F,""SELECT D WHERE A = '""&amp;B4&amp;""' AND B = '""&amp;C4&amp;""'"")))"),"")</f>
        <v/>
      </c>
      <c r="G4" s="35" t="str">
        <f>IFERROR(__xludf.DUMMYFUNCTION("IF(A4="""","""",IMAGE(QUERY('Deck Info'!A:F,""SELECT E WHERE A = '""&amp;B4&amp;""' AND B = '""&amp;C4&amp;""'"")))"),"")</f>
        <v/>
      </c>
      <c r="H4" s="75" t="str">
        <f>IFERROR(__xludf.DUMMYFUNCTION("IF(A4="""","""",IMAGE(QUERY('Deck Info'!A:F,""SELECT F WHERE A = '""&amp;B4&amp;""' AND B = '""&amp;C4&amp;""'"")))"),"")</f>
        <v/>
      </c>
      <c r="I4" s="76" t="str">
        <f>IFERROR(__xludf.DUMMYFUNCTION("""COMPUTED_VALUE"""),"Velz")</f>
        <v>Velz</v>
      </c>
      <c r="J4" s="73" t="str">
        <f>IFERROR(__xludf.DUMMYFUNCTION("""COMPUTED_VALUE"""),"OVL")</f>
        <v>OVL</v>
      </c>
      <c r="K4" s="74" t="str">
        <f>IFERROR(__xludf.DUMMYFUNCTION("""COMPUTED_VALUE"""),"8 Door")</f>
        <v>8 Door</v>
      </c>
      <c r="L4" s="73">
        <f>IFERROR(__xludf.DUMMYFUNCTION("""COMPUTED_VALUE"""),4.0)</f>
        <v>4</v>
      </c>
      <c r="M4" s="73">
        <f>IFERROR(__xludf.DUMMYFUNCTION("""COMPUTED_VALUE"""),0.0)</f>
        <v>0</v>
      </c>
      <c r="N4" s="77" t="str">
        <f>IFERROR(__xludf.DUMMYFUNCTION("IF(I4="""","""",IMAGE(QUERY('Deck Info'!A:F,""SELECT D WHERE A = '""&amp;J4&amp;""' AND B = '""&amp;K4&amp;""'"")))"),"")</f>
        <v/>
      </c>
      <c r="O4" s="77" t="str">
        <f>IFERROR(__xludf.DUMMYFUNCTION("IF(I4="""","""",IMAGE(QUERY('Deck Info'!A:F,""SELECT E WHERE A = '""&amp;J4&amp;""' AND B = '""&amp;K4&amp;""'"")))"),"")</f>
        <v/>
      </c>
      <c r="P4" s="78" t="str">
        <f>IFERROR(__xludf.DUMMYFUNCTION("IF(I4="""","""",IMAGE(QUERY('Deck Info'!A:F,""SELECT F WHERE A = '""&amp;J4&amp;""' AND B = '""&amp;K4&amp;""'"")))"),"")</f>
        <v/>
      </c>
      <c r="Q4" s="76"/>
      <c r="R4" s="73"/>
      <c r="S4" s="74"/>
      <c r="T4" s="73"/>
      <c r="U4" s="73"/>
      <c r="V4" s="35" t="str">
        <f>IFERROR(__xludf.DUMMYFUNCTION("IF(Q4="""","""",IMAGE(QUERY('Deck Info'!A:F,""SELECT D WHERE A = '""&amp;R4&amp;""' AND B = '""&amp;S4&amp;""'"")))"),"")</f>
        <v/>
      </c>
      <c r="W4" s="35" t="str">
        <f>IFERROR(__xludf.DUMMYFUNCTION("IF(Q4="""","""",IMAGE(QUERY('Deck Info'!A:F,""SELECT E WHERE A = '""&amp;R4&amp;""' AND B = '""&amp;S4&amp;""'"")))"),"")</f>
        <v/>
      </c>
      <c r="X4" s="75" t="str">
        <f>IFERROR(__xludf.DUMMYFUNCTION("IF(Q4="""","""",IMAGE(QUERY('Deck Info'!A:F,""SELECT F WHERE A = '""&amp;R4&amp;""' AND B = '""&amp;S4&amp;""'"")))"),"")</f>
        <v/>
      </c>
      <c r="Y4" s="76"/>
      <c r="Z4" s="73"/>
      <c r="AA4" s="74"/>
      <c r="AB4" s="73"/>
      <c r="AC4" s="73"/>
      <c r="AD4" s="35" t="str">
        <f>IFERROR(__xludf.DUMMYFUNCTION("IF(Y4="""","""",IMAGE(QUERY('Deck Info'!A:F,""SELECT D WHERE A = '""&amp;Z4&amp;""' AND B = '""&amp;AA4&amp;""'"")))"),"")</f>
        <v/>
      </c>
      <c r="AE4" s="35" t="str">
        <f>IFERROR(__xludf.DUMMYFUNCTION("IF(Y4="""","""",IMAGE(QUERY('Deck Info'!A:F,""SELECT E WHERE A = '""&amp;Z4&amp;""' AND B = '""&amp;AA4&amp;""'"")))"),"")</f>
        <v/>
      </c>
      <c r="AF4" s="75" t="str">
        <f>IFERROR(__xludf.DUMMYFUNCTION("IF(Y4="""","""",IMAGE(QUERY('Deck Info'!A:F,""SELECT F WHERE A = '""&amp;Z4&amp;""' AND B = '""&amp;AA4&amp;""'"")))"),"")</f>
        <v/>
      </c>
      <c r="AG4" s="76"/>
      <c r="AH4" s="73"/>
      <c r="AI4" s="74"/>
      <c r="AJ4" s="73"/>
      <c r="AK4" s="73"/>
      <c r="AL4" s="35" t="str">
        <f>IFERROR(__xludf.DUMMYFUNCTION("IF(AG4="""","""",IMAGE(QUERY('Deck Info'!A:F,""SELECT D WHERE A = '""&amp;AH4&amp;""' AND B = '""&amp;AI4&amp;""'"")))"),"")</f>
        <v/>
      </c>
      <c r="AM4" s="35" t="str">
        <f>IFERROR(__xludf.DUMMYFUNCTION("IF(AG4="""","""",IMAGE(QUERY('Deck Info'!A:F,""SELECT E WHERE A = '""&amp;AH4&amp;""' AND B = '""&amp;AI4&amp;""'"")))"),"")</f>
        <v/>
      </c>
      <c r="AN4" s="75" t="str">
        <f>IFERROR(__xludf.DUMMYFUNCTION("IF(AG4="""","""",IMAGE(QUERY('Deck Info'!A:F,""SELECT F WHERE A = '""&amp;AH4&amp;""' AND B = '""&amp;AI4&amp;""'"")))"),"")</f>
        <v/>
      </c>
    </row>
    <row r="5" ht="75.0" customHeight="1">
      <c r="A5" s="72" t="str">
        <f>IFERROR(__xludf.DUMMYFUNCTION("""COMPUTED_VALUE"""),"Seyer")</f>
        <v>Seyer</v>
      </c>
      <c r="B5" s="73" t="str">
        <f>IFERROR(__xludf.DUMMYFUNCTION("""COMPUTED_VALUE"""),"CSM")</f>
        <v>CSM</v>
      </c>
      <c r="C5" s="74" t="str">
        <f>IFERROR(__xludf.DUMMYFUNCTION("""COMPUTED_VALUE"""),"StockSoul Standby")</f>
        <v>StockSoul Standby</v>
      </c>
      <c r="D5" s="73">
        <f>IFERROR(__xludf.DUMMYFUNCTION("""COMPUTED_VALUE"""),3.0)</f>
        <v>3</v>
      </c>
      <c r="E5" s="73">
        <f>IFERROR(__xludf.DUMMYFUNCTION("""COMPUTED_VALUE"""),1.0)</f>
        <v>1</v>
      </c>
      <c r="F5" s="35" t="str">
        <f>IFERROR(__xludf.DUMMYFUNCTION("IF(A5="""","""",IMAGE(QUERY('Deck Info'!A:F,""SELECT D WHERE A = '""&amp;B5&amp;""' AND B = '""&amp;C5&amp;""'"")))"),"")</f>
        <v/>
      </c>
      <c r="G5" s="35" t="str">
        <f>IFERROR(__xludf.DUMMYFUNCTION("IF(A5="""","""",IMAGE(QUERY('Deck Info'!A:F,""SELECT E WHERE A = '""&amp;B5&amp;""' AND B = '""&amp;C5&amp;""'"")))"),"")</f>
        <v/>
      </c>
      <c r="H5" s="75" t="str">
        <f>IFERROR(__xludf.DUMMYFUNCTION("IF(A5="""","""",IMAGE(QUERY('Deck Info'!A:F,""SELECT F WHERE A = '""&amp;B5&amp;""' AND B = '""&amp;C5&amp;""'"")))"),"")</f>
        <v/>
      </c>
      <c r="I5" s="79" t="str">
        <f>IFERROR(__xludf.DUMMYFUNCTION("""COMPUTED_VALUE"""),"Seyer")</f>
        <v>Seyer</v>
      </c>
      <c r="J5" s="73" t="str">
        <f>IFERROR(__xludf.DUMMYFUNCTION("""COMPUTED_VALUE"""),"CSM")</f>
        <v>CSM</v>
      </c>
      <c r="K5" s="74" t="str">
        <f>IFERROR(__xludf.DUMMYFUNCTION("""COMPUTED_VALUE"""),"StockSoul Bar")</f>
        <v>StockSoul Bar</v>
      </c>
      <c r="L5" s="73">
        <f>IFERROR(__xludf.DUMMYFUNCTION("""COMPUTED_VALUE"""),3.0)</f>
        <v>3</v>
      </c>
      <c r="M5" s="73">
        <f>IFERROR(__xludf.DUMMYFUNCTION("""COMPUTED_VALUE"""),1.0)</f>
        <v>1</v>
      </c>
      <c r="N5" s="77" t="str">
        <f>IFERROR(__xludf.DUMMYFUNCTION("IF(I5="""","""",IMAGE(QUERY('Deck Info'!A:F,""SELECT D WHERE A = '""&amp;J5&amp;""' AND B = '""&amp;K5&amp;""'"")))"),"")</f>
        <v/>
      </c>
      <c r="O5" s="77" t="str">
        <f>IFERROR(__xludf.DUMMYFUNCTION("IF(I5="""","""",IMAGE(QUERY('Deck Info'!A:F,""SELECT E WHERE A = '""&amp;J5&amp;""' AND B = '""&amp;K5&amp;""'"")))"),"")</f>
        <v/>
      </c>
      <c r="P5" s="78" t="str">
        <f>IFERROR(__xludf.DUMMYFUNCTION("IF(I5="""","""",IMAGE(QUERY('Deck Info'!A:F,""SELECT F WHERE A = '""&amp;J5&amp;""' AND B = '""&amp;K5&amp;""'"")))"),"")</f>
        <v/>
      </c>
      <c r="Q5" s="79"/>
      <c r="R5" s="73"/>
      <c r="S5" s="74"/>
      <c r="T5" s="73"/>
      <c r="U5" s="73"/>
      <c r="V5" s="35" t="str">
        <f>IFERROR(__xludf.DUMMYFUNCTION("IF(Q5="""","""",IMAGE(QUERY('Deck Info'!A:F,""SELECT D WHERE A = '""&amp;R5&amp;""' AND B = '""&amp;S5&amp;""'"")))"),"")</f>
        <v/>
      </c>
      <c r="W5" s="35" t="str">
        <f>IFERROR(__xludf.DUMMYFUNCTION("IF(Q5="""","""",IMAGE(QUERY('Deck Info'!A:F,""SELECT E WHERE A = '""&amp;R5&amp;""' AND B = '""&amp;S5&amp;""'"")))"),"")</f>
        <v/>
      </c>
      <c r="X5" s="75" t="str">
        <f>IFERROR(__xludf.DUMMYFUNCTION("IF(Q5="""","""",IMAGE(QUERY('Deck Info'!A:F,""SELECT F WHERE A = '""&amp;R5&amp;""' AND B = '""&amp;S5&amp;""'"")))"),"")</f>
        <v/>
      </c>
      <c r="Y5" s="79"/>
      <c r="Z5" s="73"/>
      <c r="AA5" s="74"/>
      <c r="AB5" s="73"/>
      <c r="AC5" s="73"/>
      <c r="AD5" s="35" t="str">
        <f>IFERROR(__xludf.DUMMYFUNCTION("IF(Y5="""","""",IMAGE(QUERY('Deck Info'!A:F,""SELECT D WHERE A = '""&amp;Z5&amp;""' AND B = '""&amp;AA5&amp;""'"")))"),"")</f>
        <v/>
      </c>
      <c r="AE5" s="35" t="str">
        <f>IFERROR(__xludf.DUMMYFUNCTION("IF(Y5="""","""",IMAGE(QUERY('Deck Info'!A:F,""SELECT E WHERE A = '""&amp;Z5&amp;""' AND B = '""&amp;AA5&amp;""'"")))"),"")</f>
        <v/>
      </c>
      <c r="AF5" s="75" t="str">
        <f>IFERROR(__xludf.DUMMYFUNCTION("IF(Y5="""","""",IMAGE(QUERY('Deck Info'!A:F,""SELECT F WHERE A = '""&amp;Z5&amp;""' AND B = '""&amp;AA5&amp;""'"")))"),"")</f>
        <v/>
      </c>
      <c r="AG5" s="79"/>
      <c r="AH5" s="73"/>
      <c r="AI5" s="74"/>
      <c r="AJ5" s="73"/>
      <c r="AK5" s="73"/>
      <c r="AL5" s="35" t="str">
        <f>IFERROR(__xludf.DUMMYFUNCTION("IF(AG5="""","""",IMAGE(QUERY('Deck Info'!A:F,""SELECT D WHERE A = '""&amp;AH5&amp;""' AND B = '""&amp;AI5&amp;""'"")))"),"")</f>
        <v/>
      </c>
      <c r="AM5" s="35" t="str">
        <f>IFERROR(__xludf.DUMMYFUNCTION("IF(AG5="""","""",IMAGE(QUERY('Deck Info'!A:F,""SELECT E WHERE A = '""&amp;AH5&amp;""' AND B = '""&amp;AI5&amp;""'"")))"),"")</f>
        <v/>
      </c>
      <c r="AN5" s="75" t="str">
        <f>IFERROR(__xludf.DUMMYFUNCTION("IF(AG5="""","""",IMAGE(QUERY('Deck Info'!A:F,""SELECT F WHERE A = '""&amp;AH5&amp;""' AND B = '""&amp;AI5&amp;""'"")))"),"")</f>
        <v/>
      </c>
    </row>
    <row r="6" ht="75.0" customHeight="1">
      <c r="A6" s="72" t="str">
        <f>IFERROR(__xludf.DUMMYFUNCTION("""COMPUTED_VALUE"""),"Angladita")</f>
        <v>Angladita</v>
      </c>
      <c r="B6" s="73" t="str">
        <f>IFERROR(__xludf.DUMMYFUNCTION("""COMPUTED_VALUE"""),"OVL")</f>
        <v>OVL</v>
      </c>
      <c r="C6" s="74" t="str">
        <f>IFERROR(__xludf.DUMMYFUNCTION("""COMPUTED_VALUE"""),"8 Door")</f>
        <v>8 Door</v>
      </c>
      <c r="D6" s="73">
        <f>IFERROR(__xludf.DUMMYFUNCTION("""COMPUTED_VALUE"""),3.0)</f>
        <v>3</v>
      </c>
      <c r="E6" s="73">
        <f>IFERROR(__xludf.DUMMYFUNCTION("""COMPUTED_VALUE"""),1.0)</f>
        <v>1</v>
      </c>
      <c r="F6" s="35" t="str">
        <f>IFERROR(__xludf.DUMMYFUNCTION("IF(A6="""","""",IMAGE(QUERY('Deck Info'!A:F,""SELECT D WHERE A = '""&amp;B6&amp;""' AND B = '""&amp;C6&amp;""'"")))"),"")</f>
        <v/>
      </c>
      <c r="G6" s="35" t="str">
        <f>IFERROR(__xludf.DUMMYFUNCTION("IF(A6="""","""",IMAGE(QUERY('Deck Info'!A:F,""SELECT E WHERE A = '""&amp;B6&amp;""' AND B = '""&amp;C6&amp;""'"")))"),"")</f>
        <v/>
      </c>
      <c r="H6" s="75" t="str">
        <f>IFERROR(__xludf.DUMMYFUNCTION("IF(A6="""","""",IMAGE(QUERY('Deck Info'!A:F,""SELECT F WHERE A = '""&amp;B6&amp;""' AND B = '""&amp;C6&amp;""'"")))"),"")</f>
        <v/>
      </c>
      <c r="I6" s="79" t="str">
        <f>IFERROR(__xludf.DUMMYFUNCTION("""COMPUTED_VALUE"""),"Sp3ctrum")</f>
        <v>Sp3ctrum</v>
      </c>
      <c r="J6" s="73" t="str">
        <f>IFERROR(__xludf.DUMMYFUNCTION("""COMPUTED_VALUE"""),"BD")</f>
        <v>BD</v>
      </c>
      <c r="K6" s="74" t="str">
        <f>IFERROR(__xludf.DUMMYFUNCTION("""COMPUTED_VALUE"""),"Bar Door")</f>
        <v>Bar Door</v>
      </c>
      <c r="L6" s="73">
        <f>IFERROR(__xludf.DUMMYFUNCTION("""COMPUTED_VALUE"""),3.0)</f>
        <v>3</v>
      </c>
      <c r="M6" s="73">
        <f>IFERROR(__xludf.DUMMYFUNCTION("""COMPUTED_VALUE"""),1.0)</f>
        <v>1</v>
      </c>
      <c r="N6" s="77" t="str">
        <f>IFERROR(__xludf.DUMMYFUNCTION("IF(I6="""","""",IMAGE(QUERY('Deck Info'!A:F,""SELECT D WHERE A = '""&amp;J6&amp;""' AND B = '""&amp;K6&amp;""'"")))"),"")</f>
        <v/>
      </c>
      <c r="O6" s="77" t="str">
        <f>IFERROR(__xludf.DUMMYFUNCTION("IF(I6="""","""",IMAGE(QUERY('Deck Info'!A:F,""SELECT E WHERE A = '""&amp;J6&amp;""' AND B = '""&amp;K6&amp;""'"")))"),"")</f>
        <v/>
      </c>
      <c r="P6" s="78" t="str">
        <f>IFERROR(__xludf.DUMMYFUNCTION("IF(I6="""","""",IMAGE(QUERY('Deck Info'!A:F,""SELECT F WHERE A = '""&amp;J6&amp;""' AND B = '""&amp;K6&amp;""'"")))"),"")</f>
        <v/>
      </c>
      <c r="Q6" s="79"/>
      <c r="R6" s="73"/>
      <c r="S6" s="74"/>
      <c r="T6" s="73"/>
      <c r="U6" s="73"/>
      <c r="V6" s="35" t="str">
        <f>IFERROR(__xludf.DUMMYFUNCTION("IF(Q6="""","""",IMAGE(QUERY('Deck Info'!A:F,""SELECT D WHERE A = '""&amp;R6&amp;""' AND B = '""&amp;S6&amp;""'"")))"),"")</f>
        <v/>
      </c>
      <c r="W6" s="35" t="str">
        <f>IFERROR(__xludf.DUMMYFUNCTION("IF(Q6="""","""",IMAGE(QUERY('Deck Info'!A:F,""SELECT E WHERE A = '""&amp;R6&amp;""' AND B = '""&amp;S6&amp;""'"")))"),"")</f>
        <v/>
      </c>
      <c r="X6" s="75" t="str">
        <f>IFERROR(__xludf.DUMMYFUNCTION("IF(Q6="""","""",IMAGE(QUERY('Deck Info'!A:F,""SELECT F WHERE A = '""&amp;R6&amp;""' AND B = '""&amp;S6&amp;""'"")))"),"")</f>
        <v/>
      </c>
      <c r="Y6" s="79"/>
      <c r="Z6" s="73"/>
      <c r="AA6" s="74"/>
      <c r="AB6" s="73"/>
      <c r="AC6" s="73"/>
      <c r="AD6" s="35" t="str">
        <f>IFERROR(__xludf.DUMMYFUNCTION("IF(Y6="""","""",IMAGE(QUERY('Deck Info'!A:F,""SELECT D WHERE A = '""&amp;Z6&amp;""' AND B = '""&amp;AA6&amp;""'"")))"),"")</f>
        <v/>
      </c>
      <c r="AE6" s="35" t="str">
        <f>IFERROR(__xludf.DUMMYFUNCTION("IF(Y6="""","""",IMAGE(QUERY('Deck Info'!A:F,""SELECT E WHERE A = '""&amp;Z6&amp;""' AND B = '""&amp;AA6&amp;""'"")))"),"")</f>
        <v/>
      </c>
      <c r="AF6" s="75" t="str">
        <f>IFERROR(__xludf.DUMMYFUNCTION("IF(Y6="""","""",IMAGE(QUERY('Deck Info'!A:F,""SELECT F WHERE A = '""&amp;Z6&amp;""' AND B = '""&amp;AA6&amp;""'"")))"),"")</f>
        <v/>
      </c>
      <c r="AG6" s="79"/>
      <c r="AH6" s="73"/>
      <c r="AI6" s="74"/>
      <c r="AJ6" s="73"/>
      <c r="AK6" s="73"/>
      <c r="AL6" s="35" t="str">
        <f>IFERROR(__xludf.DUMMYFUNCTION("IF(AG6="""","""",IMAGE(QUERY('Deck Info'!A:F,""SELECT D WHERE A = '""&amp;AH6&amp;""' AND B = '""&amp;AI6&amp;""'"")))"),"")</f>
        <v/>
      </c>
      <c r="AM6" s="35" t="str">
        <f>IFERROR(__xludf.DUMMYFUNCTION("IF(AG6="""","""",IMAGE(QUERY('Deck Info'!A:F,""SELECT E WHERE A = '""&amp;AH6&amp;""' AND B = '""&amp;AI6&amp;""'"")))"),"")</f>
        <v/>
      </c>
      <c r="AN6" s="75" t="str">
        <f>IFERROR(__xludf.DUMMYFUNCTION("IF(AG6="""","""",IMAGE(QUERY('Deck Info'!A:F,""SELECT F WHERE A = '""&amp;AH6&amp;""' AND B = '""&amp;AI6&amp;""'"")))"),"")</f>
        <v/>
      </c>
    </row>
    <row r="7" ht="75.0" customHeight="1">
      <c r="A7" s="72" t="str">
        <f>IFERROR(__xludf.DUMMYFUNCTION("""COMPUTED_VALUE"""),"Kartoffel")</f>
        <v>Kartoffel</v>
      </c>
      <c r="B7" s="73" t="str">
        <f>IFERROR(__xludf.DUMMYFUNCTION("""COMPUTED_VALUE"""),"CSM")</f>
        <v>CSM</v>
      </c>
      <c r="C7" s="74" t="str">
        <f>IFERROR(__xludf.DUMMYFUNCTION("""COMPUTED_VALUE"""),"StockSoul Bar")</f>
        <v>StockSoul Bar</v>
      </c>
      <c r="D7" s="73">
        <f>IFERROR(__xludf.DUMMYFUNCTION("""COMPUTED_VALUE"""),2.0)</f>
        <v>2</v>
      </c>
      <c r="E7" s="73">
        <f>IFERROR(__xludf.DUMMYFUNCTION("""COMPUTED_VALUE"""),2.0)</f>
        <v>2</v>
      </c>
      <c r="F7" s="35" t="str">
        <f>IFERROR(__xludf.DUMMYFUNCTION("IF(A7="""","""",IMAGE(QUERY('Deck Info'!A:F,""SELECT D WHERE A = '""&amp;B7&amp;""' AND B = '""&amp;C7&amp;""'"")))"),"")</f>
        <v/>
      </c>
      <c r="G7" s="35" t="str">
        <f>IFERROR(__xludf.DUMMYFUNCTION("IF(A7="""","""",IMAGE(QUERY('Deck Info'!A:F,""SELECT E WHERE A = '""&amp;B7&amp;""' AND B = '""&amp;C7&amp;""'"")))"),"")</f>
        <v/>
      </c>
      <c r="H7" s="75" t="str">
        <f>IFERROR(__xludf.DUMMYFUNCTION("IF(A7="""","""",IMAGE(QUERY('Deck Info'!A:F,""SELECT F WHERE A = '""&amp;B7&amp;""' AND B = '""&amp;C7&amp;""'"")))"),"")</f>
        <v/>
      </c>
      <c r="I7" s="79" t="str">
        <f>IFERROR(__xludf.DUMMYFUNCTION("""COMPUTED_VALUE"""),"JustFluffy")</f>
        <v>JustFluffy</v>
      </c>
      <c r="J7" s="73" t="str">
        <f>IFERROR(__xludf.DUMMYFUNCTION("""COMPUTED_VALUE"""),"EIS")</f>
        <v>EIS</v>
      </c>
      <c r="K7" s="74" t="str">
        <f>IFERROR(__xludf.DUMMYFUNCTION("""COMPUTED_VALUE"""),"5 Door 3 Pants Sortie")</f>
        <v>5 Door 3 Pants Sortie</v>
      </c>
      <c r="L7" s="73">
        <f>IFERROR(__xludf.DUMMYFUNCTION("""COMPUTED_VALUE"""),3.0)</f>
        <v>3</v>
      </c>
      <c r="M7" s="73">
        <f>IFERROR(__xludf.DUMMYFUNCTION("""COMPUTED_VALUE"""),1.0)</f>
        <v>1</v>
      </c>
      <c r="N7" s="77" t="str">
        <f>IFERROR(__xludf.DUMMYFUNCTION("IF(I7="""","""",IMAGE(QUERY('Deck Info'!A:F,""SELECT D WHERE A = '""&amp;J7&amp;""' AND B = '""&amp;K7&amp;""'"")))"),"#N/A")</f>
        <v>#N/A</v>
      </c>
      <c r="O7" s="77" t="str">
        <f>IFERROR(__xludf.DUMMYFUNCTION("IF(I7="""","""",IMAGE(QUERY('Deck Info'!A:F,""SELECT E WHERE A = '""&amp;J7&amp;""' AND B = '""&amp;K7&amp;""'"")))"),"#N/A")</f>
        <v>#N/A</v>
      </c>
      <c r="P7" s="78" t="str">
        <f>IFERROR(__xludf.DUMMYFUNCTION("IF(I7="""","""",IMAGE(QUERY('Deck Info'!A:F,""SELECT F WHERE A = '""&amp;J7&amp;""' AND B = '""&amp;K7&amp;""'"")))"),"#N/A")</f>
        <v>#N/A</v>
      </c>
      <c r="Q7" s="79"/>
      <c r="R7" s="73"/>
      <c r="S7" s="74"/>
      <c r="T7" s="73"/>
      <c r="U7" s="73"/>
      <c r="V7" s="35" t="str">
        <f>IFERROR(__xludf.DUMMYFUNCTION("IF(Q7="""","""",IMAGE(QUERY('Deck Info'!A:F,""SELECT D WHERE A = '""&amp;R7&amp;""' AND B = '""&amp;S7&amp;""'"")))"),"")</f>
        <v/>
      </c>
      <c r="W7" s="35" t="str">
        <f>IFERROR(__xludf.DUMMYFUNCTION("IF(Q7="""","""",IMAGE(QUERY('Deck Info'!A:F,""SELECT E WHERE A = '""&amp;R7&amp;""' AND B = '""&amp;S7&amp;""'"")))"),"")</f>
        <v/>
      </c>
      <c r="X7" s="75" t="str">
        <f>IFERROR(__xludf.DUMMYFUNCTION("IF(Q7="""","""",IMAGE(QUERY('Deck Info'!A:F,""SELECT F WHERE A = '""&amp;R7&amp;""' AND B = '""&amp;S7&amp;""'"")))"),"")</f>
        <v/>
      </c>
      <c r="Y7" s="79"/>
      <c r="Z7" s="73"/>
      <c r="AA7" s="74"/>
      <c r="AB7" s="73"/>
      <c r="AC7" s="73"/>
      <c r="AD7" s="35" t="str">
        <f>IFERROR(__xludf.DUMMYFUNCTION("IF(Y7="""","""",IMAGE(QUERY('Deck Info'!A:F,""SELECT D WHERE A = '""&amp;Z7&amp;""' AND B = '""&amp;AA7&amp;""'"")))"),"")</f>
        <v/>
      </c>
      <c r="AE7" s="35" t="str">
        <f>IFERROR(__xludf.DUMMYFUNCTION("IF(Y7="""","""",IMAGE(QUERY('Deck Info'!A:F,""SELECT E WHERE A = '""&amp;Z7&amp;""' AND B = '""&amp;AA7&amp;""'"")))"),"")</f>
        <v/>
      </c>
      <c r="AF7" s="75" t="str">
        <f>IFERROR(__xludf.DUMMYFUNCTION("IF(Y7="""","""",IMAGE(QUERY('Deck Info'!A:F,""SELECT F WHERE A = '""&amp;Z7&amp;""' AND B = '""&amp;AA7&amp;""'"")))"),"")</f>
        <v/>
      </c>
      <c r="AG7" s="79"/>
      <c r="AH7" s="73"/>
      <c r="AI7" s="74"/>
      <c r="AJ7" s="73"/>
      <c r="AK7" s="73"/>
      <c r="AL7" s="35" t="str">
        <f>IFERROR(__xludf.DUMMYFUNCTION("IF(AG7="""","""",IMAGE(QUERY('Deck Info'!A:F,""SELECT D WHERE A = '""&amp;AH7&amp;""' AND B = '""&amp;AI7&amp;""'"")))"),"")</f>
        <v/>
      </c>
      <c r="AM7" s="35" t="str">
        <f>IFERROR(__xludf.DUMMYFUNCTION("IF(AG7="""","""",IMAGE(QUERY('Deck Info'!A:F,""SELECT E WHERE A = '""&amp;AH7&amp;""' AND B = '""&amp;AI7&amp;""'"")))"),"")</f>
        <v/>
      </c>
      <c r="AN7" s="75" t="str">
        <f>IFERROR(__xludf.DUMMYFUNCTION("IF(AG7="""","""",IMAGE(QUERY('Deck Info'!A:F,""SELECT F WHERE A = '""&amp;AH7&amp;""' AND B = '""&amp;AI7&amp;""'"")))"),"")</f>
        <v/>
      </c>
    </row>
    <row r="8" ht="75.0" customHeight="1">
      <c r="A8" s="72" t="str">
        <f>IFERROR(__xludf.DUMMYFUNCTION("""COMPUTED_VALUE"""),"Mualco")</f>
        <v>Mualco</v>
      </c>
      <c r="B8" s="73" t="str">
        <f>IFERROR(__xludf.DUMMYFUNCTION("""COMPUTED_VALUE"""),"Fxx")</f>
        <v>Fxx</v>
      </c>
      <c r="C8" s="74" t="str">
        <f>IFERROR(__xludf.DUMMYFUNCTION("""COMPUTED_VALUE"""),"8 Standby")</f>
        <v>8 Standby</v>
      </c>
      <c r="D8" s="73">
        <f>IFERROR(__xludf.DUMMYFUNCTION("""COMPUTED_VALUE"""),2.0)</f>
        <v>2</v>
      </c>
      <c r="E8" s="73">
        <f>IFERROR(__xludf.DUMMYFUNCTION("""COMPUTED_VALUE"""),2.0)</f>
        <v>2</v>
      </c>
      <c r="F8" s="35" t="str">
        <f>IFERROR(__xludf.DUMMYFUNCTION("IF(A8="""","""",IMAGE(QUERY('Deck Info'!A:F,""SELECT D WHERE A = '""&amp;B8&amp;""' AND B = '""&amp;C8&amp;""'"")))"),"")</f>
        <v/>
      </c>
      <c r="G8" s="35" t="str">
        <f>IFERROR(__xludf.DUMMYFUNCTION("IF(A8="""","""",IMAGE(QUERY('Deck Info'!A:F,""SELECT E WHERE A = '""&amp;B8&amp;""' AND B = '""&amp;C8&amp;""'"")))"),"")</f>
        <v/>
      </c>
      <c r="H8" s="75" t="str">
        <f>IFERROR(__xludf.DUMMYFUNCTION("IF(A8="""","""",IMAGE(QUERY('Deck Info'!A:F,""SELECT F WHERE A = '""&amp;B8&amp;""' AND B = '""&amp;C8&amp;""'"")))"),"")</f>
        <v/>
      </c>
      <c r="I8" s="79" t="str">
        <f>IFERROR(__xludf.DUMMYFUNCTION("""COMPUTED_VALUE"""),"Pinya")</f>
        <v>Pinya</v>
      </c>
      <c r="J8" s="73" t="str">
        <f>IFERROR(__xludf.DUMMYFUNCTION("""COMPUTED_VALUE"""),"EIS")</f>
        <v>EIS</v>
      </c>
      <c r="K8" s="74" t="str">
        <f>IFERROR(__xludf.DUMMYFUNCTION("""COMPUTED_VALUE"""),"8 Door TD")</f>
        <v>8 Door TD</v>
      </c>
      <c r="L8" s="73">
        <f>IFERROR(__xludf.DUMMYFUNCTION("""COMPUTED_VALUE"""),2.0)</f>
        <v>2</v>
      </c>
      <c r="M8" s="73">
        <f>IFERROR(__xludf.DUMMYFUNCTION("""COMPUTED_VALUE"""),2.0)</f>
        <v>2</v>
      </c>
      <c r="N8" s="77" t="str">
        <f>IFERROR(__xludf.DUMMYFUNCTION("IF(I8="""","""",IMAGE(QUERY('Deck Info'!A:F,""SELECT D WHERE A = '""&amp;J8&amp;""' AND B = '""&amp;K8&amp;""'"")))"),"")</f>
        <v/>
      </c>
      <c r="O8" s="77" t="str">
        <f>IFERROR(__xludf.DUMMYFUNCTION("IF(I8="""","""",IMAGE(QUERY('Deck Info'!A:F,""SELECT E WHERE A = '""&amp;J8&amp;""' AND B = '""&amp;K8&amp;""'"")))"),"")</f>
        <v/>
      </c>
      <c r="P8" s="78" t="str">
        <f>IFERROR(__xludf.DUMMYFUNCTION("IF(I8="""","""",IMAGE(QUERY('Deck Info'!A:F,""SELECT F WHERE A = '""&amp;J8&amp;""' AND B = '""&amp;K8&amp;""'"")))"),"")</f>
        <v/>
      </c>
      <c r="Q8" s="79"/>
      <c r="R8" s="73"/>
      <c r="S8" s="74"/>
      <c r="T8" s="73"/>
      <c r="U8" s="73"/>
      <c r="V8" s="35" t="str">
        <f>IFERROR(__xludf.DUMMYFUNCTION("IF(Q8="""","""",IMAGE(QUERY('Deck Info'!A:F,""SELECT D WHERE A = '""&amp;R8&amp;""' AND B = '""&amp;S8&amp;""'"")))"),"")</f>
        <v/>
      </c>
      <c r="W8" s="35" t="str">
        <f>IFERROR(__xludf.DUMMYFUNCTION("IF(Q8="""","""",IMAGE(QUERY('Deck Info'!A:F,""SELECT E WHERE A = '""&amp;R8&amp;""' AND B = '""&amp;S8&amp;""'"")))"),"")</f>
        <v/>
      </c>
      <c r="X8" s="75" t="str">
        <f>IFERROR(__xludf.DUMMYFUNCTION("IF(Q8="""","""",IMAGE(QUERY('Deck Info'!A:F,""SELECT F WHERE A = '""&amp;R8&amp;""' AND B = '""&amp;S8&amp;""'"")))"),"")</f>
        <v/>
      </c>
      <c r="Y8" s="79"/>
      <c r="Z8" s="73"/>
      <c r="AA8" s="74"/>
      <c r="AB8" s="73"/>
      <c r="AC8" s="73"/>
      <c r="AD8" s="35" t="str">
        <f>IFERROR(__xludf.DUMMYFUNCTION("IF(Y8="""","""",IMAGE(QUERY('Deck Info'!A:F,""SELECT D WHERE A = '""&amp;Z8&amp;""' AND B = '""&amp;AA8&amp;""'"")))"),"")</f>
        <v/>
      </c>
      <c r="AE8" s="35" t="str">
        <f>IFERROR(__xludf.DUMMYFUNCTION("IF(Y8="""","""",IMAGE(QUERY('Deck Info'!A:F,""SELECT E WHERE A = '""&amp;Z8&amp;""' AND B = '""&amp;AA8&amp;""'"")))"),"")</f>
        <v/>
      </c>
      <c r="AF8" s="75" t="str">
        <f>IFERROR(__xludf.DUMMYFUNCTION("IF(Y8="""","""",IMAGE(QUERY('Deck Info'!A:F,""SELECT F WHERE A = '""&amp;Z8&amp;""' AND B = '""&amp;AA8&amp;""'"")))"),"")</f>
        <v/>
      </c>
      <c r="AG8" s="79"/>
      <c r="AH8" s="73"/>
      <c r="AI8" s="74"/>
      <c r="AJ8" s="73"/>
      <c r="AK8" s="73"/>
      <c r="AL8" s="35" t="str">
        <f>IFERROR(__xludf.DUMMYFUNCTION("IF(AG8="""","""",IMAGE(QUERY('Deck Info'!A:F,""SELECT D WHERE A = '""&amp;AH8&amp;""' AND B = '""&amp;AI8&amp;""'"")))"),"")</f>
        <v/>
      </c>
      <c r="AM8" s="35" t="str">
        <f>IFERROR(__xludf.DUMMYFUNCTION("IF(AG8="""","""",IMAGE(QUERY('Deck Info'!A:F,""SELECT E WHERE A = '""&amp;AH8&amp;""' AND B = '""&amp;AI8&amp;""'"")))"),"")</f>
        <v/>
      </c>
      <c r="AN8" s="75" t="str">
        <f>IFERROR(__xludf.DUMMYFUNCTION("IF(AG8="""","""",IMAGE(QUERY('Deck Info'!A:F,""SELECT F WHERE A = '""&amp;AH8&amp;""' AND B = '""&amp;AI8&amp;""'"")))"),"")</f>
        <v/>
      </c>
    </row>
    <row r="9" ht="75.0" customHeight="1">
      <c r="A9" s="72" t="str">
        <f>IFERROR(__xludf.DUMMYFUNCTION("""COMPUTED_VALUE"""),"Kururu")</f>
        <v>Kururu</v>
      </c>
      <c r="B9" s="73" t="str">
        <f>IFERROR(__xludf.DUMMYFUNCTION("""COMPUTED_VALUE"""),"MKI")</f>
        <v>MKI</v>
      </c>
      <c r="C9" s="74" t="str">
        <f>IFERROR(__xludf.DUMMYFUNCTION("""COMPUTED_VALUE"""),"Standby Pants")</f>
        <v>Standby Pants</v>
      </c>
      <c r="D9" s="73">
        <f>IFERROR(__xludf.DUMMYFUNCTION("""COMPUTED_VALUE"""),2.0)</f>
        <v>2</v>
      </c>
      <c r="E9" s="73">
        <f>IFERROR(__xludf.DUMMYFUNCTION("""COMPUTED_VALUE"""),2.0)</f>
        <v>2</v>
      </c>
      <c r="F9" s="35" t="str">
        <f>IFERROR(__xludf.DUMMYFUNCTION("IF(A9="""","""",IMAGE(QUERY('Deck Info'!A:F,""SELECT D WHERE A = '""&amp;B9&amp;""' AND B = '""&amp;C9&amp;""'"")))"),"")</f>
        <v/>
      </c>
      <c r="G9" s="35" t="str">
        <f>IFERROR(__xludf.DUMMYFUNCTION("IF(A9="""","""",IMAGE(QUERY('Deck Info'!A:F,""SELECT E WHERE A = '""&amp;B9&amp;""' AND B = '""&amp;C9&amp;""'"")))"),"")</f>
        <v/>
      </c>
      <c r="H9" s="75" t="str">
        <f>IFERROR(__xludf.DUMMYFUNCTION("IF(A9="""","""",IMAGE(QUERY('Deck Info'!A:F,""SELECT F WHERE A = '""&amp;B9&amp;""' AND B = '""&amp;C9&amp;""'"")))"),"")</f>
        <v/>
      </c>
      <c r="I9" s="79" t="str">
        <f>IFERROR(__xludf.DUMMYFUNCTION("""COMPUTED_VALUE"""),"Will")</f>
        <v>Will</v>
      </c>
      <c r="J9" s="73" t="str">
        <f>IFERROR(__xludf.DUMMYFUNCTION("""COMPUTED_VALUE"""),"LRC")</f>
        <v>LRC</v>
      </c>
      <c r="K9" s="74" t="str">
        <f>IFERROR(__xludf.DUMMYFUNCTION("""COMPUTED_VALUE"""),"Pants Door")</f>
        <v>Pants Door</v>
      </c>
      <c r="L9" s="73">
        <f>IFERROR(__xludf.DUMMYFUNCTION("""COMPUTED_VALUE"""),2.0)</f>
        <v>2</v>
      </c>
      <c r="M9" s="73">
        <f>IFERROR(__xludf.DUMMYFUNCTION("""COMPUTED_VALUE"""),2.0)</f>
        <v>2</v>
      </c>
      <c r="N9" s="77" t="str">
        <f>IFERROR(__xludf.DUMMYFUNCTION("IF(I9="""","""",IMAGE(QUERY('Deck Info'!A:F,""SELECT D WHERE A = '""&amp;J9&amp;""' AND B = '""&amp;K9&amp;""'"")))"),"")</f>
        <v/>
      </c>
      <c r="O9" s="77" t="str">
        <f>IFERROR(__xludf.DUMMYFUNCTION("IF(I9="""","""",IMAGE(QUERY('Deck Info'!A:F,""SELECT E WHERE A = '""&amp;J9&amp;""' AND B = '""&amp;K9&amp;""'"")))"),"")</f>
        <v/>
      </c>
      <c r="P9" s="78" t="str">
        <f>IFERROR(__xludf.DUMMYFUNCTION("IF(I9="""","""",IMAGE(QUERY('Deck Info'!A:F,""SELECT F WHERE A = '""&amp;J9&amp;""' AND B = '""&amp;K9&amp;""'"")))"),"")</f>
        <v/>
      </c>
      <c r="Q9" s="79"/>
      <c r="R9" s="73"/>
      <c r="S9" s="74"/>
      <c r="T9" s="73"/>
      <c r="U9" s="73"/>
      <c r="V9" s="35" t="str">
        <f>IFERROR(__xludf.DUMMYFUNCTION("IF(Q9="""","""",IMAGE(QUERY('Deck Info'!A:F,""SELECT D WHERE A = '""&amp;R9&amp;""' AND B = '""&amp;S9&amp;""'"")))"),"")</f>
        <v/>
      </c>
      <c r="W9" s="35" t="str">
        <f>IFERROR(__xludf.DUMMYFUNCTION("IF(Q9="""","""",IMAGE(QUERY('Deck Info'!A:F,""SELECT E WHERE A = '""&amp;R9&amp;""' AND B = '""&amp;S9&amp;""'"")))"),"")</f>
        <v/>
      </c>
      <c r="X9" s="75" t="str">
        <f>IFERROR(__xludf.DUMMYFUNCTION("IF(Q9="""","""",IMAGE(QUERY('Deck Info'!A:F,""SELECT F WHERE A = '""&amp;R9&amp;""' AND B = '""&amp;S9&amp;""'"")))"),"")</f>
        <v/>
      </c>
      <c r="Y9" s="79"/>
      <c r="Z9" s="73"/>
      <c r="AA9" s="74"/>
      <c r="AB9" s="73"/>
      <c r="AC9" s="73"/>
      <c r="AD9" s="35" t="str">
        <f>IFERROR(__xludf.DUMMYFUNCTION("IF(Y9="""","""",IMAGE(QUERY('Deck Info'!A:F,""SELECT D WHERE A = '""&amp;Z9&amp;""' AND B = '""&amp;AA9&amp;""'"")))"),"")</f>
        <v/>
      </c>
      <c r="AE9" s="35" t="str">
        <f>IFERROR(__xludf.DUMMYFUNCTION("IF(Y9="""","""",IMAGE(QUERY('Deck Info'!A:F,""SELECT E WHERE A = '""&amp;Z9&amp;""' AND B = '""&amp;AA9&amp;""'"")))"),"")</f>
        <v/>
      </c>
      <c r="AF9" s="75" t="str">
        <f>IFERROR(__xludf.DUMMYFUNCTION("IF(Y9="""","""",IMAGE(QUERY('Deck Info'!A:F,""SELECT F WHERE A = '""&amp;Z9&amp;""' AND B = '""&amp;AA9&amp;""'"")))"),"")</f>
        <v/>
      </c>
      <c r="AG9" s="79"/>
      <c r="AH9" s="73"/>
      <c r="AI9" s="74"/>
      <c r="AJ9" s="73"/>
      <c r="AK9" s="73"/>
      <c r="AL9" s="35" t="str">
        <f>IFERROR(__xludf.DUMMYFUNCTION("IF(AG9="""","""",IMAGE(QUERY('Deck Info'!A:F,""SELECT D WHERE A = '""&amp;AH9&amp;""' AND B = '""&amp;AI9&amp;""'"")))"),"")</f>
        <v/>
      </c>
      <c r="AM9" s="35" t="str">
        <f>IFERROR(__xludf.DUMMYFUNCTION("IF(AG9="""","""",IMAGE(QUERY('Deck Info'!A:F,""SELECT E WHERE A = '""&amp;AH9&amp;""' AND B = '""&amp;AI9&amp;""'"")))"),"")</f>
        <v/>
      </c>
      <c r="AN9" s="75" t="str">
        <f>IFERROR(__xludf.DUMMYFUNCTION("IF(AG9="""","""",IMAGE(QUERY('Deck Info'!A:F,""SELECT F WHERE A = '""&amp;AH9&amp;""' AND B = '""&amp;AI9&amp;""'"")))"),"")</f>
        <v/>
      </c>
    </row>
    <row r="10" ht="75.0" customHeight="1">
      <c r="A10" s="72" t="str">
        <f>IFERROR(__xludf.DUMMYFUNCTION("""COMPUTED_VALUE"""),"Nomar")</f>
        <v>Nomar</v>
      </c>
      <c r="B10" s="73" t="str">
        <f>IFERROR(__xludf.DUMMYFUNCTION("""COMPUTED_VALUE"""),"NIK")</f>
        <v>NIK</v>
      </c>
      <c r="C10" s="74" t="str">
        <f>IFERROR(__xludf.DUMMYFUNCTION("""COMPUTED_VALUE"""),"Pants Bag")</f>
        <v>Pants Bag</v>
      </c>
      <c r="D10" s="73">
        <f>IFERROR(__xludf.DUMMYFUNCTION("""COMPUTED_VALUE"""),1.0)</f>
        <v>1</v>
      </c>
      <c r="E10" s="73">
        <f>IFERROR(__xludf.DUMMYFUNCTION("""COMPUTED_VALUE"""),3.0)</f>
        <v>3</v>
      </c>
      <c r="F10" s="35" t="str">
        <f>IFERROR(__xludf.DUMMYFUNCTION("IF(A10="""","""",IMAGE(QUERY('Deck Info'!A:F,""SELECT D WHERE A = '""&amp;B10&amp;""' AND B = '""&amp;C10&amp;""'"")))"),"#N/A")</f>
        <v>#N/A</v>
      </c>
      <c r="G10" s="35" t="str">
        <f>IFERROR(__xludf.DUMMYFUNCTION("IF(A10="""","""",IMAGE(QUERY('Deck Info'!A:F,""SELECT E WHERE A = '""&amp;B10&amp;""' AND B = '""&amp;C10&amp;""'"")))"),"#N/A")</f>
        <v>#N/A</v>
      </c>
      <c r="H10" s="75" t="str">
        <f>IFERROR(__xludf.DUMMYFUNCTION("IF(A10="""","""",IMAGE(QUERY('Deck Info'!A:F,""SELECT F WHERE A = '""&amp;B10&amp;""' AND B = '""&amp;C10&amp;""'"")))"),"#N/A")</f>
        <v>#N/A</v>
      </c>
      <c r="I10" s="79" t="str">
        <f>IFERROR(__xludf.DUMMYFUNCTION("""COMPUTED_VALUE"""),"AC5")</f>
        <v>AC5</v>
      </c>
      <c r="J10" s="73" t="str">
        <f>IFERROR(__xludf.DUMMYFUNCTION("""COMPUTED_VALUE"""),"NIK")</f>
        <v>NIK</v>
      </c>
      <c r="K10" s="74" t="str">
        <f>IFERROR(__xludf.DUMMYFUNCTION("""COMPUTED_VALUE"""),"Door Standby")</f>
        <v>Door Standby</v>
      </c>
      <c r="L10" s="73">
        <f>IFERROR(__xludf.DUMMYFUNCTION("""COMPUTED_VALUE"""),2.0)</f>
        <v>2</v>
      </c>
      <c r="M10" s="73">
        <f>IFERROR(__xludf.DUMMYFUNCTION("""COMPUTED_VALUE"""),2.0)</f>
        <v>2</v>
      </c>
      <c r="N10" s="77" t="str">
        <f>IFERROR(__xludf.DUMMYFUNCTION("IF(I10="""","""",IMAGE(QUERY('Deck Info'!A:F,""SELECT D WHERE A = '""&amp;J10&amp;""' AND B = '""&amp;K10&amp;""'"")))"),"")</f>
        <v/>
      </c>
      <c r="O10" s="77" t="str">
        <f>IFERROR(__xludf.DUMMYFUNCTION("IF(I10="""","""",IMAGE(QUERY('Deck Info'!A:F,""SELECT E WHERE A = '""&amp;J10&amp;""' AND B = '""&amp;K10&amp;""'"")))"),"")</f>
        <v/>
      </c>
      <c r="P10" s="78" t="str">
        <f>IFERROR(__xludf.DUMMYFUNCTION("IF(I10="""","""",IMAGE(QUERY('Deck Info'!A:F,""SELECT F WHERE A = '""&amp;J10&amp;""' AND B = '""&amp;K10&amp;""'"")))"),"")</f>
        <v/>
      </c>
      <c r="Q10" s="79"/>
      <c r="R10" s="73"/>
      <c r="S10" s="74"/>
      <c r="T10" s="73"/>
      <c r="U10" s="73"/>
      <c r="V10" s="35" t="str">
        <f>IFERROR(__xludf.DUMMYFUNCTION("IF(Q10="""","""",IMAGE(QUERY('Deck Info'!A:F,""SELECT D WHERE A = '""&amp;R10&amp;""' AND B = '""&amp;S10&amp;""'"")))"),"")</f>
        <v/>
      </c>
      <c r="W10" s="35" t="str">
        <f>IFERROR(__xludf.DUMMYFUNCTION("IF(Q10="""","""",IMAGE(QUERY('Deck Info'!A:F,""SELECT E WHERE A = '""&amp;R10&amp;""' AND B = '""&amp;S10&amp;""'"")))"),"")</f>
        <v/>
      </c>
      <c r="X10" s="75" t="str">
        <f>IFERROR(__xludf.DUMMYFUNCTION("IF(Q10="""","""",IMAGE(QUERY('Deck Info'!A:F,""SELECT F WHERE A = '""&amp;R10&amp;""' AND B = '""&amp;S10&amp;""'"")))"),"")</f>
        <v/>
      </c>
      <c r="Y10" s="79"/>
      <c r="Z10" s="73"/>
      <c r="AA10" s="74"/>
      <c r="AB10" s="73"/>
      <c r="AC10" s="73"/>
      <c r="AD10" s="35" t="str">
        <f>IFERROR(__xludf.DUMMYFUNCTION("IF(Y10="""","""",IMAGE(QUERY('Deck Info'!A:F,""SELECT D WHERE A = '""&amp;Z10&amp;""' AND B = '""&amp;AA10&amp;""'"")))"),"")</f>
        <v/>
      </c>
      <c r="AE10" s="35" t="str">
        <f>IFERROR(__xludf.DUMMYFUNCTION("IF(Y10="""","""",IMAGE(QUERY('Deck Info'!A:F,""SELECT E WHERE A = '""&amp;Z10&amp;""' AND B = '""&amp;AA10&amp;""'"")))"),"")</f>
        <v/>
      </c>
      <c r="AF10" s="75" t="str">
        <f>IFERROR(__xludf.DUMMYFUNCTION("IF(Y10="""","""",IMAGE(QUERY('Deck Info'!A:F,""SELECT F WHERE A = '""&amp;Z10&amp;""' AND B = '""&amp;AA10&amp;""'"")))"),"")</f>
        <v/>
      </c>
      <c r="AG10" s="79"/>
      <c r="AH10" s="73"/>
      <c r="AI10" s="74"/>
      <c r="AJ10" s="73"/>
      <c r="AK10" s="73"/>
      <c r="AL10" s="35" t="str">
        <f>IFERROR(__xludf.DUMMYFUNCTION("IF(AG10="""","""",IMAGE(QUERY('Deck Info'!A:F,""SELECT D WHERE A = '""&amp;AH10&amp;""' AND B = '""&amp;AI10&amp;""'"")))"),"")</f>
        <v/>
      </c>
      <c r="AM10" s="35" t="str">
        <f>IFERROR(__xludf.DUMMYFUNCTION("IF(AG10="""","""",IMAGE(QUERY('Deck Info'!A:F,""SELECT E WHERE A = '""&amp;AH10&amp;""' AND B = '""&amp;AI10&amp;""'"")))"),"")</f>
        <v/>
      </c>
      <c r="AN10" s="75" t="str">
        <f>IFERROR(__xludf.DUMMYFUNCTION("IF(AG10="""","""",IMAGE(QUERY('Deck Info'!A:F,""SELECT F WHERE A = '""&amp;AH10&amp;""' AND B = '""&amp;AI10&amp;""'"")))"),"")</f>
        <v/>
      </c>
    </row>
    <row r="11" ht="75.0" customHeight="1">
      <c r="A11" s="72" t="str">
        <f>IFERROR(__xludf.DUMMYFUNCTION("""COMPUTED_VALUE"""),"Jose Sev")</f>
        <v>Jose Sev</v>
      </c>
      <c r="B11" s="73" t="str">
        <f>IFERROR(__xludf.DUMMYFUNCTION("""COMPUTED_VALUE"""),"EIS")</f>
        <v>EIS</v>
      </c>
      <c r="C11" s="74" t="str">
        <f>IFERROR(__xludf.DUMMYFUNCTION("""COMPUTED_VALUE"""),"StockSoul Bar")</f>
        <v>StockSoul Bar</v>
      </c>
      <c r="D11" s="73">
        <f>IFERROR(__xludf.DUMMYFUNCTION("""COMPUTED_VALUE"""),1.0)</f>
        <v>1</v>
      </c>
      <c r="E11" s="73">
        <f>IFERROR(__xludf.DUMMYFUNCTION("""COMPUTED_VALUE"""),3.0)</f>
        <v>3</v>
      </c>
      <c r="F11" s="35" t="str">
        <f>IFERROR(__xludf.DUMMYFUNCTION("IF(A11="""","""",IMAGE(QUERY('Deck Info'!A:F,""SELECT D WHERE A = '""&amp;B11&amp;""' AND B = '""&amp;C11&amp;""'"")))"),"#N/A")</f>
        <v>#N/A</v>
      </c>
      <c r="G11" s="35" t="str">
        <f>IFERROR(__xludf.DUMMYFUNCTION("IF(A11="""","""",IMAGE(QUERY('Deck Info'!A:F,""SELECT E WHERE A = '""&amp;B11&amp;""' AND B = '""&amp;C11&amp;""'"")))"),"#N/A")</f>
        <v>#N/A</v>
      </c>
      <c r="H11" s="75" t="str">
        <f>IFERROR(__xludf.DUMMYFUNCTION("IF(A11="""","""",IMAGE(QUERY('Deck Info'!A:F,""SELECT F WHERE A = '""&amp;B11&amp;""' AND B = '""&amp;C11&amp;""'"")))"),"#N/A")</f>
        <v>#N/A</v>
      </c>
      <c r="I11" s="79" t="str">
        <f>IFERROR(__xludf.DUMMYFUNCTION("""COMPUTED_VALUE"""),"Agus")</f>
        <v>Agus</v>
      </c>
      <c r="J11" s="73" t="str">
        <f>IFERROR(__xludf.DUMMYFUNCTION("""COMPUTED_VALUE"""),"DAL")</f>
        <v>DAL</v>
      </c>
      <c r="K11" s="74" t="str">
        <f>IFERROR(__xludf.DUMMYFUNCTION("""COMPUTED_VALUE"""),"8 Standby")</f>
        <v>8 Standby</v>
      </c>
      <c r="L11" s="73">
        <f>IFERROR(__xludf.DUMMYFUNCTION("""COMPUTED_VALUE"""),2.0)</f>
        <v>2</v>
      </c>
      <c r="M11" s="73">
        <f>IFERROR(__xludf.DUMMYFUNCTION("""COMPUTED_VALUE"""),2.0)</f>
        <v>2</v>
      </c>
      <c r="N11" s="77" t="str">
        <f>IFERROR(__xludf.DUMMYFUNCTION("IF(I11="""","""",IMAGE(QUERY('Deck Info'!A:F,""SELECT D WHERE A = '""&amp;J11&amp;""' AND B = '""&amp;K11&amp;""'"")))"),"")</f>
        <v/>
      </c>
      <c r="O11" s="77" t="str">
        <f>IFERROR(__xludf.DUMMYFUNCTION("IF(I11="""","""",IMAGE(QUERY('Deck Info'!A:F,""SELECT E WHERE A = '""&amp;J11&amp;""' AND B = '""&amp;K11&amp;""'"")))"),"")</f>
        <v/>
      </c>
      <c r="P11" s="78" t="str">
        <f>IFERROR(__xludf.DUMMYFUNCTION("IF(I11="""","""",IMAGE(QUERY('Deck Info'!A:F,""SELECT F WHERE A = '""&amp;J11&amp;""' AND B = '""&amp;K11&amp;""'"")))"),"")</f>
        <v/>
      </c>
      <c r="Q11" s="79"/>
      <c r="R11" s="73"/>
      <c r="S11" s="74"/>
      <c r="T11" s="73"/>
      <c r="U11" s="73"/>
      <c r="V11" s="35" t="str">
        <f>IFERROR(__xludf.DUMMYFUNCTION("IF(Q11="""","""",IMAGE(QUERY('Deck Info'!A:F,""SELECT D WHERE A = '""&amp;R11&amp;""' AND B = '""&amp;S11&amp;""'"")))"),"")</f>
        <v/>
      </c>
      <c r="W11" s="35" t="str">
        <f>IFERROR(__xludf.DUMMYFUNCTION("IF(Q11="""","""",IMAGE(QUERY('Deck Info'!A:F,""SELECT E WHERE A = '""&amp;R11&amp;""' AND B = '""&amp;S11&amp;""'"")))"),"")</f>
        <v/>
      </c>
      <c r="X11" s="75" t="str">
        <f>IFERROR(__xludf.DUMMYFUNCTION("IF(Q11="""","""",IMAGE(QUERY('Deck Info'!A:F,""SELECT F WHERE A = '""&amp;R11&amp;""' AND B = '""&amp;S11&amp;""'"")))"),"")</f>
        <v/>
      </c>
      <c r="Y11" s="79"/>
      <c r="Z11" s="73"/>
      <c r="AA11" s="74"/>
      <c r="AB11" s="73"/>
      <c r="AC11" s="73"/>
      <c r="AD11" s="35" t="str">
        <f>IFERROR(__xludf.DUMMYFUNCTION("IF(Y11="""","""",IMAGE(QUERY('Deck Info'!A:F,""SELECT D WHERE A = '""&amp;Z11&amp;""' AND B = '""&amp;AA11&amp;""'"")))"),"")</f>
        <v/>
      </c>
      <c r="AE11" s="35" t="str">
        <f>IFERROR(__xludf.DUMMYFUNCTION("IF(Y11="""","""",IMAGE(QUERY('Deck Info'!A:F,""SELECT E WHERE A = '""&amp;Z11&amp;""' AND B = '""&amp;AA11&amp;""'"")))"),"")</f>
        <v/>
      </c>
      <c r="AF11" s="75" t="str">
        <f>IFERROR(__xludf.DUMMYFUNCTION("IF(Y11="""","""",IMAGE(QUERY('Deck Info'!A:F,""SELECT F WHERE A = '""&amp;Z11&amp;""' AND B = '""&amp;AA11&amp;""'"")))"),"")</f>
        <v/>
      </c>
      <c r="AG11" s="79"/>
      <c r="AH11" s="73"/>
      <c r="AI11" s="74"/>
      <c r="AJ11" s="73"/>
      <c r="AK11" s="73"/>
      <c r="AL11" s="35" t="str">
        <f>IFERROR(__xludf.DUMMYFUNCTION("IF(AG11="""","""",IMAGE(QUERY('Deck Info'!A:F,""SELECT D WHERE A = '""&amp;AH11&amp;""' AND B = '""&amp;AI11&amp;""'"")))"),"")</f>
        <v/>
      </c>
      <c r="AM11" s="35" t="str">
        <f>IFERROR(__xludf.DUMMYFUNCTION("IF(AG11="""","""",IMAGE(QUERY('Deck Info'!A:F,""SELECT E WHERE A = '""&amp;AH11&amp;""' AND B = '""&amp;AI11&amp;""'"")))"),"")</f>
        <v/>
      </c>
      <c r="AN11" s="75" t="str">
        <f>IFERROR(__xludf.DUMMYFUNCTION("IF(AG11="""","""",IMAGE(QUERY('Deck Info'!A:F,""SELECT F WHERE A = '""&amp;AH11&amp;""' AND B = '""&amp;AI11&amp;""'"")))"),"")</f>
        <v/>
      </c>
    </row>
    <row r="12" ht="75.0" customHeight="1">
      <c r="A12" s="72" t="str">
        <f>IFERROR(__xludf.DUMMYFUNCTION("""COMPUTED_VALUE"""),"JustFluffy")</f>
        <v>JustFluffy</v>
      </c>
      <c r="B12" s="73" t="str">
        <f>IFERROR(__xludf.DUMMYFUNCTION("""COMPUTED_VALUE"""),"BAV")</f>
        <v>BAV</v>
      </c>
      <c r="C12" s="74" t="str">
        <f>IFERROR(__xludf.DUMMYFUNCTION("""COMPUTED_VALUE"""),"Izuna Hifumi")</f>
        <v>Izuna Hifumi</v>
      </c>
      <c r="D12" s="73">
        <f>IFERROR(__xludf.DUMMYFUNCTION("""COMPUTED_VALUE"""),1.0)</f>
        <v>1</v>
      </c>
      <c r="E12" s="73">
        <f>IFERROR(__xludf.DUMMYFUNCTION("""COMPUTED_VALUE"""),3.0)</f>
        <v>3</v>
      </c>
      <c r="F12" s="35" t="str">
        <f>IFERROR(__xludf.DUMMYFUNCTION("IF(A12="""","""",IMAGE(QUERY('Deck Info'!A:F,""SELECT D WHERE A = '""&amp;B12&amp;""' AND B = '""&amp;C12&amp;""'"")))"),"")</f>
        <v/>
      </c>
      <c r="G12" s="35" t="str">
        <f>IFERROR(__xludf.DUMMYFUNCTION("IF(A12="""","""",IMAGE(QUERY('Deck Info'!A:F,""SELECT E WHERE A = '""&amp;B12&amp;""' AND B = '""&amp;C12&amp;""'"")))"),"")</f>
        <v/>
      </c>
      <c r="H12" s="75" t="str">
        <f>IFERROR(__xludf.DUMMYFUNCTION("IF(A12="""","""",IMAGE(QUERY('Deck Info'!A:F,""SELECT F WHERE A = '""&amp;B12&amp;""' AND B = '""&amp;C12&amp;""'"")))"),"")</f>
        <v/>
      </c>
      <c r="I12" s="79" t="str">
        <f>IFERROR(__xludf.DUMMYFUNCTION("""COMPUTED_VALUE"""),"STARK")</f>
        <v>STARK</v>
      </c>
      <c r="J12" s="73" t="str">
        <f>IFERROR(__xludf.DUMMYFUNCTION("""COMPUTED_VALUE"""),"OVL")</f>
        <v>OVL</v>
      </c>
      <c r="K12" s="74" t="str">
        <f>IFERROR(__xludf.DUMMYFUNCTION("""COMPUTED_VALUE"""),"8 Door")</f>
        <v>8 Door</v>
      </c>
      <c r="L12" s="73">
        <f>IFERROR(__xludf.DUMMYFUNCTION("""COMPUTED_VALUE"""),2.0)</f>
        <v>2</v>
      </c>
      <c r="M12" s="73">
        <f>IFERROR(__xludf.DUMMYFUNCTION("""COMPUTED_VALUE"""),2.0)</f>
        <v>2</v>
      </c>
      <c r="N12" s="77" t="str">
        <f>IFERROR(__xludf.DUMMYFUNCTION("IF(I12="""","""",IMAGE(QUERY('Deck Info'!A:F,""SELECT D WHERE A = '""&amp;J12&amp;""' AND B = '""&amp;K12&amp;""'"")))"),"")</f>
        <v/>
      </c>
      <c r="O12" s="77" t="str">
        <f>IFERROR(__xludf.DUMMYFUNCTION("IF(I12="""","""",IMAGE(QUERY('Deck Info'!A:F,""SELECT E WHERE A = '""&amp;J12&amp;""' AND B = '""&amp;K12&amp;""'"")))"),"")</f>
        <v/>
      </c>
      <c r="P12" s="78" t="str">
        <f>IFERROR(__xludf.DUMMYFUNCTION("IF(I12="""","""",IMAGE(QUERY('Deck Info'!A:F,""SELECT F WHERE A = '""&amp;J12&amp;""' AND B = '""&amp;K12&amp;""'"")))"),"")</f>
        <v/>
      </c>
      <c r="Q12" s="79"/>
      <c r="R12" s="73"/>
      <c r="S12" s="74"/>
      <c r="T12" s="73"/>
      <c r="U12" s="73"/>
      <c r="V12" s="35" t="str">
        <f>IFERROR(__xludf.DUMMYFUNCTION("IF(Q12="""","""",IMAGE(QUERY('Deck Info'!A:F,""SELECT D WHERE A = '""&amp;R12&amp;""' AND B = '""&amp;S12&amp;""'"")))"),"")</f>
        <v/>
      </c>
      <c r="W12" s="35" t="str">
        <f>IFERROR(__xludf.DUMMYFUNCTION("IF(Q12="""","""",IMAGE(QUERY('Deck Info'!A:F,""SELECT E WHERE A = '""&amp;R12&amp;""' AND B = '""&amp;S12&amp;""'"")))"),"")</f>
        <v/>
      </c>
      <c r="X12" s="75" t="str">
        <f>IFERROR(__xludf.DUMMYFUNCTION("IF(Q12="""","""",IMAGE(QUERY('Deck Info'!A:F,""SELECT F WHERE A = '""&amp;R12&amp;""' AND B = '""&amp;S12&amp;""'"")))"),"")</f>
        <v/>
      </c>
      <c r="Y12" s="79"/>
      <c r="Z12" s="73"/>
      <c r="AA12" s="74"/>
      <c r="AB12" s="73"/>
      <c r="AC12" s="73"/>
      <c r="AD12" s="35" t="str">
        <f>IFERROR(__xludf.DUMMYFUNCTION("IF(Y12="""","""",IMAGE(QUERY('Deck Info'!A:F,""SELECT D WHERE A = '""&amp;Z12&amp;""' AND B = '""&amp;AA12&amp;""'"")))"),"")</f>
        <v/>
      </c>
      <c r="AE12" s="35" t="str">
        <f>IFERROR(__xludf.DUMMYFUNCTION("IF(Y12="""","""",IMAGE(QUERY('Deck Info'!A:F,""SELECT E WHERE A = '""&amp;Z12&amp;""' AND B = '""&amp;AA12&amp;""'"")))"),"")</f>
        <v/>
      </c>
      <c r="AF12" s="75" t="str">
        <f>IFERROR(__xludf.DUMMYFUNCTION("IF(Y12="""","""",IMAGE(QUERY('Deck Info'!A:F,""SELECT F WHERE A = '""&amp;Z12&amp;""' AND B = '""&amp;AA12&amp;""'"")))"),"")</f>
        <v/>
      </c>
      <c r="AG12" s="79"/>
      <c r="AH12" s="73"/>
      <c r="AI12" s="74"/>
      <c r="AJ12" s="73"/>
      <c r="AK12" s="73"/>
      <c r="AL12" s="35" t="str">
        <f>IFERROR(__xludf.DUMMYFUNCTION("IF(AG12="""","""",IMAGE(QUERY('Deck Info'!A:F,""SELECT D WHERE A = '""&amp;AH12&amp;""' AND B = '""&amp;AI12&amp;""'"")))"),"")</f>
        <v/>
      </c>
      <c r="AM12" s="35" t="str">
        <f>IFERROR(__xludf.DUMMYFUNCTION("IF(AG12="""","""",IMAGE(QUERY('Deck Info'!A:F,""SELECT E WHERE A = '""&amp;AH12&amp;""' AND B = '""&amp;AI12&amp;""'"")))"),"")</f>
        <v/>
      </c>
      <c r="AN12" s="75" t="str">
        <f>IFERROR(__xludf.DUMMYFUNCTION("IF(AG12="""","""",IMAGE(QUERY('Deck Info'!A:F,""SELECT F WHERE A = '""&amp;AH12&amp;""' AND B = '""&amp;AI12&amp;""'"")))"),"")</f>
        <v/>
      </c>
    </row>
    <row r="13" ht="75.0" customHeight="1">
      <c r="A13" s="72" t="str">
        <f>IFERROR(__xludf.DUMMYFUNCTION("""COMPUTED_VALUE"""),"AC5")</f>
        <v>AC5</v>
      </c>
      <c r="B13" s="73" t="str">
        <f>IFERROR(__xludf.DUMMYFUNCTION("""COMPUTED_VALUE"""),"NIK")</f>
        <v>NIK</v>
      </c>
      <c r="C13" s="74" t="str">
        <f>IFERROR(__xludf.DUMMYFUNCTION("""COMPUTED_VALUE"""),"Door Standby")</f>
        <v>Door Standby</v>
      </c>
      <c r="D13" s="73">
        <f>IFERROR(__xludf.DUMMYFUNCTION("""COMPUTED_VALUE"""),1.0)</f>
        <v>1</v>
      </c>
      <c r="E13" s="73">
        <f>IFERROR(__xludf.DUMMYFUNCTION("""COMPUTED_VALUE"""),3.0)</f>
        <v>3</v>
      </c>
      <c r="F13" s="35" t="str">
        <f>IFERROR(__xludf.DUMMYFUNCTION("IF(A13="""","""",IMAGE(QUERY('Deck Info'!A:F,""SELECT D WHERE A = '""&amp;B13&amp;""' AND B = '""&amp;C13&amp;""'"")))"),"")</f>
        <v/>
      </c>
      <c r="G13" s="35" t="str">
        <f>IFERROR(__xludf.DUMMYFUNCTION("IF(A13="""","""",IMAGE(QUERY('Deck Info'!A:F,""SELECT E WHERE A = '""&amp;B13&amp;""' AND B = '""&amp;C13&amp;""'"")))"),"")</f>
        <v/>
      </c>
      <c r="H13" s="75" t="str">
        <f>IFERROR(__xludf.DUMMYFUNCTION("IF(A13="""","""",IMAGE(QUERY('Deck Info'!A:F,""SELECT F WHERE A = '""&amp;B13&amp;""' AND B = '""&amp;C13&amp;""'"")))"),"")</f>
        <v/>
      </c>
      <c r="I13" s="79" t="str">
        <f>IFERROR(__xludf.DUMMYFUNCTION("""COMPUTED_VALUE"""),"Hachi")</f>
        <v>Hachi</v>
      </c>
      <c r="J13" s="73" t="str">
        <f>IFERROR(__xludf.DUMMYFUNCTION("""COMPUTED_VALUE"""),"MM")</f>
        <v>MM</v>
      </c>
      <c r="K13" s="74" t="str">
        <f>IFERROR(__xludf.DUMMYFUNCTION("""COMPUTED_VALUE"""),"StockSoul Door")</f>
        <v>StockSoul Door</v>
      </c>
      <c r="L13" s="73">
        <f>IFERROR(__xludf.DUMMYFUNCTION("""COMPUTED_VALUE"""),2.0)</f>
        <v>2</v>
      </c>
      <c r="M13" s="73">
        <f>IFERROR(__xludf.DUMMYFUNCTION("""COMPUTED_VALUE"""),2.0)</f>
        <v>2</v>
      </c>
      <c r="N13" s="77" t="str">
        <f>IFERROR(__xludf.DUMMYFUNCTION("IF(I13="""","""",IMAGE(QUERY('Deck Info'!A:F,""SELECT D WHERE A = '""&amp;J13&amp;""' AND B = '""&amp;K13&amp;""'"")))"),"#N/A")</f>
        <v>#N/A</v>
      </c>
      <c r="O13" s="77" t="str">
        <f>IFERROR(__xludf.DUMMYFUNCTION("IF(I13="""","""",IMAGE(QUERY('Deck Info'!A:F,""SELECT E WHERE A = '""&amp;J13&amp;""' AND B = '""&amp;K13&amp;""'"")))"),"#N/A")</f>
        <v>#N/A</v>
      </c>
      <c r="P13" s="78" t="str">
        <f>IFERROR(__xludf.DUMMYFUNCTION("IF(I13="""","""",IMAGE(QUERY('Deck Info'!A:F,""SELECT F WHERE A = '""&amp;J13&amp;""' AND B = '""&amp;K13&amp;""'"")))"),"#N/A")</f>
        <v>#N/A</v>
      </c>
      <c r="Q13" s="79"/>
      <c r="R13" s="73"/>
      <c r="S13" s="74"/>
      <c r="T13" s="73"/>
      <c r="U13" s="73"/>
      <c r="V13" s="35" t="str">
        <f>IFERROR(__xludf.DUMMYFUNCTION("IF(Q13="""","""",IMAGE(QUERY('Deck Info'!A:F,""SELECT D WHERE A = '""&amp;R13&amp;""' AND B = '""&amp;S13&amp;""'"")))"),"")</f>
        <v/>
      </c>
      <c r="W13" s="35" t="str">
        <f>IFERROR(__xludf.DUMMYFUNCTION("IF(Q13="""","""",IMAGE(QUERY('Deck Info'!A:F,""SELECT E WHERE A = '""&amp;R13&amp;""' AND B = '""&amp;S13&amp;""'"")))"),"")</f>
        <v/>
      </c>
      <c r="X13" s="75" t="str">
        <f>IFERROR(__xludf.DUMMYFUNCTION("IF(Q13="""","""",IMAGE(QUERY('Deck Info'!A:F,""SELECT F WHERE A = '""&amp;R13&amp;""' AND B = '""&amp;S13&amp;""'"")))"),"")</f>
        <v/>
      </c>
      <c r="Y13" s="79"/>
      <c r="Z13" s="73"/>
      <c r="AA13" s="74"/>
      <c r="AB13" s="73"/>
      <c r="AC13" s="73"/>
      <c r="AD13" s="35" t="str">
        <f>IFERROR(__xludf.DUMMYFUNCTION("IF(Y13="""","""",IMAGE(QUERY('Deck Info'!A:F,""SELECT D WHERE A = '""&amp;Z13&amp;""' AND B = '""&amp;AA13&amp;""'"")))"),"")</f>
        <v/>
      </c>
      <c r="AE13" s="35" t="str">
        <f>IFERROR(__xludf.DUMMYFUNCTION("IF(Y13="""","""",IMAGE(QUERY('Deck Info'!A:F,""SELECT E WHERE A = '""&amp;Z13&amp;""' AND B = '""&amp;AA13&amp;""'"")))"),"")</f>
        <v/>
      </c>
      <c r="AF13" s="75" t="str">
        <f>IFERROR(__xludf.DUMMYFUNCTION("IF(Y13="""","""",IMAGE(QUERY('Deck Info'!A:F,""SELECT F WHERE A = '""&amp;Z13&amp;""' AND B = '""&amp;AA13&amp;""'"")))"),"")</f>
        <v/>
      </c>
      <c r="AG13" s="79"/>
      <c r="AH13" s="73"/>
      <c r="AI13" s="74"/>
      <c r="AJ13" s="73"/>
      <c r="AK13" s="73"/>
      <c r="AL13" s="35" t="str">
        <f>IFERROR(__xludf.DUMMYFUNCTION("IF(AG13="""","""",IMAGE(QUERY('Deck Info'!A:F,""SELECT D WHERE A = '""&amp;AH13&amp;""' AND B = '""&amp;AI13&amp;""'"")))"),"")</f>
        <v/>
      </c>
      <c r="AM13" s="35" t="str">
        <f>IFERROR(__xludf.DUMMYFUNCTION("IF(AG13="""","""",IMAGE(QUERY('Deck Info'!A:F,""SELECT E WHERE A = '""&amp;AH13&amp;""' AND B = '""&amp;AI13&amp;""'"")))"),"")</f>
        <v/>
      </c>
      <c r="AN13" s="75" t="str">
        <f>IFERROR(__xludf.DUMMYFUNCTION("IF(AG13="""","""",IMAGE(QUERY('Deck Info'!A:F,""SELECT F WHERE A = '""&amp;AH13&amp;""' AND B = '""&amp;AI13&amp;""'"")))"),"")</f>
        <v/>
      </c>
    </row>
    <row r="14" ht="75.0" customHeight="1">
      <c r="A14" s="72" t="str">
        <f>IFERROR(__xludf.DUMMYFUNCTION("""COMPUTED_VALUE"""),"YoniTheRobot")</f>
        <v>YoniTheRobot</v>
      </c>
      <c r="B14" s="73"/>
      <c r="C14" s="74"/>
      <c r="D14" s="73">
        <f>IFERROR(__xludf.DUMMYFUNCTION("""COMPUTED_VALUE"""),0.0)</f>
        <v>0</v>
      </c>
      <c r="E14" s="73">
        <f>IFERROR(__xludf.DUMMYFUNCTION("""COMPUTED_VALUE"""),4.0)</f>
        <v>4</v>
      </c>
      <c r="F14" s="35" t="str">
        <f>IFERROR(__xludf.DUMMYFUNCTION("IF(A14="""","""",IMAGE(QUERY('Deck Info'!A:F,""SELECT D WHERE A = '""&amp;B14&amp;""' AND B = '""&amp;C14&amp;""'"")))"),"")</f>
        <v/>
      </c>
      <c r="G14" s="35" t="str">
        <f>IFERROR(__xludf.DUMMYFUNCTION("IF(A14="""","""",IMAGE(QUERY('Deck Info'!A:F,""SELECT E WHERE A = '""&amp;B14&amp;""' AND B = '""&amp;C14&amp;""'"")))"),"")</f>
        <v/>
      </c>
      <c r="H14" s="75" t="str">
        <f>IFERROR(__xludf.DUMMYFUNCTION("IF(A14="""","""",IMAGE(QUERY('Deck Info'!A:F,""SELECT F WHERE A = '""&amp;B14&amp;""' AND B = '""&amp;C14&amp;""'"")))"),"")</f>
        <v/>
      </c>
      <c r="I14" s="79" t="str">
        <f>IFERROR(__xludf.DUMMYFUNCTION("""COMPUTED_VALUE"""),"Kururu")</f>
        <v>Kururu</v>
      </c>
      <c r="J14" s="73" t="str">
        <f>IFERROR(__xludf.DUMMYFUNCTION("""COMPUTED_VALUE"""),"MDE")</f>
        <v>MDE</v>
      </c>
      <c r="K14" s="74" t="str">
        <f>IFERROR(__xludf.DUMMYFUNCTION("""COMPUTED_VALUE"""),"Link")</f>
        <v>Link</v>
      </c>
      <c r="L14" s="73">
        <f>IFERROR(__xludf.DUMMYFUNCTION("""COMPUTED_VALUE"""),1.0)</f>
        <v>1</v>
      </c>
      <c r="M14" s="73">
        <f>IFERROR(__xludf.DUMMYFUNCTION("""COMPUTED_VALUE"""),3.0)</f>
        <v>3</v>
      </c>
      <c r="N14" s="77" t="str">
        <f>IFERROR(__xludf.DUMMYFUNCTION("IF(I14="""","""",IMAGE(QUERY('Deck Info'!A:F,""SELECT D WHERE A = '""&amp;J14&amp;""' AND B = '""&amp;K14&amp;""'"")))"),"")</f>
        <v/>
      </c>
      <c r="O14" s="77" t="str">
        <f>IFERROR(__xludf.DUMMYFUNCTION("IF(I14="""","""",IMAGE(QUERY('Deck Info'!A:F,""SELECT E WHERE A = '""&amp;J14&amp;""' AND B = '""&amp;K14&amp;""'"")))"),"")</f>
        <v/>
      </c>
      <c r="P14" s="78" t="str">
        <f>IFERROR(__xludf.DUMMYFUNCTION("IF(I14="""","""",IMAGE(QUERY('Deck Info'!A:F,""SELECT F WHERE A = '""&amp;J14&amp;""' AND B = '""&amp;K14&amp;""'"")))"),"")</f>
        <v/>
      </c>
      <c r="Q14" s="79"/>
      <c r="R14" s="73"/>
      <c r="S14" s="74"/>
      <c r="T14" s="73"/>
      <c r="U14" s="73"/>
      <c r="V14" s="35" t="str">
        <f>IFERROR(__xludf.DUMMYFUNCTION("IF(Q14="""","""",IMAGE(QUERY('Deck Info'!A:F,""SELECT D WHERE A = '""&amp;R14&amp;""' AND B = '""&amp;S14&amp;""'"")))"),"")</f>
        <v/>
      </c>
      <c r="W14" s="35" t="str">
        <f>IFERROR(__xludf.DUMMYFUNCTION("IF(Q14="""","""",IMAGE(QUERY('Deck Info'!A:F,""SELECT E WHERE A = '""&amp;R14&amp;""' AND B = '""&amp;S14&amp;""'"")))"),"")</f>
        <v/>
      </c>
      <c r="X14" s="75" t="str">
        <f>IFERROR(__xludf.DUMMYFUNCTION("IF(Q14="""","""",IMAGE(QUERY('Deck Info'!A:F,""SELECT F WHERE A = '""&amp;R14&amp;""' AND B = '""&amp;S14&amp;""'"")))"),"")</f>
        <v/>
      </c>
      <c r="Y14" s="79"/>
      <c r="Z14" s="73"/>
      <c r="AA14" s="74"/>
      <c r="AB14" s="73"/>
      <c r="AC14" s="73"/>
      <c r="AD14" s="35" t="str">
        <f>IFERROR(__xludf.DUMMYFUNCTION("IF(Y14="""","""",IMAGE(QUERY('Deck Info'!A:F,""SELECT D WHERE A = '""&amp;Z14&amp;""' AND B = '""&amp;AA14&amp;""'"")))"),"")</f>
        <v/>
      </c>
      <c r="AE14" s="35" t="str">
        <f>IFERROR(__xludf.DUMMYFUNCTION("IF(Y14="""","""",IMAGE(QUERY('Deck Info'!A:F,""SELECT E WHERE A = '""&amp;Z14&amp;""' AND B = '""&amp;AA14&amp;""'"")))"),"")</f>
        <v/>
      </c>
      <c r="AF14" s="75" t="str">
        <f>IFERROR(__xludf.DUMMYFUNCTION("IF(Y14="""","""",IMAGE(QUERY('Deck Info'!A:F,""SELECT F WHERE A = '""&amp;Z14&amp;""' AND B = '""&amp;AA14&amp;""'"")))"),"")</f>
        <v/>
      </c>
      <c r="AG14" s="79"/>
      <c r="AH14" s="73"/>
      <c r="AI14" s="74"/>
      <c r="AJ14" s="73"/>
      <c r="AK14" s="73"/>
      <c r="AL14" s="35" t="str">
        <f>IFERROR(__xludf.DUMMYFUNCTION("IF(AG14="""","""",IMAGE(QUERY('Deck Info'!A:F,""SELECT D WHERE A = '""&amp;AH14&amp;""' AND B = '""&amp;AI14&amp;""'"")))"),"")</f>
        <v/>
      </c>
      <c r="AM14" s="35" t="str">
        <f>IFERROR(__xludf.DUMMYFUNCTION("IF(AG14="""","""",IMAGE(QUERY('Deck Info'!A:F,""SELECT E WHERE A = '""&amp;AH14&amp;""' AND B = '""&amp;AI14&amp;""'"")))"),"")</f>
        <v/>
      </c>
      <c r="AN14" s="75" t="str">
        <f>IFERROR(__xludf.DUMMYFUNCTION("IF(AG14="""","""",IMAGE(QUERY('Deck Info'!A:F,""SELECT F WHERE A = '""&amp;AH14&amp;""' AND B = '""&amp;AI14&amp;""'"")))"),"")</f>
        <v/>
      </c>
    </row>
    <row r="15" ht="75.0" customHeight="1">
      <c r="A15" s="72"/>
      <c r="B15" s="73"/>
      <c r="C15" s="74"/>
      <c r="D15" s="73"/>
      <c r="E15" s="73"/>
      <c r="F15" s="35" t="str">
        <f>IFERROR(__xludf.DUMMYFUNCTION("IF(A15="""","""",IMAGE(QUERY('Deck Info'!A:F,""SELECT D WHERE A = '""&amp;B15&amp;""' AND B = '""&amp;C15&amp;""'"")))"),"")</f>
        <v/>
      </c>
      <c r="G15" s="35" t="str">
        <f>IFERROR(__xludf.DUMMYFUNCTION("IF(A15="""","""",IMAGE(QUERY('Deck Info'!A:F,""SELECT E WHERE A = '""&amp;B15&amp;""' AND B = '""&amp;C15&amp;""'"")))"),"")</f>
        <v/>
      </c>
      <c r="H15" s="75" t="str">
        <f>IFERROR(__xludf.DUMMYFUNCTION("IF(A15="""","""",IMAGE(QUERY('Deck Info'!A:F,""SELECT F WHERE A = '""&amp;B15&amp;""' AND B = '""&amp;C15&amp;""'"")))"),"")</f>
        <v/>
      </c>
      <c r="I15" s="79" t="str">
        <f>IFERROR(__xludf.DUMMYFUNCTION("""COMPUTED_VALUE"""),"SoulQualia")</f>
        <v>SoulQualia</v>
      </c>
      <c r="J15" s="73" t="str">
        <f>IFERROR(__xludf.DUMMYFUNCTION("""COMPUTED_VALUE"""),"EIS")</f>
        <v>EIS</v>
      </c>
      <c r="K15" s="74" t="str">
        <f>IFERROR(__xludf.DUMMYFUNCTION("""COMPUTED_VALUE"""),"8 Standby")</f>
        <v>8 Standby</v>
      </c>
      <c r="L15" s="73">
        <f>IFERROR(__xludf.DUMMYFUNCTION("""COMPUTED_VALUE"""),1.0)</f>
        <v>1</v>
      </c>
      <c r="M15" s="73">
        <f>IFERROR(__xludf.DUMMYFUNCTION("""COMPUTED_VALUE"""),3.0)</f>
        <v>3</v>
      </c>
      <c r="N15" s="77" t="str">
        <f>IFERROR(__xludf.DUMMYFUNCTION("IF(I15="""","""",IMAGE(QUERY('Deck Info'!A:F,""SELECT D WHERE A = '""&amp;J15&amp;""' AND B = '""&amp;K15&amp;""'"")))"),"")</f>
        <v/>
      </c>
      <c r="O15" s="77" t="str">
        <f>IFERROR(__xludf.DUMMYFUNCTION("IF(I15="""","""",IMAGE(QUERY('Deck Info'!A:F,""SELECT E WHERE A = '""&amp;J15&amp;""' AND B = '""&amp;K15&amp;""'"")))"),"")</f>
        <v/>
      </c>
      <c r="P15" s="78" t="str">
        <f>IFERROR(__xludf.DUMMYFUNCTION("IF(I15="""","""",IMAGE(QUERY('Deck Info'!A:F,""SELECT F WHERE A = '""&amp;J15&amp;""' AND B = '""&amp;K15&amp;""'"")))"),"")</f>
        <v/>
      </c>
      <c r="Q15" s="79"/>
      <c r="R15" s="73"/>
      <c r="S15" s="74"/>
      <c r="T15" s="73"/>
      <c r="U15" s="73"/>
      <c r="V15" s="35" t="str">
        <f>IFERROR(__xludf.DUMMYFUNCTION("IF(Q15="""","""",IMAGE(QUERY('Deck Info'!A:F,""SELECT D WHERE A = '""&amp;R15&amp;""' AND B = '""&amp;S15&amp;""'"")))"),"")</f>
        <v/>
      </c>
      <c r="W15" s="35" t="str">
        <f>IFERROR(__xludf.DUMMYFUNCTION("IF(Q15="""","""",IMAGE(QUERY('Deck Info'!A:F,""SELECT E WHERE A = '""&amp;R15&amp;""' AND B = '""&amp;S15&amp;""'"")))"),"")</f>
        <v/>
      </c>
      <c r="X15" s="75" t="str">
        <f>IFERROR(__xludf.DUMMYFUNCTION("IF(Q15="""","""",IMAGE(QUERY('Deck Info'!A:F,""SELECT F WHERE A = '""&amp;R15&amp;""' AND B = '""&amp;S15&amp;""'"")))"),"")</f>
        <v/>
      </c>
      <c r="Y15" s="79"/>
      <c r="Z15" s="73"/>
      <c r="AA15" s="74"/>
      <c r="AB15" s="73"/>
      <c r="AC15" s="73"/>
      <c r="AD15" s="35" t="str">
        <f>IFERROR(__xludf.DUMMYFUNCTION("IF(Y15="""","""",IMAGE(QUERY('Deck Info'!A:F,""SELECT D WHERE A = '""&amp;Z15&amp;""' AND B = '""&amp;AA15&amp;""'"")))"),"")</f>
        <v/>
      </c>
      <c r="AE15" s="35" t="str">
        <f>IFERROR(__xludf.DUMMYFUNCTION("IF(Y15="""","""",IMAGE(QUERY('Deck Info'!A:F,""SELECT E WHERE A = '""&amp;Z15&amp;""' AND B = '""&amp;AA15&amp;""'"")))"),"")</f>
        <v/>
      </c>
      <c r="AF15" s="75" t="str">
        <f>IFERROR(__xludf.DUMMYFUNCTION("IF(Y15="""","""",IMAGE(QUERY('Deck Info'!A:F,""SELECT F WHERE A = '""&amp;Z15&amp;""' AND B = '""&amp;AA15&amp;""'"")))"),"")</f>
        <v/>
      </c>
      <c r="AG15" s="79"/>
      <c r="AH15" s="73"/>
      <c r="AI15" s="74"/>
      <c r="AJ15" s="73"/>
      <c r="AK15" s="73"/>
      <c r="AL15" s="35" t="str">
        <f>IFERROR(__xludf.DUMMYFUNCTION("IF(AG15="""","""",IMAGE(QUERY('Deck Info'!I:N,""SELECT D WHERE A = '""&amp;AH15&amp;""' AND B = '""&amp;AI15&amp;""'"")))"),"")</f>
        <v/>
      </c>
      <c r="AM15" s="35" t="str">
        <f>IFERROR(__xludf.DUMMYFUNCTION("IF(AG15="""","""",IMAGE(QUERY('Deck Info'!I:N,""SELECT E WHERE A = '""&amp;AH15&amp;""' AND B = '""&amp;AI15&amp;""'"")))"),"")</f>
        <v/>
      </c>
      <c r="AN15" s="75" t="str">
        <f>IFERROR(__xludf.DUMMYFUNCTION("IF(AG15="""","""",IMAGE(QUERY('Deck Info'!I:N,""SELECT F WHERE A = '""&amp;AH15&amp;""' AND B = '""&amp;AI15&amp;""'"")))"),"")</f>
        <v/>
      </c>
    </row>
    <row r="16" ht="75.0" customHeight="1">
      <c r="A16" s="72"/>
      <c r="B16" s="73"/>
      <c r="C16" s="74"/>
      <c r="D16" s="73"/>
      <c r="E16" s="73"/>
      <c r="F16" s="35" t="str">
        <f>IFERROR(__xludf.DUMMYFUNCTION("IF(A16="""","""",IMAGE(QUERY('Deck Info'!A:F,""SELECT D WHERE A = '""&amp;B16&amp;""' AND B = '""&amp;C16&amp;""'"")))"),"")</f>
        <v/>
      </c>
      <c r="G16" s="35" t="str">
        <f>IFERROR(__xludf.DUMMYFUNCTION("IF(A16="""","""",IMAGE(QUERY('Deck Info'!A:F,""SELECT E WHERE A = '""&amp;B16&amp;""' AND B = '""&amp;C16&amp;""'"")))"),"")</f>
        <v/>
      </c>
      <c r="H16" s="75" t="str">
        <f>IFERROR(__xludf.DUMMYFUNCTION("IF(A16="""","""",IMAGE(QUERY('Deck Info'!A:F,""SELECT F WHERE A = '""&amp;B16&amp;""' AND B = '""&amp;C16&amp;""'"")))"),"")</f>
        <v/>
      </c>
      <c r="I16" s="79" t="str">
        <f>IFERROR(__xludf.DUMMYFUNCTION("""COMPUTED_VALUE"""),"Kartoffel")</f>
        <v>Kartoffel</v>
      </c>
      <c r="J16" s="73" t="str">
        <f>IFERROR(__xludf.DUMMYFUNCTION("""COMPUTED_VALUE"""),"MKI")</f>
        <v>MKI</v>
      </c>
      <c r="K16" s="74" t="str">
        <f>IFERROR(__xludf.DUMMYFUNCTION("""COMPUTED_VALUE"""),"8 Door")</f>
        <v>8 Door</v>
      </c>
      <c r="L16" s="73">
        <f>IFERROR(__xludf.DUMMYFUNCTION("""COMPUTED_VALUE"""),1.0)</f>
        <v>1</v>
      </c>
      <c r="M16" s="73">
        <f>IFERROR(__xludf.DUMMYFUNCTION("""COMPUTED_VALUE"""),3.0)</f>
        <v>3</v>
      </c>
      <c r="N16" s="77" t="str">
        <f>IFERROR(__xludf.DUMMYFUNCTION("IF(I16="""","""",IMAGE(QUERY('Deck Info'!A:F,""SELECT D WHERE A = '""&amp;J16&amp;""' AND B = '""&amp;K16&amp;""'"")))"),"")</f>
        <v/>
      </c>
      <c r="O16" s="77" t="str">
        <f>IFERROR(__xludf.DUMMYFUNCTION("IF(I16="""","""",IMAGE(QUERY('Deck Info'!A:F,""SELECT E WHERE A = '""&amp;J16&amp;""' AND B = '""&amp;K16&amp;""'"")))"),"")</f>
        <v/>
      </c>
      <c r="P16" s="78" t="str">
        <f>IFERROR(__xludf.DUMMYFUNCTION("IF(I16="""","""",IMAGE(QUERY('Deck Info'!A:F,""SELECT F WHERE A = '""&amp;J16&amp;""' AND B = '""&amp;K16&amp;""'"")))"),"")</f>
        <v/>
      </c>
      <c r="Q16" s="79"/>
      <c r="R16" s="73"/>
      <c r="S16" s="74"/>
      <c r="T16" s="73"/>
      <c r="U16" s="73"/>
      <c r="V16" s="35" t="str">
        <f>IFERROR(__xludf.DUMMYFUNCTION("IF(Q16="""","""",IMAGE(QUERY('Deck Info'!A:F,""SELECT D WHERE A = '""&amp;R16&amp;""' AND B = '""&amp;S16&amp;""'"")))"),"")</f>
        <v/>
      </c>
      <c r="W16" s="35" t="str">
        <f>IFERROR(__xludf.DUMMYFUNCTION("IF(Q16="""","""",IMAGE(QUERY('Deck Info'!A:F,""SELECT E WHERE A = '""&amp;R16&amp;""' AND B = '""&amp;S16&amp;""'"")))"),"")</f>
        <v/>
      </c>
      <c r="X16" s="75" t="str">
        <f>IFERROR(__xludf.DUMMYFUNCTION("IF(Q16="""","""",IMAGE(QUERY('Deck Info'!A:F,""SELECT F WHERE A = '""&amp;R16&amp;""' AND B = '""&amp;S16&amp;""'"")))"),"")</f>
        <v/>
      </c>
      <c r="Y16" s="79"/>
      <c r="Z16" s="73"/>
      <c r="AA16" s="74"/>
      <c r="AB16" s="73"/>
      <c r="AC16" s="73"/>
      <c r="AD16" s="35" t="str">
        <f>IFERROR(__xludf.DUMMYFUNCTION("IF(Y16="""","""",IMAGE(QUERY('Deck Info'!A:F,""SELECT D WHERE A = '""&amp;Z16&amp;""' AND B = '""&amp;AA16&amp;""'"")))"),"")</f>
        <v/>
      </c>
      <c r="AE16" s="35" t="str">
        <f>IFERROR(__xludf.DUMMYFUNCTION("IF(Y16="""","""",IMAGE(QUERY('Deck Info'!A:F,""SELECT E WHERE A = '""&amp;Z16&amp;""' AND B = '""&amp;AA16&amp;""'"")))"),"")</f>
        <v/>
      </c>
      <c r="AF16" s="75" t="str">
        <f>IFERROR(__xludf.DUMMYFUNCTION("IF(Y16="""","""",IMAGE(QUERY('Deck Info'!A:F,""SELECT F WHERE A = '""&amp;Z16&amp;""' AND B = '""&amp;AA16&amp;""'"")))"),"")</f>
        <v/>
      </c>
      <c r="AG16" s="79"/>
      <c r="AH16" s="73"/>
      <c r="AI16" s="74"/>
      <c r="AJ16" s="73"/>
      <c r="AK16" s="73"/>
      <c r="AL16" s="35" t="str">
        <f>IFERROR(__xludf.DUMMYFUNCTION("IF(AG16="""","""",IMAGE(QUERY('Deck Info'!I:N,""SELECT D WHERE A = '""&amp;AH16&amp;""' AND B = '""&amp;AI16&amp;""'"")))"),"")</f>
        <v/>
      </c>
      <c r="AM16" s="35" t="str">
        <f>IFERROR(__xludf.DUMMYFUNCTION("IF(AG16="""","""",IMAGE(QUERY('Deck Info'!I:N,""SELECT E WHERE A = '""&amp;AH16&amp;""' AND B = '""&amp;AI16&amp;""'"")))"),"")</f>
        <v/>
      </c>
      <c r="AN16" s="75" t="str">
        <f>IFERROR(__xludf.DUMMYFUNCTION("IF(AG16="""","""",IMAGE(QUERY('Deck Info'!I:N,""SELECT F WHERE A = '""&amp;AH16&amp;""' AND B = '""&amp;AI16&amp;""'"")))"),"")</f>
        <v/>
      </c>
    </row>
    <row r="17" ht="75.0" customHeight="1">
      <c r="A17" s="72"/>
      <c r="B17" s="73"/>
      <c r="C17" s="74"/>
      <c r="D17" s="73"/>
      <c r="E17" s="73"/>
      <c r="F17" s="35" t="str">
        <f>IFERROR(__xludf.DUMMYFUNCTION("IF(A17="""","""",IMAGE(QUERY('Deck Info'!A:F,""SELECT D WHERE A = '""&amp;B17&amp;""' AND B = '""&amp;C17&amp;""'"")))"),"")</f>
        <v/>
      </c>
      <c r="G17" s="35" t="str">
        <f>IFERROR(__xludf.DUMMYFUNCTION("IF(A17="""","""",IMAGE(QUERY('Deck Info'!A:F,""SELECT E WHERE A = '""&amp;B17&amp;""' AND B = '""&amp;C17&amp;""'"")))"),"")</f>
        <v/>
      </c>
      <c r="H17" s="75" t="str">
        <f>IFERROR(__xludf.DUMMYFUNCTION("IF(A17="""","""",IMAGE(QUERY('Deck Info'!A:F,""SELECT F WHERE A = '""&amp;B17&amp;""' AND B = '""&amp;C17&amp;""'"")))"),"")</f>
        <v/>
      </c>
      <c r="I17" s="79" t="str">
        <f>IFERROR(__xludf.DUMMYFUNCTION("""COMPUTED_VALUE"""),"Alcruz23")</f>
        <v>Alcruz23</v>
      </c>
      <c r="J17" s="73" t="str">
        <f>IFERROR(__xludf.DUMMYFUNCTION("""COMPUTED_VALUE"""),"PJS")</f>
        <v>PJS</v>
      </c>
      <c r="K17" s="74" t="str">
        <f>IFERROR(__xludf.DUMMYFUNCTION("""COMPUTED_VALUE"""),"8 Bar")</f>
        <v>8 Bar</v>
      </c>
      <c r="L17" s="73">
        <f>IFERROR(__xludf.DUMMYFUNCTION("""COMPUTED_VALUE"""),0.0)</f>
        <v>0</v>
      </c>
      <c r="M17" s="73">
        <f>IFERROR(__xludf.DUMMYFUNCTION("""COMPUTED_VALUE"""),4.0)</f>
        <v>4</v>
      </c>
      <c r="N17" s="77" t="str">
        <f>IFERROR(__xludf.DUMMYFUNCTION("IF(I17="""","""",IMAGE(QUERY('Deck Info'!A:F,""SELECT D WHERE A = '""&amp;J17&amp;""' AND B = '""&amp;K17&amp;""'"")))"),"")</f>
        <v/>
      </c>
      <c r="O17" s="77" t="str">
        <f>IFERROR(__xludf.DUMMYFUNCTION("IF(I17="""","""",IMAGE(QUERY('Deck Info'!A:F,""SELECT E WHERE A = '""&amp;J17&amp;""' AND B = '""&amp;K17&amp;""'"")))"),"")</f>
        <v/>
      </c>
      <c r="P17" s="78" t="str">
        <f>IFERROR(__xludf.DUMMYFUNCTION("IF(I17="""","""",IMAGE(QUERY('Deck Info'!A:F,""SELECT F WHERE A = '""&amp;J17&amp;""' AND B = '""&amp;K17&amp;""'"")))"),"")</f>
        <v/>
      </c>
      <c r="Q17" s="79"/>
      <c r="R17" s="73"/>
      <c r="S17" s="74"/>
      <c r="T17" s="73"/>
      <c r="U17" s="73"/>
      <c r="V17" s="35" t="str">
        <f>IFERROR(__xludf.DUMMYFUNCTION("IF(Q17="""","""",IMAGE(QUERY('Deck Info'!A:F,""SELECT D WHERE A = '""&amp;R17&amp;""' AND B = '""&amp;S17&amp;""'"")))"),"")</f>
        <v/>
      </c>
      <c r="W17" s="35" t="str">
        <f>IFERROR(__xludf.DUMMYFUNCTION("IF(Q17="""","""",IMAGE(QUERY('Deck Info'!A:F,""SELECT E WHERE A = '""&amp;R17&amp;""' AND B = '""&amp;S17&amp;""'"")))"),"")</f>
        <v/>
      </c>
      <c r="X17" s="75" t="str">
        <f>IFERROR(__xludf.DUMMYFUNCTION("IF(Q17="""","""",IMAGE(QUERY('Deck Info'!A:F,""SELECT F WHERE A = '""&amp;R17&amp;""' AND B = '""&amp;S17&amp;""'"")))"),"")</f>
        <v/>
      </c>
      <c r="Y17" s="79"/>
      <c r="Z17" s="73"/>
      <c r="AA17" s="74"/>
      <c r="AB17" s="73"/>
      <c r="AC17" s="73"/>
      <c r="AD17" s="35" t="str">
        <f>IFERROR(__xludf.DUMMYFUNCTION("IF(Y17="""","""",IMAGE(QUERY('Deck Info'!A:F,""SELECT D WHERE A = '""&amp;Z17&amp;""' AND B = '""&amp;AA17&amp;""'"")))"),"")</f>
        <v/>
      </c>
      <c r="AE17" s="35" t="str">
        <f>IFERROR(__xludf.DUMMYFUNCTION("IF(Y17="""","""",IMAGE(QUERY('Deck Info'!A:F,""SELECT E WHERE A = '""&amp;Z17&amp;""' AND B = '""&amp;AA17&amp;""'"")))"),"")</f>
        <v/>
      </c>
      <c r="AF17" s="75" t="str">
        <f>IFERROR(__xludf.DUMMYFUNCTION("IF(Y17="""","""",IMAGE(QUERY('Deck Info'!A:F,""SELECT F WHERE A = '""&amp;Z17&amp;""' AND B = '""&amp;AA17&amp;""'"")))"),"")</f>
        <v/>
      </c>
      <c r="AG17" s="79"/>
      <c r="AH17" s="73"/>
      <c r="AI17" s="74"/>
      <c r="AJ17" s="73"/>
      <c r="AK17" s="73"/>
      <c r="AL17" s="35" t="str">
        <f>IFERROR(__xludf.DUMMYFUNCTION("IF(AG17="""","""",IMAGE(QUERY('Deck Info'!I:N,""SELECT D WHERE A = '""&amp;AH17&amp;""' AND B = '""&amp;AI17&amp;""'"")))"),"")</f>
        <v/>
      </c>
      <c r="AM17" s="35" t="str">
        <f>IFERROR(__xludf.DUMMYFUNCTION("IF(AG17="""","""",IMAGE(QUERY('Deck Info'!I:N,""SELECT E WHERE A = '""&amp;AH17&amp;""' AND B = '""&amp;AI17&amp;""'"")))"),"")</f>
        <v/>
      </c>
      <c r="AN17" s="75" t="str">
        <f>IFERROR(__xludf.DUMMYFUNCTION("IF(AG17="""","""",IMAGE(QUERY('Deck Info'!I:N,""SELECT F WHERE A = '""&amp;AH17&amp;""' AND B = '""&amp;AI17&amp;""'"")))"),"")</f>
        <v/>
      </c>
    </row>
    <row r="18" ht="75.0" customHeight="1">
      <c r="A18" s="72"/>
      <c r="B18" s="73"/>
      <c r="C18" s="74"/>
      <c r="D18" s="73"/>
      <c r="E18" s="73"/>
      <c r="F18" s="35" t="str">
        <f>IFERROR(__xludf.DUMMYFUNCTION("IF(A18="""","""",IMAGE(QUERY('Deck Info'!A:F,""SELECT D WHERE A = '""&amp;B18&amp;""' AND B = '""&amp;C18&amp;""'"")))"),"")</f>
        <v/>
      </c>
      <c r="G18" s="35" t="str">
        <f>IFERROR(__xludf.DUMMYFUNCTION("IF(A18="""","""",IMAGE(QUERY('Deck Info'!A:F,""SELECT E WHERE A = '""&amp;B18&amp;""' AND B = '""&amp;C18&amp;""'"")))"),"")</f>
        <v/>
      </c>
      <c r="H18" s="75" t="str">
        <f>IFERROR(__xludf.DUMMYFUNCTION("IF(A18="""","""",IMAGE(QUERY('Deck Info'!A:F,""SELECT F WHERE A = '""&amp;B18&amp;""' AND B = '""&amp;C18&amp;""'"")))"),"")</f>
        <v/>
      </c>
      <c r="I18" s="79"/>
      <c r="J18" s="73"/>
      <c r="K18" s="74"/>
      <c r="L18" s="73"/>
      <c r="M18" s="73"/>
      <c r="N18" s="77" t="str">
        <f>IFERROR(__xludf.DUMMYFUNCTION("IF(I18="""","""",IMAGE(QUERY('Deck Info'!A:F,""SELECT D WHERE A = '""&amp;J18&amp;""' AND B = '""&amp;K18&amp;""'"")))"),"")</f>
        <v/>
      </c>
      <c r="O18" s="77" t="str">
        <f>IFERROR(__xludf.DUMMYFUNCTION("IF(I18="""","""",IMAGE(QUERY('Deck Info'!A:F,""SELECT E WHERE A = '""&amp;J18&amp;""' AND B = '""&amp;K18&amp;""'"")))"),"")</f>
        <v/>
      </c>
      <c r="P18" s="78" t="str">
        <f>IFERROR(__xludf.DUMMYFUNCTION("IF(I18="""","""",IMAGE(QUERY('Deck Info'!A:F,""SELECT F WHERE A = '""&amp;J18&amp;""' AND B = '""&amp;K18&amp;""'"")))"),"")</f>
        <v/>
      </c>
      <c r="Q18" s="79"/>
      <c r="R18" s="73"/>
      <c r="S18" s="74"/>
      <c r="T18" s="73"/>
      <c r="U18" s="73"/>
      <c r="V18" s="35" t="str">
        <f>IFERROR(__xludf.DUMMYFUNCTION("IF(Q18="""","""",IMAGE(QUERY('Deck Info'!A:F,""SELECT D WHERE A = '""&amp;R18&amp;""' AND B = '""&amp;S18&amp;""'"")))"),"")</f>
        <v/>
      </c>
      <c r="W18" s="35" t="str">
        <f>IFERROR(__xludf.DUMMYFUNCTION("IF(Q18="""","""",IMAGE(QUERY('Deck Info'!A:F,""SELECT E WHERE A = '""&amp;R18&amp;""' AND B = '""&amp;S18&amp;""'"")))"),"")</f>
        <v/>
      </c>
      <c r="X18" s="75" t="str">
        <f>IFERROR(__xludf.DUMMYFUNCTION("IF(Q18="""","""",IMAGE(QUERY('Deck Info'!A:F,""SELECT F WHERE A = '""&amp;R18&amp;""' AND B = '""&amp;S18&amp;""'"")))"),"")</f>
        <v/>
      </c>
      <c r="Y18" s="79"/>
      <c r="Z18" s="73"/>
      <c r="AA18" s="74"/>
      <c r="AB18" s="73"/>
      <c r="AC18" s="73"/>
      <c r="AD18" s="35" t="str">
        <f>IFERROR(__xludf.DUMMYFUNCTION("IF(Y18="""","""",IMAGE(QUERY('Deck Info'!A:F,""SELECT D WHERE A = '""&amp;Z18&amp;""' AND B = '""&amp;AA18&amp;""'"")))"),"")</f>
        <v/>
      </c>
      <c r="AE18" s="35" t="str">
        <f>IFERROR(__xludf.DUMMYFUNCTION("IF(Y18="""","""",IMAGE(QUERY('Deck Info'!A:F,""SELECT E WHERE A = '""&amp;Z18&amp;""' AND B = '""&amp;AA18&amp;""'"")))"),"")</f>
        <v/>
      </c>
      <c r="AF18" s="75" t="str">
        <f>IFERROR(__xludf.DUMMYFUNCTION("IF(Y18="""","""",IMAGE(QUERY('Deck Info'!A:F,""SELECT F WHERE A = '""&amp;Z18&amp;""' AND B = '""&amp;AA18&amp;""'"")))"),"")</f>
        <v/>
      </c>
      <c r="AG18" s="79"/>
      <c r="AH18" s="73"/>
      <c r="AI18" s="74"/>
      <c r="AJ18" s="73"/>
      <c r="AK18" s="73"/>
      <c r="AL18" s="35" t="str">
        <f>IFERROR(__xludf.DUMMYFUNCTION("IF(AG18="""","""",IMAGE(QUERY('Deck Info'!I:N,""SELECT D WHERE A = '""&amp;AH18&amp;""' AND B = '""&amp;AI18&amp;""'"")))"),"")</f>
        <v/>
      </c>
      <c r="AM18" s="35" t="str">
        <f>IFERROR(__xludf.DUMMYFUNCTION("IF(AG18="""","""",IMAGE(QUERY('Deck Info'!I:N,""SELECT E WHERE A = '""&amp;AH18&amp;""' AND B = '""&amp;AI18&amp;""'"")))"),"")</f>
        <v/>
      </c>
      <c r="AN18" s="75" t="str">
        <f>IFERROR(__xludf.DUMMYFUNCTION("IF(AG18="""","""",IMAGE(QUERY('Deck Info'!I:N,""SELECT F WHERE A = '""&amp;AH18&amp;""' AND B = '""&amp;AI18&amp;""'"")))"),"")</f>
        <v/>
      </c>
    </row>
    <row r="19" ht="75.0" customHeight="1">
      <c r="A19" s="80"/>
      <c r="H19" s="81"/>
      <c r="I19" s="79"/>
      <c r="J19" s="82"/>
      <c r="K19" s="83"/>
      <c r="L19" s="82"/>
      <c r="M19" s="82"/>
      <c r="N19" s="77" t="str">
        <f>IFERROR(__xludf.DUMMYFUNCTION("IF(I19="""","""",IMAGE(QUERY('Deck Info'!A:F,""SELECT D WHERE A = '""&amp;J19&amp;""' AND B = '""&amp;K19&amp;""'"")))"),"")</f>
        <v/>
      </c>
      <c r="O19" s="77" t="str">
        <f>IFERROR(__xludf.DUMMYFUNCTION("IF(I19="""","""",IMAGE(QUERY('Deck Info'!A:F,""SELECT E WHERE A = '""&amp;J19&amp;""' AND B = '""&amp;K19&amp;""'"")))"),"")</f>
        <v/>
      </c>
      <c r="P19" s="78" t="str">
        <f>IFERROR(__xludf.DUMMYFUNCTION("IF(I19="""","""",IMAGE(QUERY('Deck Info'!A:F,""SELECT F WHERE A = '""&amp;J19&amp;""' AND B = '""&amp;K19&amp;""'"")))"),"")</f>
        <v/>
      </c>
      <c r="Q19" s="79"/>
      <c r="R19" s="82"/>
      <c r="S19" s="83"/>
      <c r="T19" s="82"/>
      <c r="U19" s="82"/>
      <c r="V19" s="35" t="str">
        <f>IFERROR(__xludf.DUMMYFUNCTION("IF(Q19="""","""",IMAGE(QUERY('Deck Info'!A:F,""SELECT D WHERE A = '""&amp;R19&amp;""' AND B = '""&amp;S19&amp;""'"")))"),"")</f>
        <v/>
      </c>
      <c r="W19" s="35" t="str">
        <f>IFERROR(__xludf.DUMMYFUNCTION("IF(Q19="""","""",IMAGE(QUERY('Deck Info'!A:F,""SELECT E WHERE A = '""&amp;R19&amp;""' AND B = '""&amp;S19&amp;""'"")))"),"")</f>
        <v/>
      </c>
      <c r="X19" s="75" t="str">
        <f>IFERROR(__xludf.DUMMYFUNCTION("IF(Q19="""","""",IMAGE(QUERY('Deck Info'!A:F,""SELECT F WHERE A = '""&amp;R19&amp;""' AND B = '""&amp;S19&amp;""'"")))"),"")</f>
        <v/>
      </c>
      <c r="Y19" s="79"/>
      <c r="Z19" s="82"/>
      <c r="AA19" s="83"/>
      <c r="AB19" s="82"/>
      <c r="AC19" s="82"/>
      <c r="AD19" s="35" t="str">
        <f>IFERROR(__xludf.DUMMYFUNCTION("IF(Y19="""","""",IMAGE(QUERY('Deck Info'!A:F,""SELECT D WHERE A = '""&amp;Z19&amp;""' AND B = '""&amp;AA19&amp;""'"")))"),"")</f>
        <v/>
      </c>
      <c r="AE19" s="35" t="str">
        <f>IFERROR(__xludf.DUMMYFUNCTION("IF(Y19="""","""",IMAGE(QUERY('Deck Info'!A:F,""SELECT E WHERE A = '""&amp;Z19&amp;""' AND B = '""&amp;AA19&amp;""'"")))"),"")</f>
        <v/>
      </c>
      <c r="AF19" s="75" t="str">
        <f>IFERROR(__xludf.DUMMYFUNCTION("IF(Y19="""","""",IMAGE(QUERY('Deck Info'!A:F,""SELECT F WHERE A = '""&amp;Z19&amp;""' AND B = '""&amp;AA19&amp;""'"")))"),"")</f>
        <v/>
      </c>
      <c r="AG19" s="79"/>
      <c r="AH19" s="82"/>
      <c r="AI19" s="83"/>
      <c r="AJ19" s="82"/>
      <c r="AK19" s="82"/>
      <c r="AL19" s="35" t="str">
        <f>IFERROR(__xludf.DUMMYFUNCTION("IF(AG19="""","""",IMAGE(QUERY('Deck Info'!I:N,""SELECT D WHERE A = '""&amp;AH19&amp;""' AND B = '""&amp;AI19&amp;""'"")))"),"")</f>
        <v/>
      </c>
      <c r="AM19" s="35" t="str">
        <f>IFERROR(__xludf.DUMMYFUNCTION("IF(AG19="""","""",IMAGE(QUERY('Deck Info'!I:N,""SELECT E WHERE A = '""&amp;AH19&amp;""' AND B = '""&amp;AI19&amp;""'"")))"),"")</f>
        <v/>
      </c>
      <c r="AN19" s="75" t="str">
        <f>IFERROR(__xludf.DUMMYFUNCTION("IF(AG19="""","""",IMAGE(QUERY('Deck Info'!I:N,""SELECT F WHERE A = '""&amp;AH19&amp;""' AND B = '""&amp;AI19&amp;""'"")))"),"")</f>
        <v/>
      </c>
    </row>
    <row r="20" ht="75.0" customHeight="1">
      <c r="A20" s="80"/>
      <c r="H20" s="81"/>
      <c r="I20" s="79"/>
      <c r="J20" s="82"/>
      <c r="K20" s="83"/>
      <c r="L20" s="82"/>
      <c r="M20" s="82"/>
      <c r="N20" s="77" t="str">
        <f>IFERROR(__xludf.DUMMYFUNCTION("IF(I20="""","""",IMAGE(QUERY('Deck Info'!A:F,""SELECT D WHERE A = '""&amp;J20&amp;""' AND B = '""&amp;K20&amp;""'"")))"),"")</f>
        <v/>
      </c>
      <c r="O20" s="77" t="str">
        <f>IFERROR(__xludf.DUMMYFUNCTION("IF(I20="""","""",IMAGE(QUERY('Deck Info'!A:F,""SELECT E WHERE A = '""&amp;J20&amp;""' AND B = '""&amp;K20&amp;""'"")))"),"")</f>
        <v/>
      </c>
      <c r="P20" s="78" t="str">
        <f>IFERROR(__xludf.DUMMYFUNCTION("IF(I20="""","""",IMAGE(QUERY('Deck Info'!A:F,""SELECT F WHERE A = '""&amp;J20&amp;""' AND B = '""&amp;K20&amp;""'"")))"),"")</f>
        <v/>
      </c>
      <c r="Q20" s="79"/>
      <c r="R20" s="82"/>
      <c r="S20" s="83"/>
      <c r="T20" s="82"/>
      <c r="U20" s="82"/>
      <c r="V20" s="35" t="str">
        <f>IFERROR(__xludf.DUMMYFUNCTION("IF(Q20="""","""",IMAGE(QUERY('Deck Info'!I:N,""SELECT D WHERE A = '""&amp;R20&amp;""' AND B = '""&amp;S20&amp;""'"")))"),"")</f>
        <v/>
      </c>
      <c r="W20" s="35" t="str">
        <f>IFERROR(__xludf.DUMMYFUNCTION("IF(Q20="""","""",IMAGE(QUERY('Deck Info'!I:N,""SELECT E WHERE A = '""&amp;R20&amp;""' AND B = '""&amp;S20&amp;""'"")))"),"")</f>
        <v/>
      </c>
      <c r="X20" s="75" t="str">
        <f>IFERROR(__xludf.DUMMYFUNCTION("IF(Q20="""","""",IMAGE(QUERY('Deck Info'!I:N,""SELECT F WHERE A = '""&amp;R20&amp;""' AND B = '""&amp;S20&amp;""'"")))"),"")</f>
        <v/>
      </c>
      <c r="Y20" s="79"/>
      <c r="Z20" s="82"/>
      <c r="AA20" s="83"/>
      <c r="AB20" s="82"/>
      <c r="AC20" s="82"/>
      <c r="AD20" s="35" t="str">
        <f>IFERROR(__xludf.DUMMYFUNCTION("IF(Y20="""","""",IMAGE(QUERY('Deck Info'!A:F,""SELECT D WHERE A = '""&amp;Z20&amp;""' AND B = '""&amp;AA20&amp;""'"")))"),"")</f>
        <v/>
      </c>
      <c r="AE20" s="35" t="str">
        <f>IFERROR(__xludf.DUMMYFUNCTION("IF(Y20="""","""",IMAGE(QUERY('Deck Info'!A:F,""SELECT E WHERE A = '""&amp;Z20&amp;""' AND B = '""&amp;AA20&amp;""'"")))"),"")</f>
        <v/>
      </c>
      <c r="AF20" s="75" t="str">
        <f>IFERROR(__xludf.DUMMYFUNCTION("IF(Y20="""","""",IMAGE(QUERY('Deck Info'!A:F,""SELECT F WHERE A = '""&amp;Z20&amp;""' AND B = '""&amp;AA20&amp;""'"")))"),"")</f>
        <v/>
      </c>
      <c r="AG20" s="79"/>
      <c r="AH20" s="82"/>
      <c r="AI20" s="83"/>
      <c r="AJ20" s="82"/>
      <c r="AK20" s="82"/>
      <c r="AL20" s="35" t="str">
        <f>IFERROR(__xludf.DUMMYFUNCTION("IF(AG20="""","""",IMAGE(QUERY('Deck Info'!I:N,""SELECT D WHERE A = '""&amp;AH20&amp;""' AND B = '""&amp;AI20&amp;""'"")))"),"")</f>
        <v/>
      </c>
      <c r="AM20" s="35" t="str">
        <f>IFERROR(__xludf.DUMMYFUNCTION("IF(AG20="""","""",IMAGE(QUERY('Deck Info'!I:N,""SELECT E WHERE A = '""&amp;AH20&amp;""' AND B = '""&amp;AI20&amp;""'"")))"),"")</f>
        <v/>
      </c>
      <c r="AN20" s="75" t="str">
        <f>IFERROR(__xludf.DUMMYFUNCTION("IF(AG20="""","""",IMAGE(QUERY('Deck Info'!I:N,""SELECT F WHERE A = '""&amp;AH20&amp;""' AND B = '""&amp;AI20&amp;""'"")))"),"")</f>
        <v/>
      </c>
    </row>
    <row r="21" ht="75.0" customHeight="1">
      <c r="A21" s="80"/>
      <c r="H21" s="81"/>
      <c r="I21" s="79"/>
      <c r="J21" s="82"/>
      <c r="K21" s="83"/>
      <c r="L21" s="82"/>
      <c r="M21" s="82"/>
      <c r="N21" s="77" t="str">
        <f>IFERROR(__xludf.DUMMYFUNCTION("IF(I21="""","""",IMAGE(QUERY('Deck Info'!A:F,""SELECT D WHERE A = '""&amp;J21&amp;""' AND B = '""&amp;K21&amp;""'"")))"),"")</f>
        <v/>
      </c>
      <c r="O21" s="77" t="str">
        <f>IFERROR(__xludf.DUMMYFUNCTION("IF(I21="""","""",IMAGE(QUERY('Deck Info'!A:F,""SELECT E WHERE A = '""&amp;J21&amp;""' AND B = '""&amp;K21&amp;""'"")))"),"")</f>
        <v/>
      </c>
      <c r="P21" s="78" t="str">
        <f>IFERROR(__xludf.DUMMYFUNCTION("IF(I21="""","""",IMAGE(QUERY('Deck Info'!A:F,""SELECT F WHERE A = '""&amp;J21&amp;""' AND B = '""&amp;K21&amp;""'"")))"),"")</f>
        <v/>
      </c>
      <c r="Q21" s="79"/>
      <c r="R21" s="82"/>
      <c r="S21" s="83"/>
      <c r="T21" s="82"/>
      <c r="U21" s="82"/>
      <c r="V21" s="35" t="str">
        <f>IFERROR(__xludf.DUMMYFUNCTION("IF(Q21="""","""",IMAGE(QUERY('Deck Info'!I:N,""SELECT D WHERE A = '""&amp;R21&amp;""' AND B = '""&amp;S21&amp;""'"")))"),"")</f>
        <v/>
      </c>
      <c r="W21" s="35" t="str">
        <f>IFERROR(__xludf.DUMMYFUNCTION("IF(Q21="""","""",IMAGE(QUERY('Deck Info'!I:N,""SELECT E WHERE A = '""&amp;R21&amp;""' AND B = '""&amp;S21&amp;""'"")))"),"")</f>
        <v/>
      </c>
      <c r="X21" s="75" t="str">
        <f>IFERROR(__xludf.DUMMYFUNCTION("IF(Q21="""","""",IMAGE(QUERY('Deck Info'!I:N,""SELECT F WHERE A = '""&amp;R21&amp;""' AND B = '""&amp;S21&amp;""'"")))"),"")</f>
        <v/>
      </c>
      <c r="Y21" s="79"/>
      <c r="Z21" s="82"/>
      <c r="AA21" s="83"/>
      <c r="AB21" s="82"/>
      <c r="AC21" s="82"/>
      <c r="AD21" s="35" t="str">
        <f>IFERROR(__xludf.DUMMYFUNCTION("IF(Y21="""","""",IMAGE(QUERY('Deck Info'!A:F,""SELECT D WHERE A = '""&amp;Z21&amp;""' AND B = '""&amp;AA21&amp;""'"")))"),"")</f>
        <v/>
      </c>
      <c r="AE21" s="35" t="str">
        <f>IFERROR(__xludf.DUMMYFUNCTION("IF(Y21="""","""",IMAGE(QUERY('Deck Info'!A:F,""SELECT E WHERE A = '""&amp;Z21&amp;""' AND B = '""&amp;AA21&amp;""'"")))"),"")</f>
        <v/>
      </c>
      <c r="AF21" s="75" t="str">
        <f>IFERROR(__xludf.DUMMYFUNCTION("IF(Y21="""","""",IMAGE(QUERY('Deck Info'!A:F,""SELECT F WHERE A = '""&amp;Z21&amp;""' AND B = '""&amp;AA21&amp;""'"")))"),"")</f>
        <v/>
      </c>
      <c r="AG21" s="79"/>
      <c r="AH21" s="82"/>
      <c r="AI21" s="83"/>
      <c r="AJ21" s="82"/>
      <c r="AK21" s="82"/>
      <c r="AL21" s="35" t="str">
        <f>IFERROR(__xludf.DUMMYFUNCTION("IF(AG21="""","""",IMAGE(QUERY('Deck Info'!I:N,""SELECT D WHERE A = '""&amp;AH21&amp;""' AND B = '""&amp;AI21&amp;""'"")))"),"")</f>
        <v/>
      </c>
      <c r="AM21" s="35" t="str">
        <f>IFERROR(__xludf.DUMMYFUNCTION("IF(AG21="""","""",IMAGE(QUERY('Deck Info'!I:N,""SELECT E WHERE A = '""&amp;AH21&amp;""' AND B = '""&amp;AI21&amp;""'"")))"),"")</f>
        <v/>
      </c>
      <c r="AN21" s="75" t="str">
        <f>IFERROR(__xludf.DUMMYFUNCTION("IF(AG21="""","""",IMAGE(QUERY('Deck Info'!I:N,""SELECT F WHERE A = '""&amp;AH21&amp;""' AND B = '""&amp;AI21&amp;""'"")))"),"")</f>
        <v/>
      </c>
    </row>
    <row r="22" ht="75.0" customHeight="1">
      <c r="A22" s="80"/>
      <c r="H22" s="81"/>
      <c r="I22" s="79"/>
      <c r="J22" s="82"/>
      <c r="K22" s="83"/>
      <c r="L22" s="82"/>
      <c r="M22" s="82"/>
      <c r="N22" s="77" t="str">
        <f>IFERROR(__xludf.DUMMYFUNCTION("IF(I22="""","""",IMAGE(QUERY('Deck Info'!A:F,""SELECT D WHERE A = '""&amp;J22&amp;""' AND B = '""&amp;K22&amp;""'"")))"),"")</f>
        <v/>
      </c>
      <c r="O22" s="77" t="str">
        <f>IFERROR(__xludf.DUMMYFUNCTION("IF(I22="""","""",IMAGE(QUERY('Deck Info'!A:F,""SELECT E WHERE A = '""&amp;J22&amp;""' AND B = '""&amp;K22&amp;""'"")))"),"")</f>
        <v/>
      </c>
      <c r="P22" s="78" t="str">
        <f>IFERROR(__xludf.DUMMYFUNCTION("IF(I22="""","""",IMAGE(QUERY('Deck Info'!A:F,""SELECT F WHERE A = '""&amp;J22&amp;""' AND B = '""&amp;K22&amp;""'"")))"),"")</f>
        <v/>
      </c>
      <c r="Q22" s="79"/>
      <c r="R22" s="82"/>
      <c r="S22" s="83"/>
      <c r="T22" s="82"/>
      <c r="U22" s="82"/>
      <c r="V22" s="35" t="str">
        <f>IFERROR(__xludf.DUMMYFUNCTION("IF(Q22="""","""",IMAGE(QUERY('Deck Info'!I:N,""SELECT D WHERE A = '""&amp;R22&amp;""' AND B = '""&amp;S22&amp;""'"")))"),"")</f>
        <v/>
      </c>
      <c r="W22" s="35" t="str">
        <f>IFERROR(__xludf.DUMMYFUNCTION("IF(Q22="""","""",IMAGE(QUERY('Deck Info'!I:N,""SELECT E WHERE A = '""&amp;R22&amp;""' AND B = '""&amp;S22&amp;""'"")))"),"")</f>
        <v/>
      </c>
      <c r="X22" s="75" t="str">
        <f>IFERROR(__xludf.DUMMYFUNCTION("IF(Q22="""","""",IMAGE(QUERY('Deck Info'!I:N,""SELECT F WHERE A = '""&amp;R22&amp;""' AND B = '""&amp;S22&amp;""'"")))"),"")</f>
        <v/>
      </c>
      <c r="Y22" s="79"/>
      <c r="Z22" s="82"/>
      <c r="AA22" s="83"/>
      <c r="AB22" s="82"/>
      <c r="AC22" s="82"/>
      <c r="AD22" s="35" t="str">
        <f>IFERROR(__xludf.DUMMYFUNCTION("IF(Y22="""","""",IMAGE(QUERY('Deck Info'!A:F,""SELECT D WHERE A = '""&amp;Z22&amp;""' AND B = '""&amp;AA22&amp;""'"")))"),"")</f>
        <v/>
      </c>
      <c r="AE22" s="35" t="str">
        <f>IFERROR(__xludf.DUMMYFUNCTION("IF(Y22="""","""",IMAGE(QUERY('Deck Info'!A:F,""SELECT E WHERE A = '""&amp;Z22&amp;""' AND B = '""&amp;AA22&amp;""'"")))"),"")</f>
        <v/>
      </c>
      <c r="AF22" s="75" t="str">
        <f>IFERROR(__xludf.DUMMYFUNCTION("IF(Y22="""","""",IMAGE(QUERY('Deck Info'!A:F,""SELECT F WHERE A = '""&amp;Z22&amp;""' AND B = '""&amp;AA22&amp;""'"")))"),"")</f>
        <v/>
      </c>
      <c r="AG22" s="79"/>
      <c r="AH22" s="82"/>
      <c r="AI22" s="83"/>
      <c r="AJ22" s="82"/>
      <c r="AK22" s="82"/>
      <c r="AL22" s="35" t="str">
        <f>IFERROR(__xludf.DUMMYFUNCTION("IF(AG22="""","""",IMAGE(QUERY('Deck Info'!I:N,""SELECT D WHERE A = '""&amp;AH22&amp;""' AND B = '""&amp;AI22&amp;""'"")))"),"")</f>
        <v/>
      </c>
      <c r="AM22" s="35" t="str">
        <f>IFERROR(__xludf.DUMMYFUNCTION("IF(AG22="""","""",IMAGE(QUERY('Deck Info'!I:N,""SELECT E WHERE A = '""&amp;AH22&amp;""' AND B = '""&amp;AI22&amp;""'"")))"),"")</f>
        <v/>
      </c>
      <c r="AN22" s="75" t="str">
        <f>IFERROR(__xludf.DUMMYFUNCTION("IF(AG22="""","""",IMAGE(QUERY('Deck Info'!I:N,""SELECT F WHERE A = '""&amp;AH22&amp;""' AND B = '""&amp;AI22&amp;""'"")))"),"")</f>
        <v/>
      </c>
    </row>
    <row r="23" ht="75.0" customHeight="1">
      <c r="A23" s="80"/>
      <c r="H23" s="81"/>
      <c r="I23" s="79"/>
      <c r="J23" s="82"/>
      <c r="K23" s="83"/>
      <c r="L23" s="82"/>
      <c r="M23" s="82"/>
      <c r="N23" s="77" t="str">
        <f>IFERROR(__xludf.DUMMYFUNCTION("IF(I23="""","""",IMAGE(QUERY('Deck Info'!A:F,""SELECT D WHERE A = '""&amp;J23&amp;""' AND B = '""&amp;K23&amp;""'"")))"),"")</f>
        <v/>
      </c>
      <c r="O23" s="77" t="str">
        <f>IFERROR(__xludf.DUMMYFUNCTION("IF(I23="""","""",IMAGE(QUERY('Deck Info'!A:F,""SELECT E WHERE A = '""&amp;J23&amp;""' AND B = '""&amp;K23&amp;""'"")))"),"")</f>
        <v/>
      </c>
      <c r="P23" s="78" t="str">
        <f>IFERROR(__xludf.DUMMYFUNCTION("IF(I23="""","""",IMAGE(QUERY('Deck Info'!A:F,""SELECT F WHERE A = '""&amp;J23&amp;""' AND B = '""&amp;K23&amp;""'"")))"),"")</f>
        <v/>
      </c>
      <c r="Q23" s="79"/>
      <c r="R23" s="82"/>
      <c r="S23" s="83"/>
      <c r="T23" s="82"/>
      <c r="U23" s="82"/>
      <c r="V23" s="35" t="str">
        <f>IFERROR(__xludf.DUMMYFUNCTION("IF(Q23="""","""",IMAGE(QUERY('Deck Info'!I:N,""SELECT D WHERE A = '""&amp;R23&amp;""' AND B = '""&amp;S23&amp;""'"")))"),"")</f>
        <v/>
      </c>
      <c r="W23" s="35" t="str">
        <f>IFERROR(__xludf.DUMMYFUNCTION("IF(Q23="""","""",IMAGE(QUERY('Deck Info'!I:N,""SELECT E WHERE A = '""&amp;R23&amp;""' AND B = '""&amp;S23&amp;""'"")))"),"")</f>
        <v/>
      </c>
      <c r="X23" s="75" t="str">
        <f>IFERROR(__xludf.DUMMYFUNCTION("IF(Q23="""","""",IMAGE(QUERY('Deck Info'!I:N,""SELECT F WHERE A = '""&amp;R23&amp;""' AND B = '""&amp;S23&amp;""'"")))"),"")</f>
        <v/>
      </c>
      <c r="Y23" s="79"/>
      <c r="Z23" s="82"/>
      <c r="AA23" s="83"/>
      <c r="AB23" s="82"/>
      <c r="AC23" s="82"/>
      <c r="AD23" s="35" t="str">
        <f>IFERROR(__xludf.DUMMYFUNCTION("IF(Y23="""","""",IMAGE(QUERY('Deck Info'!Q:V,""SELECT D WHERE A = '""&amp;Z23&amp;""' AND B = '""&amp;AA23&amp;""'"")))"),"")</f>
        <v/>
      </c>
      <c r="AE23" s="35" t="str">
        <f>IFERROR(__xludf.DUMMYFUNCTION("IF(Y23="""","""",IMAGE(QUERY('Deck Info'!Q:V,""SELECT E WHERE A = '""&amp;Z23&amp;""' AND B = '""&amp;AA23&amp;""'"")))"),"")</f>
        <v/>
      </c>
      <c r="AF23" s="75" t="str">
        <f>IFERROR(__xludf.DUMMYFUNCTION("IF(Y23="""","""",IMAGE(QUERY('Deck Info'!Q:V,""SELECT F WHERE A = '""&amp;Z23&amp;""' AND B = '""&amp;AA23&amp;""'"")))"),"")</f>
        <v/>
      </c>
      <c r="AG23" s="79"/>
      <c r="AH23" s="82"/>
      <c r="AI23" s="83"/>
      <c r="AJ23" s="82"/>
      <c r="AK23" s="82"/>
      <c r="AL23" s="35" t="str">
        <f>IFERROR(__xludf.DUMMYFUNCTION("IF(AG23="""","""",IMAGE(QUERY('Deck Info'!Y:AD,""SELECT D WHERE A = '""&amp;AH23&amp;""' AND B = '""&amp;AI23&amp;""'"")))"),"")</f>
        <v/>
      </c>
      <c r="AM23" s="35" t="str">
        <f>IFERROR(__xludf.DUMMYFUNCTION("IF(AG23="""","""",IMAGE(QUERY('Deck Info'!Y:AD,""SELECT E WHERE A = '""&amp;AH23&amp;""' AND B = '""&amp;AI23&amp;""'"")))"),"")</f>
        <v/>
      </c>
      <c r="AN23" s="35"/>
    </row>
    <row r="24" ht="75.0" customHeight="1">
      <c r="A24" s="80"/>
      <c r="H24" s="81"/>
      <c r="I24" s="79"/>
      <c r="J24" s="82"/>
      <c r="K24" s="83"/>
      <c r="L24" s="82"/>
      <c r="M24" s="82"/>
      <c r="N24" s="77" t="str">
        <f>IFERROR(__xludf.DUMMYFUNCTION("IF(I24="""","""",IMAGE(QUERY('Deck Info'!A:F,""SELECT D WHERE A = '""&amp;J24&amp;""' AND B = '""&amp;K24&amp;""'"")))"),"")</f>
        <v/>
      </c>
      <c r="O24" s="77" t="str">
        <f>IFERROR(__xludf.DUMMYFUNCTION("IF(I24="""","""",IMAGE(QUERY('Deck Info'!A:F,""SELECT E WHERE A = '""&amp;J24&amp;""' AND B = '""&amp;K24&amp;""'"")))"),"")</f>
        <v/>
      </c>
      <c r="P24" s="78" t="str">
        <f>IFERROR(__xludf.DUMMYFUNCTION("IF(I24="""","""",IMAGE(QUERY('Deck Info'!A:F,""SELECT F WHERE A = '""&amp;J24&amp;""' AND B = '""&amp;K24&amp;""'"")))"),"")</f>
        <v/>
      </c>
      <c r="Q24" s="79"/>
      <c r="R24" s="82"/>
      <c r="S24" s="83"/>
      <c r="T24" s="82"/>
      <c r="U24" s="82"/>
      <c r="V24" s="35" t="str">
        <f>IFERROR(__xludf.DUMMYFUNCTION("IF(Q24="""","""",IMAGE(QUERY('Deck Info'!I:N,""SELECT D WHERE A = '""&amp;R24&amp;""' AND B = '""&amp;S24&amp;""'"")))"),"")</f>
        <v/>
      </c>
      <c r="W24" s="35" t="str">
        <f>IFERROR(__xludf.DUMMYFUNCTION("IF(Q24="""","""",IMAGE(QUERY('Deck Info'!I:N,""SELECT E WHERE A = '""&amp;R24&amp;""' AND B = '""&amp;S24&amp;""'"")))"),"")</f>
        <v/>
      </c>
      <c r="X24" s="75" t="str">
        <f>IFERROR(__xludf.DUMMYFUNCTION("IF(Q24="""","""",IMAGE(QUERY('Deck Info'!I:N,""SELECT F WHERE A = '""&amp;R24&amp;""' AND B = '""&amp;S24&amp;""'"")))"),"")</f>
        <v/>
      </c>
      <c r="Y24" s="79"/>
      <c r="Z24" s="82"/>
      <c r="AA24" s="83"/>
      <c r="AB24" s="82"/>
      <c r="AC24" s="82"/>
      <c r="AD24" s="35" t="str">
        <f>IFERROR(__xludf.DUMMYFUNCTION("IF(Y24="""","""",IMAGE(QUERY('Deck Info'!Q:V,""SELECT D WHERE A = '""&amp;Z24&amp;""' AND B = '""&amp;AA24&amp;""'"")))"),"")</f>
        <v/>
      </c>
      <c r="AE24" s="35" t="str">
        <f>IFERROR(__xludf.DUMMYFUNCTION("IF(Y24="""","""",IMAGE(QUERY('Deck Info'!Q:V,""SELECT E WHERE A = '""&amp;Z24&amp;""' AND B = '""&amp;AA24&amp;""'"")))"),"")</f>
        <v/>
      </c>
      <c r="AF24" s="75" t="str">
        <f>IFERROR(__xludf.DUMMYFUNCTION("IF(Y24="""","""",IMAGE(QUERY('Deck Info'!Q:V,""SELECT F WHERE A = '""&amp;Z24&amp;""' AND B = '""&amp;AA24&amp;""'"")))"),"")</f>
        <v/>
      </c>
      <c r="AG24" s="79"/>
      <c r="AH24" s="82"/>
      <c r="AI24" s="83"/>
      <c r="AJ24" s="82"/>
      <c r="AK24" s="82"/>
      <c r="AL24" s="35" t="str">
        <f>IFERROR(__xludf.DUMMYFUNCTION("IF(AG24="""","""",IMAGE(QUERY('Deck Info'!Y:AD,""SELECT D WHERE A = '""&amp;AH24&amp;""' AND B = '""&amp;AI24&amp;""'"")))"),"")</f>
        <v/>
      </c>
      <c r="AM24" s="35" t="str">
        <f>IFERROR(__xludf.DUMMYFUNCTION("IF(AG24="""","""",IMAGE(QUERY('Deck Info'!Y:AD,""SELECT E WHERE A = '""&amp;AH24&amp;""' AND B = '""&amp;AI24&amp;""'"")))"),"")</f>
        <v/>
      </c>
      <c r="AN24" s="35"/>
    </row>
    <row r="25" ht="75.0" customHeight="1">
      <c r="H25" s="81"/>
      <c r="I25" s="84"/>
      <c r="N25" s="85"/>
      <c r="O25" s="85"/>
      <c r="P25" s="86"/>
      <c r="Q25" s="84"/>
      <c r="V25" s="31"/>
      <c r="W25" s="31"/>
      <c r="X25" s="87"/>
      <c r="Y25" s="84"/>
      <c r="AD25" s="31"/>
      <c r="AE25" s="31"/>
      <c r="AF25" s="31"/>
    </row>
    <row r="26" ht="75.0" hidden="1" customHeight="1">
      <c r="A26" s="88"/>
      <c r="H26" s="81"/>
      <c r="I26" s="79"/>
      <c r="N26" s="85"/>
      <c r="O26" s="85"/>
      <c r="P26" s="86"/>
      <c r="Q26" s="79"/>
      <c r="V26" s="31"/>
      <c r="W26" s="31"/>
      <c r="X26" s="87"/>
      <c r="Y26" s="79"/>
      <c r="AD26" s="31"/>
      <c r="AE26" s="31"/>
      <c r="AF26" s="87"/>
      <c r="AG26" s="79"/>
      <c r="AL26" s="31"/>
      <c r="AM26" s="31"/>
      <c r="AN26" s="31"/>
    </row>
    <row r="27" ht="75.0" hidden="1" customHeight="1">
      <c r="A27" s="88"/>
      <c r="H27" s="81"/>
      <c r="I27" s="84"/>
      <c r="N27" s="85"/>
      <c r="O27" s="85"/>
      <c r="P27" s="86"/>
      <c r="Q27" s="84"/>
      <c r="V27" s="31"/>
      <c r="W27" s="31"/>
      <c r="X27" s="87"/>
      <c r="Y27" s="84"/>
      <c r="AD27" s="31"/>
      <c r="AE27" s="31"/>
      <c r="AF27" s="87"/>
      <c r="AG27" s="84"/>
      <c r="AL27" s="31"/>
      <c r="AM27" s="31"/>
      <c r="AN27" s="31"/>
    </row>
    <row r="28" ht="75.0" hidden="1" customHeight="1">
      <c r="H28" s="81"/>
      <c r="I28" s="84"/>
      <c r="N28" s="85"/>
      <c r="O28" s="85"/>
      <c r="P28" s="86"/>
      <c r="V28" s="31"/>
      <c r="W28" s="31"/>
      <c r="X28" s="31"/>
      <c r="AD28" s="31"/>
      <c r="AE28" s="31"/>
      <c r="AF28" s="31"/>
    </row>
    <row r="29" ht="75.0" hidden="1" customHeight="1">
      <c r="H29" s="81"/>
      <c r="I29" s="89"/>
      <c r="N29" s="85"/>
      <c r="O29" s="85"/>
      <c r="P29" s="86"/>
      <c r="V29" s="31"/>
      <c r="W29" s="31"/>
      <c r="X29" s="31"/>
      <c r="AD29" s="31"/>
      <c r="AE29" s="31"/>
      <c r="AF29" s="31"/>
    </row>
    <row r="30" ht="75.0" hidden="1" customHeight="1">
      <c r="H30" s="81"/>
      <c r="I30" s="88"/>
      <c r="N30" s="85"/>
      <c r="O30" s="85"/>
      <c r="P30" s="86"/>
      <c r="V30" s="31"/>
      <c r="W30" s="31"/>
      <c r="X30" s="31"/>
      <c r="AD30" s="31"/>
      <c r="AE30" s="31"/>
      <c r="AF30" s="31"/>
    </row>
    <row r="31" ht="75.0" hidden="1" customHeight="1">
      <c r="H31" s="81"/>
      <c r="I31" s="88"/>
      <c r="N31" s="85"/>
      <c r="O31" s="85"/>
      <c r="P31" s="86"/>
      <c r="V31" s="31"/>
      <c r="W31" s="31"/>
      <c r="X31" s="31"/>
      <c r="AD31" s="31"/>
      <c r="AE31" s="31"/>
      <c r="AF31" s="31"/>
    </row>
    <row r="32" ht="75.0" hidden="1" customHeight="1">
      <c r="H32" s="81"/>
      <c r="I32" s="88"/>
      <c r="N32" s="85"/>
      <c r="O32" s="85"/>
      <c r="P32" s="86"/>
      <c r="V32" s="31"/>
      <c r="W32" s="31"/>
      <c r="X32" s="31"/>
      <c r="AD32" s="31"/>
      <c r="AE32" s="31"/>
      <c r="AF32" s="31"/>
    </row>
    <row r="33" ht="75.0" hidden="1" customHeight="1">
      <c r="H33" s="81"/>
      <c r="I33" s="88"/>
      <c r="N33" s="85"/>
      <c r="O33" s="85"/>
      <c r="P33" s="86"/>
      <c r="V33" s="31"/>
      <c r="W33" s="31"/>
      <c r="X33" s="31"/>
      <c r="AD33" s="31"/>
      <c r="AE33" s="31"/>
      <c r="AF33" s="31"/>
    </row>
    <row r="34" ht="75.0" hidden="1" customHeight="1">
      <c r="H34" s="81"/>
      <c r="I34" s="88"/>
      <c r="N34" s="85"/>
      <c r="O34" s="85"/>
      <c r="P34" s="86"/>
      <c r="V34" s="31"/>
      <c r="W34" s="31"/>
      <c r="X34" s="31"/>
      <c r="AD34" s="31"/>
      <c r="AE34" s="31"/>
      <c r="AF34" s="31"/>
    </row>
    <row r="35" ht="75.0" hidden="1" customHeight="1">
      <c r="H35" s="81"/>
      <c r="N35" s="85"/>
      <c r="O35" s="85"/>
      <c r="P35" s="86"/>
      <c r="V35" s="31"/>
      <c r="W35" s="31"/>
      <c r="X35" s="31"/>
      <c r="AD35" s="31"/>
      <c r="AE35" s="31"/>
      <c r="AF35" s="31"/>
    </row>
    <row r="36" ht="75.0" hidden="1" customHeight="1">
      <c r="H36" s="81"/>
      <c r="N36" s="85"/>
      <c r="O36" s="85"/>
      <c r="P36" s="86"/>
      <c r="V36" s="31"/>
      <c r="W36" s="31"/>
      <c r="X36" s="31"/>
      <c r="AD36" s="31"/>
      <c r="AE36" s="31"/>
      <c r="AF36" s="31"/>
    </row>
    <row r="37" ht="75.0" hidden="1" customHeight="1">
      <c r="H37" s="81"/>
      <c r="N37" s="85"/>
      <c r="O37" s="85"/>
      <c r="P37" s="86"/>
      <c r="V37" s="31"/>
      <c r="W37" s="31"/>
      <c r="X37" s="31"/>
      <c r="AD37" s="31"/>
      <c r="AE37" s="31"/>
      <c r="AF37" s="31"/>
    </row>
    <row r="38" ht="52.5" hidden="1" customHeight="1">
      <c r="H38" s="81"/>
      <c r="N38" s="85"/>
      <c r="O38" s="85"/>
      <c r="P38" s="86"/>
      <c r="V38" s="31"/>
      <c r="W38" s="31"/>
      <c r="X38" s="31"/>
      <c r="AD38" s="31"/>
      <c r="AE38" s="31"/>
      <c r="AF38" s="31"/>
    </row>
    <row r="39" ht="52.5" hidden="1" customHeight="1">
      <c r="H39" s="81"/>
      <c r="N39" s="85"/>
      <c r="O39" s="85"/>
      <c r="P39" s="86"/>
      <c r="V39" s="31"/>
      <c r="W39" s="31"/>
      <c r="X39" s="31"/>
      <c r="AD39" s="31"/>
      <c r="AE39" s="31"/>
      <c r="AF39" s="31"/>
    </row>
    <row r="40" ht="52.5" hidden="1" customHeight="1">
      <c r="H40" s="81"/>
      <c r="N40" s="85"/>
      <c r="O40" s="85"/>
      <c r="P40" s="86"/>
      <c r="V40" s="31"/>
      <c r="W40" s="31"/>
      <c r="X40" s="31"/>
      <c r="AD40" s="31"/>
      <c r="AE40" s="31"/>
      <c r="AF40" s="31"/>
    </row>
    <row r="41" ht="52.5" hidden="1" customHeight="1">
      <c r="H41" s="81"/>
      <c r="N41" s="85"/>
      <c r="O41" s="85"/>
      <c r="P41" s="86"/>
      <c r="V41" s="31"/>
      <c r="W41" s="31"/>
      <c r="X41" s="31"/>
      <c r="AD41" s="31"/>
      <c r="AE41" s="31"/>
      <c r="AF41" s="31"/>
    </row>
    <row r="42" ht="52.5" hidden="1" customHeight="1">
      <c r="H42" s="81"/>
      <c r="N42" s="85"/>
      <c r="O42" s="85"/>
      <c r="P42" s="86"/>
      <c r="V42" s="31"/>
      <c r="W42" s="31"/>
      <c r="X42" s="31"/>
      <c r="AD42" s="31"/>
      <c r="AE42" s="31"/>
      <c r="AF42" s="31"/>
    </row>
    <row r="43" ht="52.5" hidden="1" customHeight="1">
      <c r="H43" s="81"/>
      <c r="N43" s="85"/>
      <c r="O43" s="85"/>
      <c r="P43" s="86"/>
      <c r="V43" s="31"/>
      <c r="W43" s="31"/>
      <c r="X43" s="31"/>
      <c r="AD43" s="31"/>
      <c r="AE43" s="31"/>
      <c r="AF43" s="31"/>
    </row>
    <row r="44" ht="52.5" hidden="1" customHeight="1">
      <c r="H44" s="81"/>
      <c r="N44" s="85"/>
      <c r="O44" s="85"/>
      <c r="P44" s="86"/>
      <c r="V44" s="31"/>
      <c r="W44" s="31"/>
      <c r="X44" s="31"/>
      <c r="AD44" s="31"/>
      <c r="AE44" s="31"/>
      <c r="AF44" s="31"/>
    </row>
    <row r="45" ht="52.5" hidden="1" customHeight="1">
      <c r="H45" s="81"/>
      <c r="N45" s="85"/>
      <c r="O45" s="85"/>
      <c r="P45" s="86"/>
      <c r="V45" s="31"/>
      <c r="W45" s="31"/>
      <c r="X45" s="31"/>
      <c r="AD45" s="31"/>
      <c r="AE45" s="31"/>
      <c r="AF45" s="31"/>
    </row>
    <row r="46" ht="15.75" hidden="1" customHeight="1">
      <c r="H46" s="81"/>
      <c r="N46" s="85"/>
      <c r="O46" s="85"/>
      <c r="P46" s="86"/>
      <c r="V46" s="31"/>
      <c r="W46" s="31"/>
      <c r="X46" s="31"/>
      <c r="AD46" s="31"/>
      <c r="AE46" s="31"/>
      <c r="AF46" s="31"/>
    </row>
    <row r="47" ht="15.75" hidden="1" customHeight="1">
      <c r="H47" s="81"/>
      <c r="N47" s="85"/>
      <c r="O47" s="85"/>
      <c r="P47" s="86"/>
      <c r="V47" s="31"/>
      <c r="W47" s="31"/>
      <c r="X47" s="31"/>
      <c r="AD47" s="31"/>
      <c r="AE47" s="31"/>
      <c r="AF47" s="31"/>
    </row>
    <row r="48" ht="15.75" hidden="1" customHeight="1">
      <c r="H48" s="81"/>
      <c r="N48" s="85"/>
      <c r="O48" s="85"/>
      <c r="P48" s="86"/>
      <c r="V48" s="31"/>
      <c r="W48" s="31"/>
      <c r="X48" s="31"/>
      <c r="AD48" s="31"/>
      <c r="AE48" s="31"/>
      <c r="AF48" s="31"/>
    </row>
    <row r="49" ht="15.75" hidden="1" customHeight="1">
      <c r="H49" s="81"/>
      <c r="N49" s="85"/>
      <c r="O49" s="85"/>
      <c r="P49" s="86"/>
      <c r="V49" s="31"/>
      <c r="W49" s="31"/>
      <c r="X49" s="31"/>
      <c r="AD49" s="31"/>
      <c r="AE49" s="31"/>
      <c r="AF49" s="31"/>
    </row>
    <row r="50" ht="15.75" hidden="1" customHeight="1">
      <c r="H50" s="81"/>
      <c r="N50" s="85"/>
      <c r="O50" s="85"/>
      <c r="P50" s="86"/>
      <c r="V50" s="31"/>
      <c r="W50" s="31"/>
      <c r="X50" s="31"/>
      <c r="AD50" s="31"/>
      <c r="AE50" s="31"/>
      <c r="AF50" s="31"/>
    </row>
    <row r="51" ht="15.75" hidden="1" customHeight="1">
      <c r="H51" s="81"/>
      <c r="N51" s="85"/>
      <c r="O51" s="85"/>
      <c r="P51" s="86"/>
      <c r="V51" s="31"/>
      <c r="W51" s="31"/>
      <c r="X51" s="31"/>
      <c r="AD51" s="31"/>
      <c r="AE51" s="31"/>
      <c r="AF51" s="31"/>
    </row>
    <row r="52" ht="15.75" hidden="1" customHeight="1">
      <c r="H52" s="81"/>
      <c r="N52" s="85"/>
      <c r="O52" s="85"/>
      <c r="P52" s="86"/>
      <c r="V52" s="31"/>
      <c r="W52" s="31"/>
      <c r="X52" s="31"/>
      <c r="AD52" s="31"/>
      <c r="AE52" s="31"/>
      <c r="AF52" s="31"/>
    </row>
    <row r="53" ht="15.75" hidden="1" customHeight="1">
      <c r="H53" s="81"/>
      <c r="N53" s="85"/>
      <c r="O53" s="85"/>
      <c r="P53" s="86"/>
      <c r="V53" s="31"/>
      <c r="W53" s="31"/>
      <c r="X53" s="31"/>
      <c r="AD53" s="31"/>
      <c r="AE53" s="31"/>
      <c r="AF53" s="31"/>
    </row>
    <row r="54" ht="15.75" hidden="1" customHeight="1">
      <c r="H54" s="81"/>
      <c r="N54" s="85"/>
      <c r="O54" s="85"/>
      <c r="P54" s="86"/>
      <c r="V54" s="31"/>
      <c r="W54" s="31"/>
      <c r="X54" s="31"/>
      <c r="AD54" s="31"/>
      <c r="AE54" s="31"/>
      <c r="AF54" s="31"/>
    </row>
    <row r="55" ht="15.75" hidden="1" customHeight="1">
      <c r="H55" s="81"/>
      <c r="N55" s="85"/>
      <c r="O55" s="85"/>
      <c r="P55" s="86"/>
      <c r="V55" s="31"/>
      <c r="W55" s="31"/>
      <c r="X55" s="31"/>
      <c r="AD55" s="31"/>
      <c r="AE55" s="31"/>
      <c r="AF55" s="31"/>
    </row>
    <row r="56" ht="15.75" hidden="1" customHeight="1">
      <c r="H56" s="81"/>
      <c r="N56" s="85"/>
      <c r="O56" s="85"/>
      <c r="P56" s="86"/>
      <c r="V56" s="31"/>
      <c r="W56" s="31"/>
      <c r="X56" s="31"/>
      <c r="AD56" s="31"/>
      <c r="AE56" s="31"/>
      <c r="AF56" s="31"/>
    </row>
    <row r="57" ht="15.75" hidden="1" customHeight="1">
      <c r="H57" s="81"/>
      <c r="N57" s="85"/>
      <c r="O57" s="85"/>
      <c r="P57" s="86"/>
      <c r="V57" s="31"/>
      <c r="W57" s="31"/>
      <c r="X57" s="31"/>
      <c r="AD57" s="31"/>
      <c r="AE57" s="31"/>
      <c r="AF57" s="31"/>
    </row>
    <row r="58" ht="15.75" hidden="1" customHeight="1">
      <c r="H58" s="81"/>
      <c r="N58" s="85"/>
      <c r="O58" s="85"/>
      <c r="P58" s="86"/>
      <c r="V58" s="31"/>
      <c r="W58" s="31"/>
      <c r="X58" s="31"/>
      <c r="AD58" s="31"/>
      <c r="AE58" s="31"/>
      <c r="AF58" s="31"/>
    </row>
    <row r="59" ht="15.75" hidden="1" customHeight="1">
      <c r="H59" s="81"/>
      <c r="N59" s="85"/>
      <c r="O59" s="85"/>
      <c r="P59" s="86"/>
      <c r="V59" s="31"/>
      <c r="W59" s="31"/>
      <c r="X59" s="31"/>
      <c r="AD59" s="31"/>
      <c r="AE59" s="31"/>
      <c r="AF59" s="31"/>
    </row>
    <row r="60" ht="15.75" hidden="1" customHeight="1">
      <c r="H60" s="81"/>
      <c r="N60" s="85"/>
      <c r="O60" s="85"/>
      <c r="P60" s="86"/>
      <c r="V60" s="31"/>
      <c r="W60" s="31"/>
      <c r="X60" s="31"/>
      <c r="AD60" s="31"/>
      <c r="AE60" s="31"/>
      <c r="AF60" s="31"/>
    </row>
    <row r="61" ht="15.75" hidden="1" customHeight="1">
      <c r="H61" s="81"/>
      <c r="N61" s="85"/>
      <c r="O61" s="85"/>
      <c r="P61" s="86"/>
      <c r="V61" s="31"/>
      <c r="W61" s="31"/>
      <c r="X61" s="31"/>
      <c r="AD61" s="31"/>
      <c r="AE61" s="31"/>
      <c r="AF61" s="31"/>
    </row>
    <row r="62" ht="15.75" hidden="1" customHeight="1">
      <c r="H62" s="81"/>
      <c r="N62" s="85"/>
      <c r="O62" s="85"/>
      <c r="P62" s="86"/>
      <c r="V62" s="31"/>
      <c r="W62" s="31"/>
      <c r="X62" s="31"/>
      <c r="AD62" s="31"/>
      <c r="AE62" s="31"/>
      <c r="AF62" s="31"/>
    </row>
    <row r="63" ht="15.75" hidden="1" customHeight="1">
      <c r="H63" s="81"/>
      <c r="N63" s="85"/>
      <c r="O63" s="85"/>
      <c r="P63" s="86"/>
      <c r="V63" s="31"/>
      <c r="W63" s="31"/>
      <c r="X63" s="31"/>
      <c r="AD63" s="31"/>
      <c r="AE63" s="31"/>
      <c r="AF63" s="31"/>
    </row>
    <row r="64" ht="15.75" hidden="1" customHeight="1">
      <c r="H64" s="81"/>
      <c r="N64" s="85"/>
      <c r="O64" s="85"/>
      <c r="P64" s="86"/>
      <c r="V64" s="31"/>
      <c r="W64" s="31"/>
      <c r="X64" s="31"/>
      <c r="AD64" s="31"/>
      <c r="AE64" s="31"/>
      <c r="AF64" s="31"/>
    </row>
    <row r="65" ht="15.75" hidden="1" customHeight="1">
      <c r="H65" s="81"/>
      <c r="N65" s="85"/>
      <c r="O65" s="85"/>
      <c r="P65" s="86"/>
      <c r="V65" s="31"/>
      <c r="W65" s="31"/>
      <c r="X65" s="31"/>
      <c r="AD65" s="31"/>
      <c r="AE65" s="31"/>
      <c r="AF65" s="31"/>
    </row>
    <row r="66" ht="15.75" hidden="1" customHeight="1">
      <c r="H66" s="81"/>
      <c r="N66" s="85"/>
      <c r="O66" s="85"/>
      <c r="P66" s="86"/>
      <c r="V66" s="31"/>
      <c r="W66" s="31"/>
      <c r="X66" s="31"/>
      <c r="AD66" s="31"/>
      <c r="AE66" s="31"/>
      <c r="AF66" s="31"/>
    </row>
    <row r="67" ht="15.75" hidden="1" customHeight="1">
      <c r="H67" s="81"/>
      <c r="N67" s="85"/>
      <c r="O67" s="85"/>
      <c r="P67" s="86"/>
      <c r="V67" s="31"/>
      <c r="W67" s="31"/>
      <c r="X67" s="31"/>
      <c r="AD67" s="31"/>
      <c r="AE67" s="31"/>
      <c r="AF67" s="31"/>
    </row>
    <row r="68" ht="15.75" hidden="1" customHeight="1">
      <c r="H68" s="81"/>
      <c r="N68" s="85"/>
      <c r="O68" s="85"/>
      <c r="P68" s="86"/>
      <c r="V68" s="31"/>
      <c r="W68" s="31"/>
      <c r="X68" s="31"/>
      <c r="AD68" s="31"/>
      <c r="AE68" s="31"/>
      <c r="AF68" s="31"/>
    </row>
    <row r="69" ht="15.75" hidden="1" customHeight="1">
      <c r="H69" s="81"/>
      <c r="N69" s="85"/>
      <c r="O69" s="85"/>
      <c r="P69" s="86"/>
      <c r="V69" s="31"/>
      <c r="W69" s="31"/>
      <c r="X69" s="31"/>
      <c r="AD69" s="31"/>
      <c r="AE69" s="31"/>
      <c r="AF69" s="31"/>
    </row>
    <row r="70" ht="15.75" hidden="1" customHeight="1">
      <c r="H70" s="81"/>
      <c r="N70" s="85"/>
      <c r="O70" s="85"/>
      <c r="P70" s="86"/>
      <c r="V70" s="31"/>
      <c r="W70" s="31"/>
      <c r="X70" s="31"/>
      <c r="AD70" s="31"/>
      <c r="AE70" s="31"/>
      <c r="AF70" s="31"/>
    </row>
    <row r="71" ht="15.75" hidden="1" customHeight="1">
      <c r="H71" s="81"/>
      <c r="N71" s="85"/>
      <c r="O71" s="85"/>
      <c r="P71" s="86"/>
      <c r="V71" s="31"/>
      <c r="W71" s="31"/>
      <c r="X71" s="31"/>
      <c r="AD71" s="31"/>
      <c r="AE71" s="31"/>
      <c r="AF71" s="31"/>
    </row>
    <row r="72" ht="15.75" hidden="1" customHeight="1">
      <c r="H72" s="81"/>
      <c r="N72" s="85"/>
      <c r="O72" s="85"/>
      <c r="P72" s="86"/>
      <c r="V72" s="31"/>
      <c r="W72" s="31"/>
      <c r="X72" s="31"/>
      <c r="AD72" s="31"/>
      <c r="AE72" s="31"/>
      <c r="AF72" s="31"/>
    </row>
    <row r="73" ht="15.75" hidden="1" customHeight="1">
      <c r="H73" s="81"/>
      <c r="N73" s="85"/>
      <c r="O73" s="85"/>
      <c r="P73" s="86"/>
      <c r="V73" s="31"/>
      <c r="W73" s="31"/>
      <c r="X73" s="31"/>
      <c r="AD73" s="31"/>
      <c r="AE73" s="31"/>
      <c r="AF73" s="31"/>
    </row>
    <row r="74" ht="15.75" hidden="1" customHeight="1">
      <c r="H74" s="81"/>
      <c r="N74" s="85"/>
      <c r="O74" s="85"/>
      <c r="P74" s="86"/>
      <c r="V74" s="31"/>
      <c r="W74" s="31"/>
      <c r="X74" s="31"/>
      <c r="AD74" s="31"/>
      <c r="AE74" s="31"/>
      <c r="AF74" s="31"/>
    </row>
    <row r="75" ht="15.75" hidden="1" customHeight="1">
      <c r="H75" s="81"/>
      <c r="N75" s="85"/>
      <c r="O75" s="85"/>
      <c r="P75" s="86"/>
      <c r="V75" s="31"/>
      <c r="W75" s="31"/>
      <c r="X75" s="31"/>
      <c r="AD75" s="31"/>
      <c r="AE75" s="31"/>
      <c r="AF75" s="31"/>
    </row>
    <row r="76" ht="15.75" hidden="1" customHeight="1">
      <c r="H76" s="81"/>
      <c r="N76" s="85"/>
      <c r="O76" s="85"/>
      <c r="P76" s="86"/>
      <c r="V76" s="31"/>
      <c r="W76" s="31"/>
      <c r="X76" s="31"/>
      <c r="AD76" s="31"/>
      <c r="AE76" s="31"/>
      <c r="AF76" s="31"/>
    </row>
    <row r="77" ht="15.75" hidden="1" customHeight="1">
      <c r="H77" s="81"/>
      <c r="N77" s="85"/>
      <c r="O77" s="85"/>
      <c r="P77" s="86"/>
      <c r="V77" s="31"/>
      <c r="W77" s="31"/>
      <c r="X77" s="31"/>
      <c r="AD77" s="31"/>
      <c r="AE77" s="31"/>
      <c r="AF77" s="31"/>
    </row>
    <row r="78" ht="15.75" hidden="1" customHeight="1">
      <c r="H78" s="81"/>
      <c r="N78" s="85"/>
      <c r="O78" s="85"/>
      <c r="P78" s="86"/>
      <c r="V78" s="31"/>
      <c r="W78" s="31"/>
      <c r="X78" s="31"/>
      <c r="AD78" s="31"/>
      <c r="AE78" s="31"/>
      <c r="AF78" s="31"/>
    </row>
    <row r="79" ht="15.75" hidden="1" customHeight="1">
      <c r="H79" s="81"/>
      <c r="N79" s="85"/>
      <c r="O79" s="85"/>
      <c r="P79" s="86"/>
      <c r="V79" s="31"/>
      <c r="W79" s="31"/>
      <c r="X79" s="31"/>
      <c r="AD79" s="31"/>
      <c r="AE79" s="31"/>
      <c r="AF79" s="31"/>
    </row>
    <row r="80" ht="15.75" hidden="1" customHeight="1">
      <c r="H80" s="81"/>
      <c r="N80" s="85"/>
      <c r="O80" s="85"/>
      <c r="P80" s="86"/>
      <c r="V80" s="31"/>
      <c r="W80" s="31"/>
      <c r="X80" s="31"/>
      <c r="AD80" s="31"/>
      <c r="AE80" s="31"/>
      <c r="AF80" s="31"/>
    </row>
    <row r="81" ht="15.75" hidden="1" customHeight="1">
      <c r="H81" s="81"/>
      <c r="N81" s="85"/>
      <c r="O81" s="85"/>
      <c r="P81" s="86"/>
      <c r="V81" s="31"/>
      <c r="W81" s="31"/>
      <c r="X81" s="31"/>
      <c r="AD81" s="31"/>
      <c r="AE81" s="31"/>
      <c r="AF81" s="31"/>
    </row>
    <row r="82" ht="15.75" hidden="1" customHeight="1">
      <c r="H82" s="81"/>
      <c r="N82" s="85"/>
      <c r="O82" s="85"/>
      <c r="P82" s="86"/>
      <c r="V82" s="31"/>
      <c r="W82" s="31"/>
      <c r="X82" s="31"/>
      <c r="AD82" s="31"/>
      <c r="AE82" s="31"/>
      <c r="AF82" s="31"/>
    </row>
    <row r="83" ht="15.75" hidden="1" customHeight="1">
      <c r="H83" s="81"/>
      <c r="N83" s="85"/>
      <c r="O83" s="85"/>
      <c r="P83" s="86"/>
      <c r="V83" s="31"/>
      <c r="W83" s="31"/>
      <c r="X83" s="31"/>
      <c r="AD83" s="31"/>
      <c r="AE83" s="31"/>
      <c r="AF83" s="31"/>
    </row>
    <row r="84" ht="15.75" hidden="1" customHeight="1">
      <c r="H84" s="81"/>
      <c r="N84" s="85"/>
      <c r="O84" s="85"/>
      <c r="P84" s="86"/>
      <c r="V84" s="31"/>
      <c r="W84" s="31"/>
      <c r="X84" s="31"/>
      <c r="AD84" s="31"/>
      <c r="AE84" s="31"/>
      <c r="AF84" s="31"/>
    </row>
    <row r="85" ht="15.75" hidden="1" customHeight="1">
      <c r="H85" s="81"/>
      <c r="N85" s="85"/>
      <c r="O85" s="85"/>
      <c r="P85" s="86"/>
      <c r="V85" s="31"/>
      <c r="W85" s="31"/>
      <c r="X85" s="31"/>
      <c r="AD85" s="31"/>
      <c r="AE85" s="31"/>
      <c r="AF85" s="31"/>
    </row>
    <row r="86" ht="15.75" hidden="1" customHeight="1">
      <c r="H86" s="81"/>
      <c r="N86" s="85"/>
      <c r="O86" s="85"/>
      <c r="P86" s="86"/>
      <c r="V86" s="31"/>
      <c r="W86" s="31"/>
      <c r="X86" s="31"/>
      <c r="AD86" s="31"/>
      <c r="AE86" s="31"/>
      <c r="AF86" s="31"/>
    </row>
    <row r="87" ht="15.75" hidden="1" customHeight="1">
      <c r="H87" s="81"/>
      <c r="N87" s="85"/>
      <c r="O87" s="85"/>
      <c r="P87" s="86"/>
      <c r="V87" s="31"/>
      <c r="W87" s="31"/>
      <c r="X87" s="31"/>
      <c r="AD87" s="31"/>
      <c r="AE87" s="31"/>
      <c r="AF87" s="31"/>
    </row>
    <row r="88" ht="15.75" hidden="1" customHeight="1">
      <c r="H88" s="81"/>
      <c r="N88" s="85"/>
      <c r="O88" s="85"/>
      <c r="P88" s="86"/>
      <c r="V88" s="31"/>
      <c r="W88" s="31"/>
      <c r="X88" s="31"/>
      <c r="AD88" s="31"/>
      <c r="AE88" s="31"/>
      <c r="AF88" s="31"/>
    </row>
    <row r="89" ht="15.75" hidden="1" customHeight="1">
      <c r="H89" s="81"/>
      <c r="N89" s="85"/>
      <c r="O89" s="85"/>
      <c r="P89" s="86"/>
      <c r="V89" s="31"/>
      <c r="W89" s="31"/>
      <c r="X89" s="31"/>
      <c r="AD89" s="31"/>
      <c r="AE89" s="31"/>
      <c r="AF89" s="31"/>
    </row>
    <row r="90" ht="15.75" hidden="1" customHeight="1">
      <c r="H90" s="81"/>
      <c r="N90" s="85"/>
      <c r="O90" s="85"/>
      <c r="P90" s="86"/>
      <c r="V90" s="31"/>
      <c r="W90" s="31"/>
      <c r="X90" s="31"/>
      <c r="AD90" s="31"/>
      <c r="AE90" s="31"/>
      <c r="AF90" s="31"/>
    </row>
    <row r="91" ht="15.75" hidden="1" customHeight="1">
      <c r="H91" s="81"/>
      <c r="N91" s="85"/>
      <c r="O91" s="85"/>
      <c r="P91" s="86"/>
      <c r="V91" s="31"/>
      <c r="W91" s="31"/>
      <c r="X91" s="31"/>
      <c r="AD91" s="31"/>
      <c r="AE91" s="31"/>
      <c r="AF91" s="31"/>
    </row>
    <row r="92" ht="15.75" hidden="1" customHeight="1">
      <c r="H92" s="81"/>
      <c r="N92" s="85"/>
      <c r="O92" s="85"/>
      <c r="P92" s="86"/>
      <c r="V92" s="31"/>
      <c r="W92" s="31"/>
      <c r="X92" s="31"/>
      <c r="AD92" s="31"/>
      <c r="AE92" s="31"/>
      <c r="AF92" s="31"/>
    </row>
    <row r="93" ht="15.75" hidden="1" customHeight="1">
      <c r="H93" s="81"/>
      <c r="N93" s="85"/>
      <c r="O93" s="85"/>
      <c r="P93" s="86"/>
      <c r="V93" s="31"/>
      <c r="W93" s="31"/>
      <c r="X93" s="31"/>
      <c r="AD93" s="31"/>
      <c r="AE93" s="31"/>
      <c r="AF93" s="31"/>
    </row>
    <row r="94" ht="15.75" hidden="1" customHeight="1">
      <c r="H94" s="81"/>
      <c r="N94" s="85"/>
      <c r="O94" s="85"/>
      <c r="P94" s="86"/>
      <c r="V94" s="31"/>
      <c r="W94" s="31"/>
      <c r="X94" s="31"/>
      <c r="AD94" s="31"/>
      <c r="AE94" s="31"/>
      <c r="AF94" s="31"/>
    </row>
    <row r="95" ht="15.75" hidden="1" customHeight="1">
      <c r="H95" s="81"/>
      <c r="N95" s="85"/>
      <c r="O95" s="85"/>
      <c r="P95" s="86"/>
      <c r="V95" s="31"/>
      <c r="W95" s="31"/>
      <c r="X95" s="31"/>
      <c r="AD95" s="31"/>
      <c r="AE95" s="31"/>
      <c r="AF95" s="31"/>
    </row>
    <row r="96" ht="15.75" hidden="1" customHeight="1">
      <c r="H96" s="81"/>
      <c r="N96" s="85"/>
      <c r="O96" s="85"/>
      <c r="P96" s="86"/>
      <c r="V96" s="31"/>
      <c r="W96" s="31"/>
      <c r="X96" s="31"/>
      <c r="AD96" s="31"/>
      <c r="AE96" s="31"/>
      <c r="AF96" s="31"/>
    </row>
    <row r="97" ht="15.75" hidden="1" customHeight="1">
      <c r="H97" s="81"/>
      <c r="N97" s="85"/>
      <c r="O97" s="85"/>
      <c r="P97" s="86"/>
      <c r="V97" s="31"/>
      <c r="W97" s="31"/>
      <c r="X97" s="31"/>
      <c r="AD97" s="31"/>
      <c r="AE97" s="31"/>
      <c r="AF97" s="31"/>
    </row>
    <row r="98" ht="15.75" hidden="1" customHeight="1">
      <c r="H98" s="81"/>
      <c r="N98" s="85"/>
      <c r="O98" s="85"/>
      <c r="P98" s="86"/>
      <c r="V98" s="31"/>
      <c r="W98" s="31"/>
      <c r="X98" s="31"/>
      <c r="AD98" s="31"/>
      <c r="AE98" s="31"/>
      <c r="AF98" s="31"/>
    </row>
    <row r="99" ht="15.75" hidden="1" customHeight="1">
      <c r="H99" s="81"/>
      <c r="N99" s="85"/>
      <c r="O99" s="85"/>
      <c r="P99" s="86"/>
      <c r="V99" s="31"/>
      <c r="W99" s="31"/>
      <c r="X99" s="31"/>
      <c r="AD99" s="31"/>
      <c r="AE99" s="31"/>
      <c r="AF99" s="31"/>
    </row>
    <row r="100" ht="15.75" hidden="1" customHeight="1">
      <c r="H100" s="81"/>
      <c r="N100" s="85"/>
      <c r="O100" s="85"/>
      <c r="P100" s="86"/>
      <c r="V100" s="31"/>
      <c r="W100" s="31"/>
      <c r="X100" s="31"/>
      <c r="AD100" s="31"/>
      <c r="AE100" s="31"/>
      <c r="AF100" s="31"/>
    </row>
    <row r="101" ht="15.75" hidden="1" customHeight="1">
      <c r="H101" s="81"/>
      <c r="N101" s="85"/>
      <c r="O101" s="85"/>
      <c r="P101" s="86"/>
      <c r="V101" s="31"/>
      <c r="W101" s="31"/>
      <c r="X101" s="31"/>
      <c r="AD101" s="31"/>
      <c r="AE101" s="31"/>
      <c r="AF101" s="31"/>
    </row>
    <row r="102" ht="15.75" hidden="1" customHeight="1">
      <c r="H102" s="81"/>
      <c r="N102" s="85"/>
      <c r="O102" s="85"/>
      <c r="P102" s="86"/>
      <c r="V102" s="31"/>
      <c r="W102" s="31"/>
      <c r="X102" s="31"/>
      <c r="AD102" s="31"/>
      <c r="AE102" s="31"/>
      <c r="AF102" s="31"/>
    </row>
    <row r="103" ht="15.75" hidden="1" customHeight="1">
      <c r="H103" s="81"/>
      <c r="N103" s="85"/>
      <c r="O103" s="85"/>
      <c r="P103" s="86"/>
      <c r="V103" s="31"/>
      <c r="W103" s="31"/>
      <c r="X103" s="31"/>
      <c r="AD103" s="31"/>
      <c r="AE103" s="31"/>
      <c r="AF103" s="31"/>
    </row>
    <row r="104" ht="15.75" hidden="1" customHeight="1">
      <c r="H104" s="81"/>
      <c r="N104" s="85"/>
      <c r="O104" s="85"/>
      <c r="P104" s="86"/>
      <c r="V104" s="31"/>
      <c r="W104" s="31"/>
      <c r="X104" s="31"/>
      <c r="AD104" s="31"/>
      <c r="AE104" s="31"/>
      <c r="AF104" s="31"/>
    </row>
    <row r="105" ht="15.75" hidden="1" customHeight="1">
      <c r="H105" s="81"/>
      <c r="N105" s="85"/>
      <c r="O105" s="85"/>
      <c r="P105" s="86"/>
      <c r="V105" s="31"/>
      <c r="W105" s="31"/>
      <c r="X105" s="31"/>
      <c r="AD105" s="31"/>
      <c r="AE105" s="31"/>
      <c r="AF105" s="31"/>
    </row>
    <row r="106" ht="15.75" hidden="1" customHeight="1">
      <c r="H106" s="81"/>
      <c r="N106" s="85"/>
      <c r="O106" s="85"/>
      <c r="P106" s="86"/>
      <c r="V106" s="31"/>
      <c r="W106" s="31"/>
      <c r="X106" s="31"/>
      <c r="AD106" s="31"/>
      <c r="AE106" s="31"/>
      <c r="AF106" s="31"/>
    </row>
    <row r="107" ht="15.75" hidden="1" customHeight="1">
      <c r="H107" s="81"/>
      <c r="N107" s="85"/>
      <c r="O107" s="85"/>
      <c r="P107" s="86"/>
      <c r="V107" s="31"/>
      <c r="W107" s="31"/>
      <c r="X107" s="31"/>
      <c r="AD107" s="31"/>
      <c r="AE107" s="31"/>
      <c r="AF107" s="31"/>
    </row>
    <row r="108" ht="15.75" hidden="1" customHeight="1">
      <c r="H108" s="81"/>
      <c r="N108" s="85"/>
      <c r="O108" s="85"/>
      <c r="P108" s="86"/>
      <c r="V108" s="31"/>
      <c r="W108" s="31"/>
      <c r="X108" s="31"/>
      <c r="AD108" s="31"/>
      <c r="AE108" s="31"/>
      <c r="AF108" s="31"/>
    </row>
    <row r="109" ht="15.75" hidden="1" customHeight="1">
      <c r="H109" s="81"/>
      <c r="N109" s="85"/>
      <c r="O109" s="85"/>
      <c r="P109" s="86"/>
      <c r="V109" s="31"/>
      <c r="W109" s="31"/>
      <c r="X109" s="31"/>
      <c r="AD109" s="31"/>
      <c r="AE109" s="31"/>
      <c r="AF109" s="31"/>
    </row>
    <row r="110" ht="15.75" hidden="1" customHeight="1">
      <c r="H110" s="81"/>
      <c r="N110" s="85"/>
      <c r="O110" s="85"/>
      <c r="P110" s="86"/>
      <c r="V110" s="31"/>
      <c r="W110" s="31"/>
      <c r="X110" s="31"/>
      <c r="AD110" s="31"/>
      <c r="AE110" s="31"/>
      <c r="AF110" s="31"/>
    </row>
    <row r="111" ht="15.75" hidden="1" customHeight="1">
      <c r="H111" s="81"/>
      <c r="N111" s="85"/>
      <c r="O111" s="85"/>
      <c r="P111" s="86"/>
      <c r="V111" s="31"/>
      <c r="W111" s="31"/>
      <c r="X111" s="31"/>
      <c r="AD111" s="31"/>
      <c r="AE111" s="31"/>
      <c r="AF111" s="31"/>
    </row>
    <row r="112" ht="15.75" hidden="1" customHeight="1">
      <c r="H112" s="81"/>
      <c r="N112" s="85"/>
      <c r="O112" s="85"/>
      <c r="P112" s="86"/>
      <c r="V112" s="31"/>
      <c r="W112" s="31"/>
      <c r="X112" s="31"/>
      <c r="AD112" s="31"/>
      <c r="AE112" s="31"/>
      <c r="AF112" s="31"/>
    </row>
    <row r="113" ht="15.75" hidden="1" customHeight="1">
      <c r="H113" s="81"/>
      <c r="N113" s="85"/>
      <c r="O113" s="85"/>
      <c r="P113" s="86"/>
      <c r="V113" s="31"/>
      <c r="W113" s="31"/>
      <c r="X113" s="31"/>
      <c r="AD113" s="31"/>
      <c r="AE113" s="31"/>
      <c r="AF113" s="31"/>
    </row>
    <row r="114" ht="15.75" hidden="1" customHeight="1">
      <c r="H114" s="81"/>
      <c r="N114" s="85"/>
      <c r="O114" s="85"/>
      <c r="P114" s="86"/>
      <c r="V114" s="31"/>
      <c r="W114" s="31"/>
      <c r="X114" s="31"/>
      <c r="AD114" s="31"/>
      <c r="AE114" s="31"/>
      <c r="AF114" s="31"/>
    </row>
    <row r="115" ht="15.75" hidden="1" customHeight="1">
      <c r="H115" s="81"/>
      <c r="N115" s="85"/>
      <c r="O115" s="85"/>
      <c r="P115" s="86"/>
      <c r="V115" s="31"/>
      <c r="W115" s="31"/>
      <c r="X115" s="31"/>
      <c r="AD115" s="31"/>
      <c r="AE115" s="31"/>
      <c r="AF115" s="31"/>
    </row>
    <row r="116" ht="15.75" hidden="1" customHeight="1">
      <c r="H116" s="81"/>
      <c r="N116" s="85"/>
      <c r="O116" s="85"/>
      <c r="P116" s="86"/>
      <c r="V116" s="31"/>
      <c r="W116" s="31"/>
      <c r="X116" s="31"/>
      <c r="AD116" s="31"/>
      <c r="AE116" s="31"/>
      <c r="AF116" s="31"/>
    </row>
    <row r="117" ht="15.75" hidden="1" customHeight="1">
      <c r="H117" s="81"/>
      <c r="N117" s="85"/>
      <c r="O117" s="85"/>
      <c r="P117" s="86"/>
      <c r="V117" s="31"/>
      <c r="W117" s="31"/>
      <c r="X117" s="31"/>
      <c r="AD117" s="31"/>
      <c r="AE117" s="31"/>
      <c r="AF117" s="31"/>
    </row>
    <row r="118" ht="15.75" hidden="1" customHeight="1">
      <c r="H118" s="81"/>
      <c r="N118" s="85"/>
      <c r="O118" s="85"/>
      <c r="P118" s="86"/>
      <c r="V118" s="31"/>
      <c r="W118" s="31"/>
      <c r="X118" s="31"/>
      <c r="AD118" s="31"/>
      <c r="AE118" s="31"/>
      <c r="AF118" s="31"/>
    </row>
    <row r="119" ht="15.75" hidden="1" customHeight="1">
      <c r="H119" s="81"/>
      <c r="N119" s="85"/>
      <c r="O119" s="85"/>
      <c r="P119" s="86"/>
      <c r="V119" s="31"/>
      <c r="W119" s="31"/>
      <c r="X119" s="31"/>
      <c r="AD119" s="31"/>
      <c r="AE119" s="31"/>
      <c r="AF119" s="31"/>
    </row>
    <row r="120" ht="15.75" hidden="1" customHeight="1">
      <c r="H120" s="81"/>
      <c r="N120" s="85"/>
      <c r="O120" s="85"/>
      <c r="P120" s="86"/>
      <c r="V120" s="31"/>
      <c r="W120" s="31"/>
      <c r="X120" s="31"/>
      <c r="AD120" s="31"/>
      <c r="AE120" s="31"/>
      <c r="AF120" s="31"/>
    </row>
    <row r="121" ht="15.75" hidden="1" customHeight="1">
      <c r="H121" s="81"/>
      <c r="N121" s="85"/>
      <c r="O121" s="85"/>
      <c r="P121" s="86"/>
      <c r="V121" s="31"/>
      <c r="W121" s="31"/>
      <c r="X121" s="31"/>
      <c r="AD121" s="31"/>
      <c r="AE121" s="31"/>
      <c r="AF121" s="31"/>
    </row>
    <row r="122" ht="15.75" hidden="1" customHeight="1">
      <c r="H122" s="81"/>
      <c r="N122" s="85"/>
      <c r="O122" s="85"/>
      <c r="P122" s="86"/>
      <c r="V122" s="31"/>
      <c r="W122" s="31"/>
      <c r="X122" s="31"/>
      <c r="AD122" s="31"/>
      <c r="AE122" s="31"/>
      <c r="AF122" s="31"/>
    </row>
    <row r="123" ht="15.75" hidden="1" customHeight="1">
      <c r="H123" s="81"/>
      <c r="N123" s="85"/>
      <c r="O123" s="85"/>
      <c r="P123" s="86"/>
      <c r="V123" s="31"/>
      <c r="W123" s="31"/>
      <c r="X123" s="31"/>
      <c r="AD123" s="31"/>
      <c r="AE123" s="31"/>
      <c r="AF123" s="31"/>
    </row>
    <row r="124" ht="15.75" hidden="1" customHeight="1">
      <c r="H124" s="81"/>
      <c r="N124" s="85"/>
      <c r="O124" s="85"/>
      <c r="P124" s="86"/>
      <c r="V124" s="31"/>
      <c r="W124" s="31"/>
      <c r="X124" s="31"/>
      <c r="AD124" s="31"/>
      <c r="AE124" s="31"/>
      <c r="AF124" s="31"/>
    </row>
    <row r="125" ht="15.75" hidden="1" customHeight="1">
      <c r="H125" s="81"/>
      <c r="N125" s="85"/>
      <c r="O125" s="85"/>
      <c r="P125" s="86"/>
      <c r="V125" s="31"/>
      <c r="W125" s="31"/>
      <c r="X125" s="31"/>
      <c r="AD125" s="31"/>
      <c r="AE125" s="31"/>
      <c r="AF125" s="31"/>
    </row>
    <row r="126" ht="15.75" hidden="1" customHeight="1">
      <c r="H126" s="81"/>
      <c r="N126" s="85"/>
      <c r="O126" s="85"/>
      <c r="P126" s="86"/>
      <c r="V126" s="31"/>
      <c r="W126" s="31"/>
      <c r="X126" s="31"/>
      <c r="AD126" s="31"/>
      <c r="AE126" s="31"/>
      <c r="AF126" s="31"/>
    </row>
    <row r="127" ht="15.75" hidden="1" customHeight="1">
      <c r="H127" s="81"/>
      <c r="N127" s="85"/>
      <c r="O127" s="85"/>
      <c r="P127" s="86"/>
      <c r="V127" s="31"/>
      <c r="W127" s="31"/>
      <c r="X127" s="31"/>
      <c r="AD127" s="31"/>
      <c r="AE127" s="31"/>
      <c r="AF127" s="31"/>
    </row>
    <row r="128" ht="15.75" hidden="1" customHeight="1">
      <c r="H128" s="81"/>
      <c r="N128" s="85"/>
      <c r="O128" s="85"/>
      <c r="P128" s="86"/>
      <c r="V128" s="31"/>
      <c r="W128" s="31"/>
      <c r="X128" s="31"/>
      <c r="AD128" s="31"/>
      <c r="AE128" s="31"/>
      <c r="AF128" s="31"/>
    </row>
    <row r="129" ht="15.75" hidden="1" customHeight="1">
      <c r="H129" s="81"/>
      <c r="N129" s="85"/>
      <c r="O129" s="85"/>
      <c r="P129" s="86"/>
      <c r="V129" s="31"/>
      <c r="W129" s="31"/>
      <c r="X129" s="31"/>
      <c r="AD129" s="31"/>
      <c r="AE129" s="31"/>
      <c r="AF129" s="31"/>
    </row>
    <row r="130" ht="15.75" hidden="1" customHeight="1">
      <c r="H130" s="81"/>
      <c r="N130" s="85"/>
      <c r="O130" s="85"/>
      <c r="P130" s="86"/>
      <c r="V130" s="31"/>
      <c r="W130" s="31"/>
      <c r="X130" s="31"/>
      <c r="AD130" s="31"/>
      <c r="AE130" s="31"/>
      <c r="AF130" s="31"/>
    </row>
    <row r="131" ht="15.75" hidden="1" customHeight="1">
      <c r="H131" s="81"/>
      <c r="N131" s="85"/>
      <c r="O131" s="85"/>
      <c r="P131" s="86"/>
      <c r="V131" s="31"/>
      <c r="W131" s="31"/>
      <c r="X131" s="31"/>
      <c r="AD131" s="31"/>
      <c r="AE131" s="31"/>
      <c r="AF131" s="31"/>
    </row>
    <row r="132" ht="15.75" hidden="1" customHeight="1">
      <c r="H132" s="81"/>
      <c r="N132" s="85"/>
      <c r="O132" s="85"/>
      <c r="P132" s="86"/>
      <c r="V132" s="31"/>
      <c r="W132" s="31"/>
      <c r="X132" s="31"/>
      <c r="AD132" s="31"/>
      <c r="AE132" s="31"/>
      <c r="AF132" s="31"/>
    </row>
    <row r="133" ht="15.75" hidden="1" customHeight="1">
      <c r="H133" s="81"/>
      <c r="N133" s="85"/>
      <c r="O133" s="85"/>
      <c r="P133" s="86"/>
      <c r="V133" s="31"/>
      <c r="W133" s="31"/>
      <c r="X133" s="31"/>
      <c r="AD133" s="31"/>
      <c r="AE133" s="31"/>
      <c r="AF133" s="31"/>
    </row>
    <row r="134" ht="15.75" hidden="1" customHeight="1">
      <c r="H134" s="81"/>
      <c r="N134" s="85"/>
      <c r="O134" s="85"/>
      <c r="P134" s="86"/>
      <c r="V134" s="31"/>
      <c r="W134" s="31"/>
      <c r="X134" s="31"/>
      <c r="AD134" s="31"/>
      <c r="AE134" s="31"/>
      <c r="AF134" s="31"/>
    </row>
    <row r="135" ht="15.75" hidden="1" customHeight="1">
      <c r="H135" s="81"/>
      <c r="N135" s="85"/>
      <c r="O135" s="85"/>
      <c r="P135" s="86"/>
      <c r="V135" s="31"/>
      <c r="W135" s="31"/>
      <c r="X135" s="31"/>
      <c r="AD135" s="31"/>
      <c r="AE135" s="31"/>
      <c r="AF135" s="31"/>
    </row>
    <row r="136" ht="15.75" hidden="1" customHeight="1">
      <c r="H136" s="81"/>
      <c r="N136" s="85"/>
      <c r="O136" s="85"/>
      <c r="P136" s="86"/>
      <c r="V136" s="31"/>
      <c r="W136" s="31"/>
      <c r="X136" s="31"/>
      <c r="AD136" s="31"/>
      <c r="AE136" s="31"/>
      <c r="AF136" s="31"/>
    </row>
    <row r="137" ht="15.75" hidden="1" customHeight="1">
      <c r="H137" s="81"/>
      <c r="N137" s="85"/>
      <c r="O137" s="85"/>
      <c r="P137" s="86"/>
      <c r="V137" s="31"/>
      <c r="W137" s="31"/>
      <c r="X137" s="31"/>
      <c r="AD137" s="31"/>
      <c r="AE137" s="31"/>
      <c r="AF137" s="31"/>
    </row>
    <row r="138" ht="15.75" hidden="1" customHeight="1">
      <c r="H138" s="81"/>
      <c r="N138" s="85"/>
      <c r="O138" s="85"/>
      <c r="P138" s="86"/>
      <c r="V138" s="31"/>
      <c r="W138" s="31"/>
      <c r="X138" s="31"/>
      <c r="AD138" s="31"/>
      <c r="AE138" s="31"/>
      <c r="AF138" s="31"/>
    </row>
    <row r="139" ht="15.75" hidden="1" customHeight="1">
      <c r="H139" s="81"/>
      <c r="N139" s="85"/>
      <c r="O139" s="85"/>
      <c r="P139" s="86"/>
      <c r="V139" s="31"/>
      <c r="W139" s="31"/>
      <c r="X139" s="31"/>
      <c r="AD139" s="31"/>
      <c r="AE139" s="31"/>
      <c r="AF139" s="31"/>
    </row>
    <row r="140" ht="15.75" hidden="1" customHeight="1">
      <c r="H140" s="81"/>
      <c r="N140" s="85"/>
      <c r="O140" s="85"/>
      <c r="P140" s="86"/>
      <c r="V140" s="31"/>
      <c r="W140" s="31"/>
      <c r="X140" s="31"/>
      <c r="AD140" s="31"/>
      <c r="AE140" s="31"/>
      <c r="AF140" s="31"/>
    </row>
    <row r="141" ht="15.75" hidden="1" customHeight="1">
      <c r="H141" s="81"/>
      <c r="N141" s="85"/>
      <c r="O141" s="85"/>
      <c r="P141" s="86"/>
      <c r="V141" s="31"/>
      <c r="W141" s="31"/>
      <c r="X141" s="31"/>
      <c r="AD141" s="31"/>
      <c r="AE141" s="31"/>
      <c r="AF141" s="31"/>
    </row>
    <row r="142" ht="15.75" hidden="1" customHeight="1">
      <c r="H142" s="81"/>
      <c r="N142" s="85"/>
      <c r="O142" s="85"/>
      <c r="P142" s="86"/>
      <c r="V142" s="31"/>
      <c r="W142" s="31"/>
      <c r="X142" s="31"/>
      <c r="AD142" s="31"/>
      <c r="AE142" s="31"/>
      <c r="AF142" s="31"/>
    </row>
    <row r="143" ht="15.75" hidden="1" customHeight="1">
      <c r="H143" s="81"/>
      <c r="N143" s="85"/>
      <c r="O143" s="85"/>
      <c r="P143" s="86"/>
      <c r="V143" s="31"/>
      <c r="W143" s="31"/>
      <c r="X143" s="31"/>
      <c r="AD143" s="31"/>
      <c r="AE143" s="31"/>
      <c r="AF143" s="31"/>
    </row>
    <row r="144" ht="15.75" hidden="1" customHeight="1">
      <c r="H144" s="81"/>
      <c r="N144" s="85"/>
      <c r="O144" s="85"/>
      <c r="P144" s="86"/>
      <c r="V144" s="31"/>
      <c r="W144" s="31"/>
      <c r="X144" s="31"/>
      <c r="AD144" s="31"/>
      <c r="AE144" s="31"/>
      <c r="AF144" s="31"/>
    </row>
    <row r="145" ht="15.75" hidden="1" customHeight="1">
      <c r="H145" s="81"/>
      <c r="N145" s="85"/>
      <c r="O145" s="85"/>
      <c r="P145" s="86"/>
      <c r="V145" s="31"/>
      <c r="W145" s="31"/>
      <c r="X145" s="31"/>
      <c r="AD145" s="31"/>
      <c r="AE145" s="31"/>
      <c r="AF145" s="31"/>
    </row>
    <row r="146" ht="15.75" hidden="1" customHeight="1">
      <c r="H146" s="81"/>
      <c r="N146" s="85"/>
      <c r="O146" s="85"/>
      <c r="P146" s="86"/>
      <c r="V146" s="31"/>
      <c r="W146" s="31"/>
      <c r="X146" s="31"/>
      <c r="AD146" s="31"/>
      <c r="AE146" s="31"/>
      <c r="AF146" s="31"/>
    </row>
    <row r="147" ht="15.75" hidden="1" customHeight="1">
      <c r="H147" s="81"/>
      <c r="N147" s="85"/>
      <c r="O147" s="85"/>
      <c r="P147" s="86"/>
      <c r="V147" s="31"/>
      <c r="W147" s="31"/>
      <c r="X147" s="31"/>
      <c r="AD147" s="31"/>
      <c r="AE147" s="31"/>
      <c r="AF147" s="31"/>
    </row>
    <row r="148" ht="15.75" hidden="1" customHeight="1">
      <c r="H148" s="81"/>
      <c r="N148" s="85"/>
      <c r="O148" s="85"/>
      <c r="P148" s="86"/>
      <c r="V148" s="31"/>
      <c r="W148" s="31"/>
      <c r="X148" s="31"/>
      <c r="AD148" s="31"/>
      <c r="AE148" s="31"/>
      <c r="AF148" s="31"/>
    </row>
    <row r="149" ht="15.75" hidden="1" customHeight="1">
      <c r="H149" s="81"/>
      <c r="N149" s="85"/>
      <c r="O149" s="85"/>
      <c r="P149" s="86"/>
      <c r="V149" s="31"/>
      <c r="W149" s="31"/>
      <c r="X149" s="31"/>
      <c r="AD149" s="31"/>
      <c r="AE149" s="31"/>
      <c r="AF149" s="31"/>
    </row>
    <row r="150" ht="15.75" hidden="1" customHeight="1">
      <c r="H150" s="81"/>
      <c r="N150" s="85"/>
      <c r="O150" s="85"/>
      <c r="P150" s="86"/>
      <c r="V150" s="31"/>
      <c r="W150" s="31"/>
      <c r="X150" s="31"/>
      <c r="AD150" s="31"/>
      <c r="AE150" s="31"/>
      <c r="AF150" s="31"/>
    </row>
    <row r="151" ht="15.75" hidden="1" customHeight="1">
      <c r="H151" s="81"/>
      <c r="N151" s="85"/>
      <c r="O151" s="85"/>
      <c r="P151" s="86"/>
      <c r="V151" s="31"/>
      <c r="W151" s="31"/>
      <c r="X151" s="31"/>
      <c r="AD151" s="31"/>
      <c r="AE151" s="31"/>
      <c r="AF151" s="31"/>
    </row>
    <row r="152" ht="15.75" hidden="1" customHeight="1">
      <c r="H152" s="81"/>
      <c r="N152" s="85"/>
      <c r="O152" s="85"/>
      <c r="P152" s="86"/>
      <c r="V152" s="31"/>
      <c r="W152" s="31"/>
      <c r="X152" s="31"/>
      <c r="AD152" s="31"/>
      <c r="AE152" s="31"/>
      <c r="AF152" s="31"/>
    </row>
    <row r="153" ht="15.75" hidden="1" customHeight="1">
      <c r="H153" s="81"/>
      <c r="N153" s="85"/>
      <c r="O153" s="85"/>
      <c r="P153" s="86"/>
      <c r="V153" s="31"/>
      <c r="W153" s="31"/>
      <c r="X153" s="31"/>
      <c r="AD153" s="31"/>
      <c r="AE153" s="31"/>
      <c r="AF153" s="31"/>
    </row>
    <row r="154" ht="15.75" hidden="1" customHeight="1">
      <c r="H154" s="81"/>
      <c r="N154" s="85"/>
      <c r="O154" s="85"/>
      <c r="P154" s="86"/>
      <c r="V154" s="31"/>
      <c r="W154" s="31"/>
      <c r="X154" s="31"/>
      <c r="AD154" s="31"/>
      <c r="AE154" s="31"/>
      <c r="AF154" s="31"/>
    </row>
    <row r="155" ht="15.75" hidden="1" customHeight="1">
      <c r="H155" s="81"/>
      <c r="N155" s="85"/>
      <c r="O155" s="85"/>
      <c r="P155" s="86"/>
      <c r="V155" s="31"/>
      <c r="W155" s="31"/>
      <c r="X155" s="31"/>
      <c r="AD155" s="31"/>
      <c r="AE155" s="31"/>
      <c r="AF155" s="31"/>
    </row>
    <row r="156" ht="15.75" hidden="1" customHeight="1">
      <c r="H156" s="81"/>
      <c r="N156" s="85"/>
      <c r="O156" s="85"/>
      <c r="P156" s="86"/>
      <c r="V156" s="31"/>
      <c r="W156" s="31"/>
      <c r="X156" s="31"/>
      <c r="AD156" s="31"/>
      <c r="AE156" s="31"/>
      <c r="AF156" s="31"/>
    </row>
    <row r="157" ht="15.75" hidden="1" customHeight="1">
      <c r="H157" s="81"/>
      <c r="N157" s="85"/>
      <c r="O157" s="85"/>
      <c r="P157" s="86"/>
      <c r="V157" s="31"/>
      <c r="W157" s="31"/>
      <c r="X157" s="31"/>
      <c r="AD157" s="31"/>
      <c r="AE157" s="31"/>
      <c r="AF157" s="31"/>
    </row>
    <row r="158" ht="15.75" hidden="1" customHeight="1">
      <c r="H158" s="81"/>
      <c r="N158" s="85"/>
      <c r="O158" s="85"/>
      <c r="P158" s="86"/>
      <c r="V158" s="31"/>
      <c r="W158" s="31"/>
      <c r="X158" s="31"/>
      <c r="AD158" s="31"/>
      <c r="AE158" s="31"/>
      <c r="AF158" s="31"/>
    </row>
    <row r="159" ht="15.75" hidden="1" customHeight="1">
      <c r="H159" s="81"/>
      <c r="N159" s="85"/>
      <c r="O159" s="85"/>
      <c r="P159" s="86"/>
      <c r="V159" s="31"/>
      <c r="W159" s="31"/>
      <c r="X159" s="31"/>
      <c r="AD159" s="31"/>
      <c r="AE159" s="31"/>
      <c r="AF159" s="31"/>
    </row>
    <row r="160" ht="15.75" hidden="1" customHeight="1">
      <c r="H160" s="81"/>
      <c r="N160" s="85"/>
      <c r="O160" s="85"/>
      <c r="P160" s="86"/>
      <c r="V160" s="31"/>
      <c r="W160" s="31"/>
      <c r="X160" s="31"/>
      <c r="AD160" s="31"/>
      <c r="AE160" s="31"/>
      <c r="AF160" s="31"/>
    </row>
    <row r="161" ht="15.75" hidden="1" customHeight="1">
      <c r="H161" s="81"/>
      <c r="N161" s="85"/>
      <c r="O161" s="85"/>
      <c r="P161" s="86"/>
      <c r="V161" s="31"/>
      <c r="W161" s="31"/>
      <c r="X161" s="31"/>
      <c r="AD161" s="31"/>
      <c r="AE161" s="31"/>
      <c r="AF161" s="31"/>
    </row>
    <row r="162" ht="15.75" hidden="1" customHeight="1">
      <c r="H162" s="81"/>
      <c r="N162" s="85"/>
      <c r="O162" s="85"/>
      <c r="P162" s="86"/>
      <c r="V162" s="31"/>
      <c r="W162" s="31"/>
      <c r="X162" s="31"/>
      <c r="AD162" s="31"/>
      <c r="AE162" s="31"/>
      <c r="AF162" s="31"/>
    </row>
    <row r="163" ht="15.75" hidden="1" customHeight="1">
      <c r="H163" s="81"/>
      <c r="N163" s="85"/>
      <c r="O163" s="85"/>
      <c r="P163" s="86"/>
      <c r="V163" s="31"/>
      <c r="W163" s="31"/>
      <c r="X163" s="31"/>
      <c r="AD163" s="31"/>
      <c r="AE163" s="31"/>
      <c r="AF163" s="31"/>
    </row>
    <row r="164" ht="15.75" hidden="1" customHeight="1">
      <c r="H164" s="81"/>
      <c r="N164" s="85"/>
      <c r="O164" s="85"/>
      <c r="P164" s="86"/>
      <c r="V164" s="31"/>
      <c r="W164" s="31"/>
      <c r="X164" s="31"/>
      <c r="AD164" s="31"/>
      <c r="AE164" s="31"/>
      <c r="AF164" s="31"/>
    </row>
    <row r="165" ht="15.75" hidden="1" customHeight="1">
      <c r="H165" s="81"/>
      <c r="N165" s="85"/>
      <c r="O165" s="85"/>
      <c r="P165" s="86"/>
      <c r="V165" s="31"/>
      <c r="W165" s="31"/>
      <c r="X165" s="31"/>
      <c r="AD165" s="31"/>
      <c r="AE165" s="31"/>
      <c r="AF165" s="31"/>
    </row>
    <row r="166" ht="15.75" hidden="1" customHeight="1">
      <c r="H166" s="81"/>
      <c r="N166" s="85"/>
      <c r="O166" s="85"/>
      <c r="P166" s="86"/>
      <c r="V166" s="31"/>
      <c r="W166" s="31"/>
      <c r="X166" s="31"/>
      <c r="AD166" s="31"/>
      <c r="AE166" s="31"/>
      <c r="AF166" s="31"/>
    </row>
    <row r="167" ht="15.75" hidden="1" customHeight="1">
      <c r="H167" s="81"/>
      <c r="N167" s="85"/>
      <c r="O167" s="85"/>
      <c r="P167" s="86"/>
      <c r="V167" s="31"/>
      <c r="W167" s="31"/>
      <c r="X167" s="31"/>
      <c r="AD167" s="31"/>
      <c r="AE167" s="31"/>
      <c r="AF167" s="31"/>
    </row>
    <row r="168" ht="15.75" hidden="1" customHeight="1">
      <c r="H168" s="81"/>
      <c r="N168" s="85"/>
      <c r="O168" s="85"/>
      <c r="P168" s="86"/>
      <c r="V168" s="31"/>
      <c r="W168" s="31"/>
      <c r="X168" s="31"/>
      <c r="AD168" s="31"/>
      <c r="AE168" s="31"/>
      <c r="AF168" s="31"/>
    </row>
    <row r="169" ht="15.75" hidden="1" customHeight="1">
      <c r="H169" s="81"/>
      <c r="N169" s="85"/>
      <c r="O169" s="85"/>
      <c r="P169" s="86"/>
      <c r="V169" s="31"/>
      <c r="W169" s="31"/>
      <c r="X169" s="31"/>
      <c r="AD169" s="31"/>
      <c r="AE169" s="31"/>
      <c r="AF169" s="31"/>
    </row>
    <row r="170" ht="15.75" hidden="1" customHeight="1">
      <c r="H170" s="81"/>
      <c r="N170" s="85"/>
      <c r="O170" s="85"/>
      <c r="P170" s="86"/>
      <c r="V170" s="31"/>
      <c r="W170" s="31"/>
      <c r="X170" s="31"/>
      <c r="AD170" s="31"/>
      <c r="AE170" s="31"/>
      <c r="AF170" s="31"/>
    </row>
    <row r="171" ht="15.75" hidden="1" customHeight="1">
      <c r="H171" s="81"/>
      <c r="N171" s="85"/>
      <c r="O171" s="85"/>
      <c r="P171" s="86"/>
      <c r="V171" s="31"/>
      <c r="W171" s="31"/>
      <c r="X171" s="31"/>
      <c r="AD171" s="31"/>
      <c r="AE171" s="31"/>
      <c r="AF171" s="31"/>
    </row>
    <row r="172" ht="15.75" hidden="1" customHeight="1">
      <c r="H172" s="81"/>
      <c r="N172" s="85"/>
      <c r="O172" s="85"/>
      <c r="P172" s="86"/>
      <c r="V172" s="31"/>
      <c r="W172" s="31"/>
      <c r="X172" s="31"/>
      <c r="AD172" s="31"/>
      <c r="AE172" s="31"/>
      <c r="AF172" s="31"/>
    </row>
    <row r="173" ht="15.75" hidden="1" customHeight="1">
      <c r="H173" s="81"/>
      <c r="N173" s="85"/>
      <c r="O173" s="85"/>
      <c r="P173" s="86"/>
      <c r="V173" s="31"/>
      <c r="W173" s="31"/>
      <c r="X173" s="31"/>
      <c r="AD173" s="31"/>
      <c r="AE173" s="31"/>
      <c r="AF173" s="31"/>
    </row>
    <row r="174" ht="15.75" hidden="1" customHeight="1">
      <c r="H174" s="81"/>
      <c r="N174" s="85"/>
      <c r="O174" s="85"/>
      <c r="P174" s="86"/>
      <c r="V174" s="31"/>
      <c r="W174" s="31"/>
      <c r="X174" s="31"/>
      <c r="AD174" s="31"/>
      <c r="AE174" s="31"/>
      <c r="AF174" s="31"/>
    </row>
    <row r="175" ht="15.75" hidden="1" customHeight="1">
      <c r="H175" s="81"/>
      <c r="N175" s="85"/>
      <c r="O175" s="85"/>
      <c r="P175" s="86"/>
      <c r="V175" s="31"/>
      <c r="W175" s="31"/>
      <c r="X175" s="31"/>
      <c r="AD175" s="31"/>
      <c r="AE175" s="31"/>
      <c r="AF175" s="31"/>
    </row>
    <row r="176" ht="15.75" hidden="1" customHeight="1">
      <c r="H176" s="81"/>
      <c r="N176" s="85"/>
      <c r="O176" s="85"/>
      <c r="P176" s="86"/>
      <c r="V176" s="31"/>
      <c r="W176" s="31"/>
      <c r="X176" s="31"/>
      <c r="AD176" s="31"/>
      <c r="AE176" s="31"/>
      <c r="AF176" s="31"/>
    </row>
    <row r="177" ht="15.75" hidden="1" customHeight="1">
      <c r="H177" s="81"/>
      <c r="N177" s="85"/>
      <c r="O177" s="85"/>
      <c r="P177" s="86"/>
      <c r="V177" s="31"/>
      <c r="W177" s="31"/>
      <c r="X177" s="31"/>
      <c r="AD177" s="31"/>
      <c r="AE177" s="31"/>
      <c r="AF177" s="31"/>
    </row>
    <row r="178" ht="15.75" hidden="1" customHeight="1">
      <c r="H178" s="81"/>
      <c r="N178" s="85"/>
      <c r="O178" s="85"/>
      <c r="P178" s="86"/>
      <c r="V178" s="31"/>
      <c r="W178" s="31"/>
      <c r="X178" s="31"/>
      <c r="AD178" s="31"/>
      <c r="AE178" s="31"/>
      <c r="AF178" s="31"/>
    </row>
    <row r="179" ht="15.75" hidden="1" customHeight="1">
      <c r="H179" s="81"/>
      <c r="N179" s="85"/>
      <c r="O179" s="85"/>
      <c r="P179" s="86"/>
      <c r="V179" s="31"/>
      <c r="W179" s="31"/>
      <c r="X179" s="31"/>
      <c r="AD179" s="31"/>
      <c r="AE179" s="31"/>
      <c r="AF179" s="31"/>
    </row>
    <row r="180" ht="15.75" hidden="1" customHeight="1">
      <c r="H180" s="81"/>
      <c r="N180" s="85"/>
      <c r="O180" s="85"/>
      <c r="P180" s="86"/>
      <c r="V180" s="31"/>
      <c r="W180" s="31"/>
      <c r="X180" s="31"/>
      <c r="AD180" s="31"/>
      <c r="AE180" s="31"/>
      <c r="AF180" s="31"/>
    </row>
    <row r="181" ht="15.75" hidden="1" customHeight="1">
      <c r="H181" s="81"/>
      <c r="N181" s="85"/>
      <c r="O181" s="85"/>
      <c r="P181" s="86"/>
      <c r="V181" s="31"/>
      <c r="W181" s="31"/>
      <c r="X181" s="31"/>
      <c r="AD181" s="31"/>
      <c r="AE181" s="31"/>
      <c r="AF181" s="31"/>
    </row>
    <row r="182" ht="15.75" hidden="1" customHeight="1">
      <c r="H182" s="81"/>
      <c r="N182" s="85"/>
      <c r="O182" s="85"/>
      <c r="P182" s="86"/>
      <c r="V182" s="31"/>
      <c r="W182" s="31"/>
      <c r="X182" s="31"/>
      <c r="AD182" s="31"/>
      <c r="AE182" s="31"/>
      <c r="AF182" s="31"/>
    </row>
    <row r="183" ht="15.75" hidden="1" customHeight="1">
      <c r="H183" s="81"/>
      <c r="N183" s="85"/>
      <c r="O183" s="85"/>
      <c r="P183" s="86"/>
      <c r="V183" s="31"/>
      <c r="W183" s="31"/>
      <c r="X183" s="31"/>
      <c r="AD183" s="31"/>
      <c r="AE183" s="31"/>
      <c r="AF183" s="31"/>
    </row>
    <row r="184" ht="15.75" hidden="1" customHeight="1">
      <c r="H184" s="81"/>
      <c r="N184" s="85"/>
      <c r="O184" s="85"/>
      <c r="P184" s="86"/>
      <c r="V184" s="31"/>
      <c r="W184" s="31"/>
      <c r="X184" s="31"/>
      <c r="AD184" s="31"/>
      <c r="AE184" s="31"/>
      <c r="AF184" s="31"/>
    </row>
    <row r="185" ht="15.75" hidden="1" customHeight="1">
      <c r="H185" s="81"/>
      <c r="N185" s="85"/>
      <c r="O185" s="85"/>
      <c r="P185" s="86"/>
      <c r="V185" s="31"/>
      <c r="W185" s="31"/>
      <c r="X185" s="31"/>
      <c r="AD185" s="31"/>
      <c r="AE185" s="31"/>
      <c r="AF185" s="31"/>
    </row>
    <row r="186" ht="15.75" hidden="1" customHeight="1">
      <c r="H186" s="81"/>
      <c r="N186" s="85"/>
      <c r="O186" s="85"/>
      <c r="P186" s="86"/>
      <c r="V186" s="31"/>
      <c r="W186" s="31"/>
      <c r="X186" s="31"/>
      <c r="AD186" s="31"/>
      <c r="AE186" s="31"/>
      <c r="AF186" s="31"/>
    </row>
    <row r="187" ht="15.75" hidden="1" customHeight="1">
      <c r="H187" s="81"/>
      <c r="N187" s="85"/>
      <c r="O187" s="85"/>
      <c r="P187" s="86"/>
      <c r="V187" s="31"/>
      <c r="W187" s="31"/>
      <c r="X187" s="31"/>
      <c r="AD187" s="31"/>
      <c r="AE187" s="31"/>
      <c r="AF187" s="31"/>
    </row>
    <row r="188" ht="15.75" hidden="1" customHeight="1">
      <c r="H188" s="81"/>
      <c r="N188" s="85"/>
      <c r="O188" s="85"/>
      <c r="P188" s="86"/>
      <c r="V188" s="31"/>
      <c r="W188" s="31"/>
      <c r="X188" s="31"/>
      <c r="AD188" s="31"/>
      <c r="AE188" s="31"/>
      <c r="AF188" s="31"/>
    </row>
    <row r="189" ht="15.75" hidden="1" customHeight="1">
      <c r="H189" s="81"/>
      <c r="N189" s="85"/>
      <c r="O189" s="85"/>
      <c r="P189" s="86"/>
      <c r="V189" s="31"/>
      <c r="W189" s="31"/>
      <c r="X189" s="31"/>
      <c r="AD189" s="31"/>
      <c r="AE189" s="31"/>
      <c r="AF189" s="31"/>
    </row>
    <row r="190" ht="15.75" hidden="1" customHeight="1">
      <c r="H190" s="81"/>
      <c r="N190" s="85"/>
      <c r="O190" s="85"/>
      <c r="P190" s="86"/>
      <c r="V190" s="31"/>
      <c r="W190" s="31"/>
      <c r="X190" s="31"/>
      <c r="AD190" s="31"/>
      <c r="AE190" s="31"/>
      <c r="AF190" s="31"/>
    </row>
    <row r="191" ht="15.75" hidden="1" customHeight="1">
      <c r="H191" s="81"/>
      <c r="N191" s="85"/>
      <c r="O191" s="85"/>
      <c r="P191" s="86"/>
      <c r="V191" s="31"/>
      <c r="W191" s="31"/>
      <c r="X191" s="31"/>
      <c r="AD191" s="31"/>
      <c r="AE191" s="31"/>
      <c r="AF191" s="31"/>
    </row>
    <row r="192" ht="15.75" hidden="1" customHeight="1">
      <c r="H192" s="81"/>
      <c r="N192" s="85"/>
      <c r="O192" s="85"/>
      <c r="P192" s="86"/>
      <c r="V192" s="31"/>
      <c r="W192" s="31"/>
      <c r="X192" s="31"/>
      <c r="AD192" s="31"/>
      <c r="AE192" s="31"/>
      <c r="AF192" s="31"/>
    </row>
    <row r="193" ht="15.75" hidden="1" customHeight="1">
      <c r="H193" s="81"/>
      <c r="N193" s="85"/>
      <c r="O193" s="85"/>
      <c r="P193" s="86"/>
      <c r="V193" s="31"/>
      <c r="W193" s="31"/>
      <c r="X193" s="31"/>
      <c r="AD193" s="31"/>
      <c r="AE193" s="31"/>
      <c r="AF193" s="31"/>
    </row>
    <row r="194" ht="15.75" hidden="1" customHeight="1">
      <c r="H194" s="81"/>
      <c r="N194" s="85"/>
      <c r="O194" s="85"/>
      <c r="P194" s="86"/>
      <c r="V194" s="31"/>
      <c r="W194" s="31"/>
      <c r="X194" s="31"/>
      <c r="AD194" s="31"/>
      <c r="AE194" s="31"/>
      <c r="AF194" s="31"/>
    </row>
    <row r="195" ht="15.75" hidden="1" customHeight="1">
      <c r="H195" s="81"/>
      <c r="N195" s="85"/>
      <c r="O195" s="85"/>
      <c r="P195" s="86"/>
      <c r="V195" s="31"/>
      <c r="W195" s="31"/>
      <c r="X195" s="31"/>
      <c r="AD195" s="31"/>
      <c r="AE195" s="31"/>
      <c r="AF195" s="31"/>
    </row>
    <row r="196" ht="15.75" hidden="1" customHeight="1">
      <c r="H196" s="81"/>
      <c r="N196" s="85"/>
      <c r="O196" s="85"/>
      <c r="P196" s="86"/>
      <c r="V196" s="31"/>
      <c r="W196" s="31"/>
      <c r="X196" s="31"/>
      <c r="AD196" s="31"/>
      <c r="AE196" s="31"/>
      <c r="AF196" s="31"/>
    </row>
    <row r="197" ht="15.75" hidden="1" customHeight="1">
      <c r="H197" s="81"/>
      <c r="N197" s="85"/>
      <c r="O197" s="85"/>
      <c r="P197" s="86"/>
      <c r="V197" s="31"/>
      <c r="W197" s="31"/>
      <c r="X197" s="31"/>
      <c r="AD197" s="31"/>
      <c r="AE197" s="31"/>
      <c r="AF197" s="31"/>
    </row>
    <row r="198" ht="15.75" hidden="1" customHeight="1">
      <c r="H198" s="81"/>
      <c r="N198" s="85"/>
      <c r="O198" s="85"/>
      <c r="P198" s="86"/>
      <c r="V198" s="31"/>
      <c r="W198" s="31"/>
      <c r="X198" s="31"/>
      <c r="AD198" s="31"/>
      <c r="AE198" s="31"/>
      <c r="AF198" s="31"/>
    </row>
    <row r="199" ht="15.75" hidden="1" customHeight="1">
      <c r="H199" s="81"/>
      <c r="N199" s="85"/>
      <c r="O199" s="85"/>
      <c r="P199" s="86"/>
      <c r="V199" s="31"/>
      <c r="W199" s="31"/>
      <c r="X199" s="31"/>
      <c r="AD199" s="31"/>
      <c r="AE199" s="31"/>
      <c r="AF199" s="31"/>
    </row>
    <row r="200" ht="15.75" hidden="1" customHeight="1">
      <c r="H200" s="81"/>
      <c r="N200" s="85"/>
      <c r="O200" s="85"/>
      <c r="P200" s="86"/>
      <c r="V200" s="31"/>
      <c r="W200" s="31"/>
      <c r="X200" s="31"/>
      <c r="AD200" s="31"/>
      <c r="AE200" s="31"/>
      <c r="AF200" s="31"/>
    </row>
    <row r="201" ht="15.75" hidden="1" customHeight="1">
      <c r="H201" s="81"/>
      <c r="N201" s="85"/>
      <c r="O201" s="85"/>
      <c r="P201" s="86"/>
      <c r="V201" s="31"/>
      <c r="W201" s="31"/>
      <c r="X201" s="31"/>
      <c r="AD201" s="31"/>
      <c r="AE201" s="31"/>
      <c r="AF201" s="31"/>
    </row>
    <row r="202" ht="15.75" hidden="1" customHeight="1">
      <c r="H202" s="81"/>
      <c r="N202" s="85"/>
      <c r="O202" s="85"/>
      <c r="P202" s="86"/>
      <c r="V202" s="31"/>
      <c r="W202" s="31"/>
      <c r="X202" s="31"/>
      <c r="AD202" s="31"/>
      <c r="AE202" s="31"/>
      <c r="AF202" s="31"/>
    </row>
    <row r="203" ht="15.75" hidden="1" customHeight="1">
      <c r="H203" s="81"/>
      <c r="N203" s="85"/>
      <c r="O203" s="85"/>
      <c r="P203" s="86"/>
      <c r="V203" s="31"/>
      <c r="W203" s="31"/>
      <c r="X203" s="31"/>
      <c r="AD203" s="31"/>
      <c r="AE203" s="31"/>
      <c r="AF203" s="31"/>
    </row>
    <row r="204" ht="15.75" hidden="1" customHeight="1">
      <c r="H204" s="81"/>
      <c r="N204" s="85"/>
      <c r="O204" s="85"/>
      <c r="P204" s="86"/>
      <c r="V204" s="31"/>
      <c r="W204" s="31"/>
      <c r="X204" s="31"/>
      <c r="AD204" s="31"/>
      <c r="AE204" s="31"/>
      <c r="AF204" s="31"/>
    </row>
    <row r="205" ht="15.75" hidden="1" customHeight="1">
      <c r="H205" s="81"/>
      <c r="N205" s="85"/>
      <c r="O205" s="85"/>
      <c r="P205" s="86"/>
      <c r="V205" s="31"/>
      <c r="W205" s="31"/>
      <c r="X205" s="31"/>
      <c r="AD205" s="31"/>
      <c r="AE205" s="31"/>
      <c r="AF205" s="31"/>
    </row>
    <row r="206" ht="15.75" hidden="1" customHeight="1">
      <c r="H206" s="81"/>
      <c r="N206" s="85"/>
      <c r="O206" s="85"/>
      <c r="P206" s="86"/>
      <c r="V206" s="31"/>
      <c r="W206" s="31"/>
      <c r="X206" s="31"/>
      <c r="AD206" s="31"/>
      <c r="AE206" s="31"/>
      <c r="AF206" s="31"/>
    </row>
    <row r="207" ht="15.75" hidden="1" customHeight="1">
      <c r="H207" s="81"/>
      <c r="N207" s="85"/>
      <c r="O207" s="85"/>
      <c r="P207" s="86"/>
      <c r="V207" s="31"/>
      <c r="W207" s="31"/>
      <c r="X207" s="31"/>
      <c r="AD207" s="31"/>
      <c r="AE207" s="31"/>
      <c r="AF207" s="31"/>
    </row>
    <row r="208" ht="15.75" hidden="1" customHeight="1">
      <c r="H208" s="81"/>
      <c r="N208" s="85"/>
      <c r="O208" s="85"/>
      <c r="P208" s="86"/>
      <c r="V208" s="31"/>
      <c r="W208" s="31"/>
      <c r="X208" s="31"/>
      <c r="AD208" s="31"/>
      <c r="AE208" s="31"/>
      <c r="AF208" s="31"/>
    </row>
    <row r="209" ht="15.75" hidden="1" customHeight="1">
      <c r="H209" s="81"/>
      <c r="N209" s="85"/>
      <c r="O209" s="85"/>
      <c r="P209" s="86"/>
      <c r="V209" s="31"/>
      <c r="W209" s="31"/>
      <c r="X209" s="31"/>
      <c r="AD209" s="31"/>
      <c r="AE209" s="31"/>
      <c r="AF209" s="31"/>
    </row>
    <row r="210" ht="15.75" hidden="1" customHeight="1">
      <c r="H210" s="81"/>
      <c r="N210" s="85"/>
      <c r="O210" s="85"/>
      <c r="P210" s="86"/>
      <c r="V210" s="31"/>
      <c r="W210" s="31"/>
      <c r="X210" s="31"/>
      <c r="AD210" s="31"/>
      <c r="AE210" s="31"/>
      <c r="AF210" s="31"/>
    </row>
    <row r="211" ht="15.75" hidden="1" customHeight="1">
      <c r="H211" s="81"/>
      <c r="N211" s="85"/>
      <c r="O211" s="85"/>
      <c r="P211" s="86"/>
      <c r="V211" s="31"/>
      <c r="W211" s="31"/>
      <c r="X211" s="31"/>
      <c r="AD211" s="31"/>
      <c r="AE211" s="31"/>
      <c r="AF211" s="31"/>
    </row>
    <row r="212" ht="15.75" hidden="1" customHeight="1">
      <c r="H212" s="81"/>
      <c r="N212" s="85"/>
      <c r="O212" s="85"/>
      <c r="P212" s="86"/>
      <c r="V212" s="31"/>
      <c r="W212" s="31"/>
      <c r="X212" s="31"/>
      <c r="AD212" s="31"/>
      <c r="AE212" s="31"/>
      <c r="AF212" s="31"/>
    </row>
    <row r="213" ht="15.75" hidden="1" customHeight="1">
      <c r="H213" s="81"/>
      <c r="N213" s="85"/>
      <c r="O213" s="85"/>
      <c r="P213" s="86"/>
      <c r="V213" s="31"/>
      <c r="W213" s="31"/>
      <c r="X213" s="31"/>
      <c r="AD213" s="31"/>
      <c r="AE213" s="31"/>
      <c r="AF213" s="31"/>
    </row>
    <row r="214" ht="15.75" hidden="1" customHeight="1">
      <c r="H214" s="81"/>
      <c r="N214" s="85"/>
      <c r="O214" s="85"/>
      <c r="P214" s="86"/>
      <c r="V214" s="31"/>
      <c r="W214" s="31"/>
      <c r="X214" s="31"/>
      <c r="AD214" s="31"/>
      <c r="AE214" s="31"/>
      <c r="AF214" s="31"/>
    </row>
    <row r="215" ht="15.75" hidden="1" customHeight="1">
      <c r="H215" s="81"/>
      <c r="N215" s="85"/>
      <c r="O215" s="85"/>
      <c r="P215" s="86"/>
      <c r="V215" s="31"/>
      <c r="W215" s="31"/>
      <c r="X215" s="31"/>
      <c r="AD215" s="31"/>
      <c r="AE215" s="31"/>
      <c r="AF215" s="31"/>
    </row>
    <row r="216" ht="15.75" hidden="1" customHeight="1">
      <c r="H216" s="81"/>
      <c r="N216" s="85"/>
      <c r="O216" s="85"/>
      <c r="P216" s="86"/>
      <c r="V216" s="31"/>
      <c r="W216" s="31"/>
      <c r="X216" s="31"/>
      <c r="AD216" s="31"/>
      <c r="AE216" s="31"/>
      <c r="AF216" s="31"/>
    </row>
    <row r="217" ht="15.75" hidden="1" customHeight="1">
      <c r="H217" s="81"/>
      <c r="N217" s="85"/>
      <c r="O217" s="85"/>
      <c r="P217" s="86"/>
      <c r="V217" s="31"/>
      <c r="W217" s="31"/>
      <c r="X217" s="31"/>
      <c r="AD217" s="31"/>
      <c r="AE217" s="31"/>
      <c r="AF217" s="31"/>
    </row>
    <row r="218" ht="15.75" hidden="1" customHeight="1">
      <c r="H218" s="81"/>
      <c r="N218" s="85"/>
      <c r="O218" s="85"/>
      <c r="P218" s="86"/>
      <c r="V218" s="31"/>
      <c r="W218" s="31"/>
      <c r="X218" s="31"/>
      <c r="AD218" s="31"/>
      <c r="AE218" s="31"/>
      <c r="AF218" s="31"/>
    </row>
    <row r="219" ht="15.75" hidden="1" customHeight="1">
      <c r="H219" s="81"/>
      <c r="N219" s="85"/>
      <c r="O219" s="85"/>
      <c r="P219" s="86"/>
      <c r="V219" s="31"/>
      <c r="W219" s="31"/>
      <c r="X219" s="31"/>
      <c r="AD219" s="31"/>
      <c r="AE219" s="31"/>
      <c r="AF219" s="31"/>
    </row>
    <row r="220" ht="15.75" hidden="1" customHeight="1">
      <c r="H220" s="81"/>
      <c r="N220" s="85"/>
      <c r="O220" s="85"/>
      <c r="P220" s="86"/>
      <c r="V220" s="31"/>
      <c r="W220" s="31"/>
      <c r="X220" s="31"/>
      <c r="AD220" s="31"/>
      <c r="AE220" s="31"/>
      <c r="AF220" s="31"/>
    </row>
    <row r="221" ht="15.75" hidden="1" customHeight="1">
      <c r="H221" s="81"/>
      <c r="N221" s="85"/>
      <c r="O221" s="85"/>
      <c r="P221" s="86"/>
      <c r="V221" s="31"/>
      <c r="W221" s="31"/>
      <c r="X221" s="31"/>
      <c r="AD221" s="31"/>
      <c r="AE221" s="31"/>
      <c r="AF221" s="31"/>
    </row>
    <row r="222" ht="15.75" hidden="1" customHeight="1">
      <c r="H222" s="81"/>
      <c r="N222" s="85"/>
      <c r="O222" s="85"/>
      <c r="P222" s="86"/>
      <c r="V222" s="31"/>
      <c r="W222" s="31"/>
      <c r="X222" s="31"/>
      <c r="AD222" s="31"/>
      <c r="AE222" s="31"/>
      <c r="AF222" s="31"/>
    </row>
    <row r="223" ht="15.75" hidden="1" customHeight="1">
      <c r="H223" s="81"/>
      <c r="N223" s="85"/>
      <c r="O223" s="85"/>
      <c r="P223" s="86"/>
      <c r="V223" s="31"/>
      <c r="W223" s="31"/>
      <c r="X223" s="31"/>
      <c r="AD223" s="31"/>
      <c r="AE223" s="31"/>
      <c r="AF223" s="31"/>
    </row>
    <row r="224" ht="15.75" hidden="1" customHeight="1">
      <c r="H224" s="81"/>
      <c r="N224" s="85"/>
      <c r="O224" s="85"/>
      <c r="P224" s="86"/>
      <c r="V224" s="31"/>
      <c r="W224" s="31"/>
      <c r="X224" s="31"/>
      <c r="AD224" s="31"/>
      <c r="AE224" s="31"/>
      <c r="AF224" s="31"/>
    </row>
    <row r="225" ht="15.75" hidden="1" customHeight="1">
      <c r="H225" s="81"/>
      <c r="N225" s="85"/>
      <c r="O225" s="85"/>
      <c r="P225" s="86"/>
      <c r="V225" s="31"/>
      <c r="W225" s="31"/>
      <c r="X225" s="31"/>
      <c r="AD225" s="31"/>
      <c r="AE225" s="31"/>
      <c r="AF225" s="31"/>
    </row>
    <row r="226" ht="15.75" hidden="1" customHeight="1">
      <c r="H226" s="81"/>
      <c r="N226" s="85"/>
      <c r="O226" s="85"/>
      <c r="P226" s="86"/>
      <c r="V226" s="31"/>
      <c r="W226" s="31"/>
      <c r="X226" s="31"/>
      <c r="AD226" s="31"/>
      <c r="AE226" s="31"/>
      <c r="AF226" s="31"/>
    </row>
    <row r="227" ht="15.75" hidden="1" customHeight="1">
      <c r="H227" s="81"/>
      <c r="N227" s="85"/>
      <c r="O227" s="85"/>
      <c r="P227" s="86"/>
      <c r="V227" s="31"/>
      <c r="W227" s="31"/>
      <c r="X227" s="31"/>
      <c r="AD227" s="31"/>
      <c r="AE227" s="31"/>
      <c r="AF227" s="31"/>
    </row>
    <row r="228" ht="15.75" hidden="1" customHeight="1">
      <c r="H228" s="81"/>
      <c r="N228" s="85"/>
      <c r="O228" s="85"/>
      <c r="P228" s="86"/>
      <c r="V228" s="31"/>
      <c r="W228" s="31"/>
      <c r="X228" s="31"/>
      <c r="AD228" s="31"/>
      <c r="AE228" s="31"/>
      <c r="AF228" s="31"/>
    </row>
    <row r="229" ht="15.75" hidden="1" customHeight="1">
      <c r="H229" s="81"/>
      <c r="N229" s="85"/>
      <c r="O229" s="85"/>
      <c r="P229" s="86"/>
      <c r="V229" s="31"/>
      <c r="W229" s="31"/>
      <c r="X229" s="31"/>
      <c r="AD229" s="31"/>
      <c r="AE229" s="31"/>
      <c r="AF229" s="31"/>
    </row>
    <row r="230" ht="15.75" hidden="1" customHeight="1">
      <c r="H230" s="81"/>
      <c r="N230" s="85"/>
      <c r="O230" s="85"/>
      <c r="P230" s="86"/>
      <c r="V230" s="31"/>
      <c r="W230" s="31"/>
      <c r="X230" s="31"/>
      <c r="AD230" s="31"/>
      <c r="AE230" s="31"/>
      <c r="AF230" s="31"/>
    </row>
    <row r="231" ht="15.75" hidden="1" customHeight="1">
      <c r="H231" s="81"/>
      <c r="N231" s="85"/>
      <c r="O231" s="85"/>
      <c r="P231" s="86"/>
      <c r="V231" s="31"/>
      <c r="W231" s="31"/>
      <c r="X231" s="31"/>
      <c r="AD231" s="31"/>
      <c r="AE231" s="31"/>
      <c r="AF231" s="31"/>
    </row>
    <row r="232" ht="15.75" hidden="1" customHeight="1">
      <c r="H232" s="81"/>
      <c r="N232" s="85"/>
      <c r="O232" s="85"/>
      <c r="P232" s="86"/>
      <c r="V232" s="31"/>
      <c r="W232" s="31"/>
      <c r="X232" s="31"/>
      <c r="AD232" s="31"/>
      <c r="AE232" s="31"/>
      <c r="AF232" s="31"/>
    </row>
    <row r="233" ht="15.75" hidden="1" customHeight="1">
      <c r="H233" s="81"/>
      <c r="N233" s="85"/>
      <c r="O233" s="85"/>
      <c r="P233" s="86"/>
      <c r="V233" s="31"/>
      <c r="W233" s="31"/>
      <c r="X233" s="31"/>
      <c r="AD233" s="31"/>
      <c r="AE233" s="31"/>
      <c r="AF233" s="31"/>
    </row>
    <row r="234" ht="15.75" hidden="1" customHeight="1">
      <c r="H234" s="81"/>
      <c r="N234" s="85"/>
      <c r="O234" s="85"/>
      <c r="P234" s="86"/>
      <c r="V234" s="31"/>
      <c r="W234" s="31"/>
      <c r="X234" s="31"/>
      <c r="AD234" s="31"/>
      <c r="AE234" s="31"/>
      <c r="AF234" s="31"/>
    </row>
    <row r="235" ht="15.75" hidden="1" customHeight="1">
      <c r="H235" s="81"/>
      <c r="N235" s="85"/>
      <c r="O235" s="85"/>
      <c r="P235" s="86"/>
      <c r="V235" s="31"/>
      <c r="W235" s="31"/>
      <c r="X235" s="31"/>
      <c r="AD235" s="31"/>
      <c r="AE235" s="31"/>
      <c r="AF235" s="31"/>
    </row>
    <row r="236" ht="15.75" hidden="1" customHeight="1">
      <c r="H236" s="81"/>
      <c r="N236" s="85"/>
      <c r="O236" s="85"/>
      <c r="P236" s="86"/>
      <c r="V236" s="31"/>
      <c r="W236" s="31"/>
      <c r="X236" s="31"/>
      <c r="AD236" s="31"/>
      <c r="AE236" s="31"/>
      <c r="AF236" s="31"/>
    </row>
    <row r="237" ht="15.75" hidden="1" customHeight="1">
      <c r="H237" s="81"/>
      <c r="N237" s="85"/>
      <c r="O237" s="85"/>
      <c r="P237" s="86"/>
      <c r="V237" s="31"/>
      <c r="W237" s="31"/>
      <c r="X237" s="31"/>
      <c r="AD237" s="31"/>
      <c r="AE237" s="31"/>
      <c r="AF237" s="31"/>
    </row>
    <row r="238" ht="15.75" hidden="1" customHeight="1">
      <c r="H238" s="81"/>
      <c r="N238" s="85"/>
      <c r="O238" s="85"/>
      <c r="P238" s="86"/>
      <c r="V238" s="31"/>
      <c r="W238" s="31"/>
      <c r="X238" s="31"/>
      <c r="AD238" s="31"/>
      <c r="AE238" s="31"/>
      <c r="AF238" s="31"/>
    </row>
    <row r="239" ht="15.75" hidden="1" customHeight="1">
      <c r="H239" s="81"/>
      <c r="N239" s="85"/>
      <c r="O239" s="85"/>
      <c r="P239" s="86"/>
      <c r="V239" s="31"/>
      <c r="W239" s="31"/>
      <c r="X239" s="31"/>
      <c r="AD239" s="31"/>
      <c r="AE239" s="31"/>
      <c r="AF239" s="31"/>
    </row>
    <row r="240" ht="15.75" hidden="1" customHeight="1">
      <c r="H240" s="81"/>
      <c r="N240" s="85"/>
      <c r="O240" s="85"/>
      <c r="P240" s="86"/>
      <c r="V240" s="31"/>
      <c r="W240" s="31"/>
      <c r="X240" s="31"/>
      <c r="AD240" s="31"/>
      <c r="AE240" s="31"/>
      <c r="AF240" s="31"/>
    </row>
    <row r="241" ht="15.75" hidden="1" customHeight="1">
      <c r="H241" s="81"/>
      <c r="N241" s="85"/>
      <c r="O241" s="85"/>
      <c r="P241" s="86"/>
      <c r="V241" s="31"/>
      <c r="W241" s="31"/>
      <c r="X241" s="31"/>
      <c r="AD241" s="31"/>
      <c r="AE241" s="31"/>
      <c r="AF241" s="31"/>
    </row>
    <row r="242" ht="15.75" hidden="1" customHeight="1">
      <c r="H242" s="81"/>
      <c r="N242" s="85"/>
      <c r="O242" s="85"/>
      <c r="P242" s="86"/>
      <c r="V242" s="31"/>
      <c r="W242" s="31"/>
      <c r="X242" s="31"/>
      <c r="AD242" s="31"/>
      <c r="AE242" s="31"/>
      <c r="AF242" s="31"/>
    </row>
    <row r="243" ht="15.75" hidden="1" customHeight="1">
      <c r="H243" s="81"/>
      <c r="N243" s="85"/>
      <c r="O243" s="85"/>
      <c r="P243" s="86"/>
      <c r="V243" s="31"/>
      <c r="W243" s="31"/>
      <c r="X243" s="31"/>
      <c r="AD243" s="31"/>
      <c r="AE243" s="31"/>
      <c r="AF243" s="31"/>
    </row>
    <row r="244" ht="15.75" hidden="1" customHeight="1">
      <c r="H244" s="81"/>
      <c r="N244" s="85"/>
      <c r="O244" s="85"/>
      <c r="P244" s="86"/>
      <c r="V244" s="31"/>
      <c r="W244" s="31"/>
      <c r="X244" s="31"/>
      <c r="AD244" s="31"/>
      <c r="AE244" s="31"/>
      <c r="AF244" s="31"/>
    </row>
    <row r="245" ht="15.75" hidden="1" customHeight="1">
      <c r="H245" s="81"/>
      <c r="N245" s="85"/>
      <c r="O245" s="85"/>
      <c r="P245" s="86"/>
      <c r="V245" s="31"/>
      <c r="W245" s="31"/>
      <c r="X245" s="31"/>
      <c r="AD245" s="31"/>
      <c r="AE245" s="31"/>
      <c r="AF245" s="31"/>
    </row>
    <row r="246" ht="15.75" hidden="1" customHeight="1">
      <c r="H246" s="81"/>
      <c r="N246" s="85"/>
      <c r="O246" s="85"/>
      <c r="P246" s="86"/>
      <c r="V246" s="31"/>
      <c r="W246" s="31"/>
      <c r="X246" s="31"/>
      <c r="AD246" s="31"/>
      <c r="AE246" s="31"/>
      <c r="AF246" s="31"/>
    </row>
    <row r="247" ht="15.75" hidden="1" customHeight="1">
      <c r="H247" s="81"/>
      <c r="N247" s="85"/>
      <c r="O247" s="85"/>
      <c r="P247" s="86"/>
      <c r="V247" s="31"/>
      <c r="W247" s="31"/>
      <c r="X247" s="31"/>
      <c r="AD247" s="31"/>
      <c r="AE247" s="31"/>
      <c r="AF247" s="31"/>
    </row>
    <row r="248" ht="15.75" hidden="1" customHeight="1">
      <c r="H248" s="81"/>
      <c r="N248" s="85"/>
      <c r="O248" s="85"/>
      <c r="P248" s="86"/>
      <c r="V248" s="31"/>
      <c r="W248" s="31"/>
      <c r="X248" s="31"/>
      <c r="AD248" s="31"/>
      <c r="AE248" s="31"/>
      <c r="AF248" s="31"/>
    </row>
    <row r="249" ht="15.75" hidden="1" customHeight="1">
      <c r="H249" s="81"/>
      <c r="N249" s="85"/>
      <c r="O249" s="85"/>
      <c r="P249" s="86"/>
      <c r="V249" s="31"/>
      <c r="W249" s="31"/>
      <c r="X249" s="31"/>
      <c r="AD249" s="31"/>
      <c r="AE249" s="31"/>
      <c r="AF249" s="31"/>
    </row>
    <row r="250" ht="15.75" hidden="1" customHeight="1">
      <c r="H250" s="81"/>
      <c r="N250" s="85"/>
      <c r="O250" s="85"/>
      <c r="P250" s="86"/>
      <c r="V250" s="31"/>
      <c r="W250" s="31"/>
      <c r="X250" s="31"/>
      <c r="AD250" s="31"/>
      <c r="AE250" s="31"/>
      <c r="AF250" s="31"/>
    </row>
    <row r="251" ht="15.75" hidden="1" customHeight="1">
      <c r="H251" s="81"/>
      <c r="N251" s="85"/>
      <c r="O251" s="85"/>
      <c r="P251" s="86"/>
      <c r="V251" s="31"/>
      <c r="W251" s="31"/>
      <c r="X251" s="31"/>
      <c r="AD251" s="31"/>
      <c r="AE251" s="31"/>
      <c r="AF251" s="31"/>
    </row>
    <row r="252" ht="15.75" hidden="1" customHeight="1">
      <c r="H252" s="81"/>
      <c r="N252" s="85"/>
      <c r="O252" s="85"/>
      <c r="P252" s="86"/>
      <c r="V252" s="31"/>
      <c r="W252" s="31"/>
      <c r="X252" s="31"/>
      <c r="AD252" s="31"/>
      <c r="AE252" s="31"/>
      <c r="AF252" s="31"/>
    </row>
    <row r="253" ht="15.75" hidden="1" customHeight="1">
      <c r="H253" s="81"/>
      <c r="N253" s="85"/>
      <c r="O253" s="85"/>
      <c r="P253" s="86"/>
      <c r="V253" s="31"/>
      <c r="W253" s="31"/>
      <c r="X253" s="31"/>
      <c r="AD253" s="31"/>
      <c r="AE253" s="31"/>
      <c r="AF253" s="31"/>
    </row>
    <row r="254" ht="15.75" hidden="1" customHeight="1">
      <c r="H254" s="81"/>
      <c r="N254" s="85"/>
      <c r="O254" s="85"/>
      <c r="P254" s="86"/>
      <c r="V254" s="31"/>
      <c r="W254" s="31"/>
      <c r="X254" s="31"/>
      <c r="AD254" s="31"/>
      <c r="AE254" s="31"/>
      <c r="AF254" s="31"/>
    </row>
    <row r="255" ht="15.75" hidden="1" customHeight="1">
      <c r="H255" s="81"/>
      <c r="N255" s="85"/>
      <c r="O255" s="85"/>
      <c r="P255" s="86"/>
      <c r="V255" s="31"/>
      <c r="W255" s="31"/>
      <c r="X255" s="31"/>
      <c r="AD255" s="31"/>
      <c r="AE255" s="31"/>
      <c r="AF255" s="31"/>
    </row>
    <row r="256" ht="15.75" hidden="1" customHeight="1">
      <c r="H256" s="81"/>
      <c r="N256" s="85"/>
      <c r="O256" s="85"/>
      <c r="P256" s="86"/>
      <c r="V256" s="31"/>
      <c r="W256" s="31"/>
      <c r="X256" s="31"/>
      <c r="AD256" s="31"/>
      <c r="AE256" s="31"/>
      <c r="AF256" s="31"/>
    </row>
    <row r="257" ht="15.75" hidden="1" customHeight="1">
      <c r="H257" s="81"/>
      <c r="N257" s="85"/>
      <c r="O257" s="85"/>
      <c r="P257" s="86"/>
      <c r="V257" s="31"/>
      <c r="W257" s="31"/>
      <c r="X257" s="31"/>
      <c r="AD257" s="31"/>
      <c r="AE257" s="31"/>
      <c r="AF257" s="31"/>
    </row>
    <row r="258" ht="15.75" hidden="1" customHeight="1">
      <c r="H258" s="81"/>
      <c r="N258" s="85"/>
      <c r="O258" s="85"/>
      <c r="P258" s="86"/>
      <c r="V258" s="31"/>
      <c r="W258" s="31"/>
      <c r="X258" s="31"/>
      <c r="AD258" s="31"/>
      <c r="AE258" s="31"/>
      <c r="AF258" s="31"/>
    </row>
    <row r="259" ht="15.75" hidden="1" customHeight="1">
      <c r="H259" s="81"/>
      <c r="N259" s="85"/>
      <c r="O259" s="85"/>
      <c r="P259" s="86"/>
      <c r="V259" s="31"/>
      <c r="W259" s="31"/>
      <c r="X259" s="31"/>
      <c r="AD259" s="31"/>
      <c r="AE259" s="31"/>
      <c r="AF259" s="31"/>
    </row>
    <row r="260" ht="15.75" hidden="1" customHeight="1">
      <c r="H260" s="81"/>
      <c r="N260" s="85"/>
      <c r="O260" s="85"/>
      <c r="P260" s="86"/>
      <c r="V260" s="31"/>
      <c r="W260" s="31"/>
      <c r="X260" s="31"/>
      <c r="AD260" s="31"/>
      <c r="AE260" s="31"/>
      <c r="AF260" s="31"/>
    </row>
    <row r="261" ht="15.75" hidden="1" customHeight="1">
      <c r="H261" s="81"/>
      <c r="N261" s="85"/>
      <c r="O261" s="85"/>
      <c r="P261" s="86"/>
      <c r="V261" s="31"/>
      <c r="W261" s="31"/>
      <c r="X261" s="31"/>
      <c r="AD261" s="31"/>
      <c r="AE261" s="31"/>
      <c r="AF261" s="31"/>
    </row>
    <row r="262" ht="15.75" hidden="1" customHeight="1">
      <c r="H262" s="81"/>
      <c r="N262" s="85"/>
      <c r="O262" s="85"/>
      <c r="P262" s="86"/>
      <c r="V262" s="31"/>
      <c r="W262" s="31"/>
      <c r="X262" s="31"/>
      <c r="AD262" s="31"/>
      <c r="AE262" s="31"/>
      <c r="AF262" s="31"/>
    </row>
    <row r="263" ht="15.75" hidden="1" customHeight="1">
      <c r="H263" s="81"/>
      <c r="N263" s="85"/>
      <c r="O263" s="85"/>
      <c r="P263" s="86"/>
      <c r="V263" s="31"/>
      <c r="W263" s="31"/>
      <c r="X263" s="31"/>
      <c r="AD263" s="31"/>
      <c r="AE263" s="31"/>
      <c r="AF263" s="31"/>
    </row>
    <row r="264" ht="15.75" hidden="1" customHeight="1">
      <c r="H264" s="81"/>
      <c r="N264" s="85"/>
      <c r="O264" s="85"/>
      <c r="P264" s="86"/>
      <c r="V264" s="31"/>
      <c r="W264" s="31"/>
      <c r="X264" s="31"/>
      <c r="AD264" s="31"/>
      <c r="AE264" s="31"/>
      <c r="AF264" s="31"/>
    </row>
    <row r="265" ht="15.75" hidden="1" customHeight="1">
      <c r="H265" s="81"/>
      <c r="N265" s="85"/>
      <c r="O265" s="85"/>
      <c r="P265" s="86"/>
      <c r="V265" s="31"/>
      <c r="W265" s="31"/>
      <c r="X265" s="31"/>
      <c r="AD265" s="31"/>
      <c r="AE265" s="31"/>
      <c r="AF265" s="31"/>
    </row>
    <row r="266" ht="15.75" hidden="1" customHeight="1">
      <c r="H266" s="81"/>
      <c r="N266" s="85"/>
      <c r="O266" s="85"/>
      <c r="P266" s="86"/>
      <c r="V266" s="31"/>
      <c r="W266" s="31"/>
      <c r="X266" s="31"/>
      <c r="AD266" s="31"/>
      <c r="AE266" s="31"/>
      <c r="AF266" s="31"/>
    </row>
    <row r="267" ht="15.75" hidden="1" customHeight="1">
      <c r="H267" s="81"/>
      <c r="N267" s="85"/>
      <c r="O267" s="85"/>
      <c r="P267" s="86"/>
      <c r="V267" s="31"/>
      <c r="W267" s="31"/>
      <c r="X267" s="31"/>
      <c r="AD267" s="31"/>
      <c r="AE267" s="31"/>
      <c r="AF267" s="31"/>
    </row>
    <row r="268" ht="15.75" hidden="1" customHeight="1">
      <c r="H268" s="81"/>
      <c r="N268" s="85"/>
      <c r="O268" s="85"/>
      <c r="P268" s="86"/>
      <c r="V268" s="31"/>
      <c r="W268" s="31"/>
      <c r="X268" s="31"/>
      <c r="AD268" s="31"/>
      <c r="AE268" s="31"/>
      <c r="AF268" s="31"/>
    </row>
    <row r="269" ht="15.75" hidden="1" customHeight="1">
      <c r="H269" s="81"/>
      <c r="N269" s="85"/>
      <c r="O269" s="85"/>
      <c r="P269" s="86"/>
      <c r="V269" s="31"/>
      <c r="W269" s="31"/>
      <c r="X269" s="31"/>
      <c r="AD269" s="31"/>
      <c r="AE269" s="31"/>
      <c r="AF269" s="31"/>
    </row>
    <row r="270" ht="15.75" hidden="1" customHeight="1">
      <c r="H270" s="81"/>
      <c r="N270" s="85"/>
      <c r="O270" s="85"/>
      <c r="P270" s="86"/>
      <c r="V270" s="31"/>
      <c r="W270" s="31"/>
      <c r="X270" s="31"/>
      <c r="AD270" s="31"/>
      <c r="AE270" s="31"/>
      <c r="AF270" s="31"/>
    </row>
    <row r="271" ht="15.75" hidden="1" customHeight="1">
      <c r="H271" s="81"/>
      <c r="N271" s="85"/>
      <c r="O271" s="85"/>
      <c r="P271" s="86"/>
      <c r="V271" s="31"/>
      <c r="W271" s="31"/>
      <c r="X271" s="31"/>
      <c r="AD271" s="31"/>
      <c r="AE271" s="31"/>
      <c r="AF271" s="31"/>
    </row>
    <row r="272" ht="15.75" hidden="1" customHeight="1">
      <c r="H272" s="81"/>
      <c r="N272" s="85"/>
      <c r="O272" s="85"/>
      <c r="P272" s="86"/>
      <c r="V272" s="31"/>
      <c r="W272" s="31"/>
      <c r="X272" s="31"/>
      <c r="AD272" s="31"/>
      <c r="AE272" s="31"/>
      <c r="AF272" s="31"/>
    </row>
    <row r="273" ht="15.75" hidden="1" customHeight="1">
      <c r="H273" s="81"/>
      <c r="N273" s="85"/>
      <c r="O273" s="85"/>
      <c r="P273" s="86"/>
      <c r="V273" s="31"/>
      <c r="W273" s="31"/>
      <c r="X273" s="31"/>
      <c r="AD273" s="31"/>
      <c r="AE273" s="31"/>
      <c r="AF273" s="31"/>
    </row>
    <row r="274" ht="15.75" hidden="1" customHeight="1">
      <c r="H274" s="81"/>
      <c r="N274" s="85"/>
      <c r="O274" s="85"/>
      <c r="P274" s="86"/>
      <c r="V274" s="31"/>
      <c r="W274" s="31"/>
      <c r="X274" s="31"/>
      <c r="AD274" s="31"/>
      <c r="AE274" s="31"/>
      <c r="AF274" s="31"/>
    </row>
    <row r="275" ht="15.75" hidden="1" customHeight="1">
      <c r="H275" s="81"/>
      <c r="N275" s="85"/>
      <c r="O275" s="85"/>
      <c r="P275" s="86"/>
      <c r="V275" s="31"/>
      <c r="W275" s="31"/>
      <c r="X275" s="31"/>
      <c r="AD275" s="31"/>
      <c r="AE275" s="31"/>
      <c r="AF275" s="31"/>
    </row>
    <row r="276" ht="15.75" hidden="1" customHeight="1">
      <c r="H276" s="81"/>
      <c r="N276" s="85"/>
      <c r="O276" s="85"/>
      <c r="P276" s="86"/>
      <c r="V276" s="31"/>
      <c r="W276" s="31"/>
      <c r="X276" s="31"/>
      <c r="AD276" s="31"/>
      <c r="AE276" s="31"/>
      <c r="AF276" s="31"/>
    </row>
    <row r="277" ht="15.75" hidden="1" customHeight="1">
      <c r="H277" s="81"/>
      <c r="N277" s="85"/>
      <c r="O277" s="85"/>
      <c r="P277" s="86"/>
      <c r="V277" s="31"/>
      <c r="W277" s="31"/>
      <c r="X277" s="31"/>
      <c r="AD277" s="31"/>
      <c r="AE277" s="31"/>
      <c r="AF277" s="31"/>
    </row>
    <row r="278" ht="15.75" hidden="1" customHeight="1">
      <c r="H278" s="81"/>
      <c r="N278" s="85"/>
      <c r="O278" s="85"/>
      <c r="P278" s="86"/>
      <c r="V278" s="31"/>
      <c r="W278" s="31"/>
      <c r="X278" s="31"/>
      <c r="AD278" s="31"/>
      <c r="AE278" s="31"/>
      <c r="AF278" s="31"/>
    </row>
    <row r="279" ht="15.75" hidden="1" customHeight="1">
      <c r="H279" s="81"/>
      <c r="N279" s="85"/>
      <c r="O279" s="85"/>
      <c r="P279" s="86"/>
      <c r="V279" s="31"/>
      <c r="W279" s="31"/>
      <c r="X279" s="31"/>
      <c r="AD279" s="31"/>
      <c r="AE279" s="31"/>
      <c r="AF279" s="31"/>
    </row>
    <row r="280" ht="15.75" hidden="1" customHeight="1">
      <c r="H280" s="81"/>
      <c r="N280" s="85"/>
      <c r="O280" s="85"/>
      <c r="P280" s="86"/>
      <c r="V280" s="31"/>
      <c r="W280" s="31"/>
      <c r="X280" s="31"/>
      <c r="AD280" s="31"/>
      <c r="AE280" s="31"/>
      <c r="AF280" s="31"/>
    </row>
    <row r="281" ht="15.75" hidden="1" customHeight="1">
      <c r="H281" s="81"/>
      <c r="N281" s="85"/>
      <c r="O281" s="85"/>
      <c r="P281" s="86"/>
      <c r="V281" s="31"/>
      <c r="W281" s="31"/>
      <c r="X281" s="31"/>
      <c r="AD281" s="31"/>
      <c r="AE281" s="31"/>
      <c r="AF281" s="31"/>
    </row>
    <row r="282" ht="15.75" hidden="1" customHeight="1">
      <c r="H282" s="81"/>
      <c r="N282" s="85"/>
      <c r="O282" s="85"/>
      <c r="P282" s="86"/>
      <c r="V282" s="31"/>
      <c r="W282" s="31"/>
      <c r="X282" s="31"/>
      <c r="AD282" s="31"/>
      <c r="AE282" s="31"/>
      <c r="AF282" s="31"/>
    </row>
    <row r="283" ht="15.75" hidden="1" customHeight="1">
      <c r="H283" s="81"/>
      <c r="N283" s="85"/>
      <c r="O283" s="85"/>
      <c r="P283" s="86"/>
      <c r="V283" s="31"/>
      <c r="W283" s="31"/>
      <c r="X283" s="31"/>
      <c r="AD283" s="31"/>
      <c r="AE283" s="31"/>
      <c r="AF283" s="31"/>
    </row>
    <row r="284" ht="15.75" hidden="1" customHeight="1">
      <c r="H284" s="81"/>
      <c r="N284" s="85"/>
      <c r="O284" s="85"/>
      <c r="P284" s="86"/>
      <c r="V284" s="31"/>
      <c r="W284" s="31"/>
      <c r="X284" s="31"/>
      <c r="AD284" s="31"/>
      <c r="AE284" s="31"/>
      <c r="AF284" s="31"/>
    </row>
    <row r="285" ht="15.75" hidden="1" customHeight="1">
      <c r="H285" s="81"/>
      <c r="N285" s="85"/>
      <c r="O285" s="85"/>
      <c r="P285" s="86"/>
      <c r="V285" s="31"/>
      <c r="W285" s="31"/>
      <c r="X285" s="31"/>
      <c r="AD285" s="31"/>
      <c r="AE285" s="31"/>
      <c r="AF285" s="31"/>
    </row>
    <row r="286" ht="15.75" hidden="1" customHeight="1">
      <c r="H286" s="81"/>
      <c r="N286" s="85"/>
      <c r="O286" s="85"/>
      <c r="P286" s="86"/>
      <c r="V286" s="31"/>
      <c r="W286" s="31"/>
      <c r="X286" s="31"/>
      <c r="AD286" s="31"/>
      <c r="AE286" s="31"/>
      <c r="AF286" s="31"/>
    </row>
    <row r="287" ht="15.75" hidden="1" customHeight="1">
      <c r="H287" s="81"/>
      <c r="N287" s="85"/>
      <c r="O287" s="85"/>
      <c r="P287" s="86"/>
      <c r="V287" s="31"/>
      <c r="W287" s="31"/>
      <c r="X287" s="31"/>
      <c r="AD287" s="31"/>
      <c r="AE287" s="31"/>
      <c r="AF287" s="31"/>
    </row>
    <row r="288" ht="15.75" hidden="1" customHeight="1">
      <c r="H288" s="81"/>
      <c r="N288" s="85"/>
      <c r="O288" s="85"/>
      <c r="P288" s="86"/>
      <c r="V288" s="31"/>
      <c r="W288" s="31"/>
      <c r="X288" s="31"/>
      <c r="AD288" s="31"/>
      <c r="AE288" s="31"/>
      <c r="AF288" s="31"/>
    </row>
    <row r="289" ht="15.75" hidden="1" customHeight="1">
      <c r="H289" s="81"/>
      <c r="N289" s="85"/>
      <c r="O289" s="85"/>
      <c r="P289" s="86"/>
      <c r="V289" s="31"/>
      <c r="W289" s="31"/>
      <c r="X289" s="31"/>
      <c r="AD289" s="31"/>
      <c r="AE289" s="31"/>
      <c r="AF289" s="31"/>
    </row>
    <row r="290" ht="15.75" hidden="1" customHeight="1">
      <c r="H290" s="81"/>
      <c r="N290" s="85"/>
      <c r="O290" s="85"/>
      <c r="P290" s="86"/>
      <c r="V290" s="31"/>
      <c r="W290" s="31"/>
      <c r="X290" s="31"/>
      <c r="AD290" s="31"/>
      <c r="AE290" s="31"/>
      <c r="AF290" s="31"/>
    </row>
    <row r="291" ht="15.75" hidden="1" customHeight="1">
      <c r="H291" s="81"/>
      <c r="N291" s="85"/>
      <c r="O291" s="85"/>
      <c r="P291" s="86"/>
      <c r="V291" s="31"/>
      <c r="W291" s="31"/>
      <c r="X291" s="31"/>
      <c r="AD291" s="31"/>
      <c r="AE291" s="31"/>
      <c r="AF291" s="31"/>
    </row>
    <row r="292" ht="15.75" hidden="1" customHeight="1">
      <c r="H292" s="81"/>
      <c r="N292" s="85"/>
      <c r="O292" s="85"/>
      <c r="P292" s="86"/>
      <c r="V292" s="31"/>
      <c r="W292" s="31"/>
      <c r="X292" s="31"/>
      <c r="AD292" s="31"/>
      <c r="AE292" s="31"/>
      <c r="AF292" s="31"/>
    </row>
    <row r="293" ht="15.75" hidden="1" customHeight="1">
      <c r="H293" s="81"/>
      <c r="N293" s="85"/>
      <c r="O293" s="85"/>
      <c r="P293" s="86"/>
      <c r="V293" s="31"/>
      <c r="W293" s="31"/>
      <c r="X293" s="31"/>
      <c r="AD293" s="31"/>
      <c r="AE293" s="31"/>
      <c r="AF293" s="31"/>
    </row>
    <row r="294" ht="15.75" hidden="1" customHeight="1">
      <c r="H294" s="81"/>
      <c r="N294" s="85"/>
      <c r="O294" s="85"/>
      <c r="P294" s="86"/>
      <c r="V294" s="31"/>
      <c r="W294" s="31"/>
      <c r="X294" s="31"/>
      <c r="AD294" s="31"/>
      <c r="AE294" s="31"/>
      <c r="AF294" s="31"/>
    </row>
    <row r="295" ht="15.75" hidden="1" customHeight="1">
      <c r="H295" s="81"/>
      <c r="N295" s="85"/>
      <c r="O295" s="85"/>
      <c r="P295" s="86"/>
      <c r="V295" s="31"/>
      <c r="W295" s="31"/>
      <c r="X295" s="31"/>
      <c r="AD295" s="31"/>
      <c r="AE295" s="31"/>
      <c r="AF295" s="31"/>
    </row>
    <row r="296" ht="15.75" hidden="1" customHeight="1">
      <c r="H296" s="81"/>
      <c r="N296" s="85"/>
      <c r="O296" s="85"/>
      <c r="P296" s="86"/>
      <c r="V296" s="31"/>
      <c r="W296" s="31"/>
      <c r="X296" s="31"/>
      <c r="AD296" s="31"/>
      <c r="AE296" s="31"/>
      <c r="AF296" s="31"/>
    </row>
    <row r="297" ht="15.75" hidden="1" customHeight="1">
      <c r="H297" s="81"/>
      <c r="N297" s="85"/>
      <c r="O297" s="85"/>
      <c r="P297" s="86"/>
      <c r="V297" s="31"/>
      <c r="W297" s="31"/>
      <c r="X297" s="31"/>
      <c r="AD297" s="31"/>
      <c r="AE297" s="31"/>
      <c r="AF297" s="31"/>
    </row>
    <row r="298" ht="15.75" hidden="1" customHeight="1">
      <c r="H298" s="81"/>
      <c r="N298" s="85"/>
      <c r="O298" s="85"/>
      <c r="P298" s="86"/>
      <c r="V298" s="31"/>
      <c r="W298" s="31"/>
      <c r="X298" s="31"/>
      <c r="AD298" s="31"/>
      <c r="AE298" s="31"/>
      <c r="AF298" s="31"/>
    </row>
    <row r="299" ht="15.75" hidden="1" customHeight="1">
      <c r="H299" s="81"/>
      <c r="N299" s="85"/>
      <c r="O299" s="85"/>
      <c r="P299" s="86"/>
      <c r="V299" s="31"/>
      <c r="W299" s="31"/>
      <c r="X299" s="31"/>
      <c r="AD299" s="31"/>
      <c r="AE299" s="31"/>
      <c r="AF299" s="31"/>
    </row>
    <row r="300" ht="15.75" hidden="1" customHeight="1">
      <c r="H300" s="81"/>
      <c r="N300" s="85"/>
      <c r="O300" s="85"/>
      <c r="P300" s="86"/>
      <c r="V300" s="31"/>
      <c r="W300" s="31"/>
      <c r="X300" s="31"/>
      <c r="AD300" s="31"/>
      <c r="AE300" s="31"/>
      <c r="AF300" s="31"/>
    </row>
    <row r="301" ht="15.75" hidden="1" customHeight="1">
      <c r="H301" s="81"/>
      <c r="N301" s="85"/>
      <c r="O301" s="85"/>
      <c r="P301" s="86"/>
      <c r="V301" s="31"/>
      <c r="W301" s="31"/>
      <c r="X301" s="31"/>
      <c r="AD301" s="31"/>
      <c r="AE301" s="31"/>
      <c r="AF301" s="31"/>
    </row>
    <row r="302" ht="15.75" hidden="1" customHeight="1">
      <c r="H302" s="81"/>
      <c r="N302" s="85"/>
      <c r="O302" s="85"/>
      <c r="P302" s="86"/>
      <c r="V302" s="31"/>
      <c r="W302" s="31"/>
      <c r="X302" s="31"/>
      <c r="AD302" s="31"/>
      <c r="AE302" s="31"/>
      <c r="AF302" s="31"/>
    </row>
    <row r="303" ht="15.75" hidden="1" customHeight="1">
      <c r="H303" s="81"/>
      <c r="N303" s="85"/>
      <c r="O303" s="85"/>
      <c r="P303" s="86"/>
      <c r="V303" s="31"/>
      <c r="W303" s="31"/>
      <c r="X303" s="31"/>
      <c r="AD303" s="31"/>
      <c r="AE303" s="31"/>
      <c r="AF303" s="31"/>
    </row>
    <row r="304" ht="15.75" hidden="1" customHeight="1">
      <c r="H304" s="81"/>
      <c r="N304" s="85"/>
      <c r="O304" s="85"/>
      <c r="P304" s="86"/>
      <c r="V304" s="31"/>
      <c r="W304" s="31"/>
      <c r="X304" s="31"/>
      <c r="AD304" s="31"/>
      <c r="AE304" s="31"/>
      <c r="AF304" s="31"/>
    </row>
    <row r="305" ht="15.75" hidden="1" customHeight="1">
      <c r="H305" s="81"/>
      <c r="N305" s="85"/>
      <c r="O305" s="85"/>
      <c r="P305" s="86"/>
      <c r="V305" s="31"/>
      <c r="W305" s="31"/>
      <c r="X305" s="31"/>
      <c r="AD305" s="31"/>
      <c r="AE305" s="31"/>
      <c r="AF305" s="31"/>
    </row>
    <row r="306" ht="15.75" hidden="1" customHeight="1">
      <c r="H306" s="81"/>
      <c r="N306" s="85"/>
      <c r="O306" s="85"/>
      <c r="P306" s="86"/>
      <c r="V306" s="31"/>
      <c r="W306" s="31"/>
      <c r="X306" s="31"/>
      <c r="AD306" s="31"/>
      <c r="AE306" s="31"/>
      <c r="AF306" s="31"/>
    </row>
    <row r="307" ht="15.75" hidden="1" customHeight="1">
      <c r="H307" s="81"/>
      <c r="N307" s="85"/>
      <c r="O307" s="85"/>
      <c r="P307" s="86"/>
      <c r="V307" s="31"/>
      <c r="W307" s="31"/>
      <c r="X307" s="31"/>
      <c r="AD307" s="31"/>
      <c r="AE307" s="31"/>
      <c r="AF307" s="31"/>
    </row>
    <row r="308" ht="15.75" hidden="1" customHeight="1">
      <c r="H308" s="81"/>
      <c r="N308" s="85"/>
      <c r="O308" s="85"/>
      <c r="P308" s="86"/>
      <c r="V308" s="31"/>
      <c r="W308" s="31"/>
      <c r="X308" s="31"/>
      <c r="AD308" s="31"/>
      <c r="AE308" s="31"/>
      <c r="AF308" s="31"/>
    </row>
    <row r="309" ht="15.75" hidden="1" customHeight="1">
      <c r="H309" s="81"/>
      <c r="N309" s="85"/>
      <c r="O309" s="85"/>
      <c r="P309" s="86"/>
      <c r="V309" s="31"/>
      <c r="W309" s="31"/>
      <c r="X309" s="31"/>
      <c r="AD309" s="31"/>
      <c r="AE309" s="31"/>
      <c r="AF309" s="31"/>
    </row>
    <row r="310" ht="15.75" hidden="1" customHeight="1">
      <c r="H310" s="81"/>
      <c r="N310" s="85"/>
      <c r="O310" s="85"/>
      <c r="P310" s="86"/>
      <c r="V310" s="31"/>
      <c r="W310" s="31"/>
      <c r="X310" s="31"/>
      <c r="AD310" s="31"/>
      <c r="AE310" s="31"/>
      <c r="AF310" s="31"/>
    </row>
    <row r="311" ht="15.75" hidden="1" customHeight="1">
      <c r="H311" s="81"/>
      <c r="N311" s="85"/>
      <c r="O311" s="85"/>
      <c r="P311" s="86"/>
      <c r="V311" s="31"/>
      <c r="W311" s="31"/>
      <c r="X311" s="31"/>
      <c r="AD311" s="31"/>
      <c r="AE311" s="31"/>
      <c r="AF311" s="31"/>
    </row>
    <row r="312" ht="15.75" hidden="1" customHeight="1">
      <c r="H312" s="81"/>
      <c r="N312" s="85"/>
      <c r="O312" s="85"/>
      <c r="P312" s="86"/>
      <c r="V312" s="31"/>
      <c r="W312" s="31"/>
      <c r="X312" s="31"/>
      <c r="AD312" s="31"/>
      <c r="AE312" s="31"/>
      <c r="AF312" s="31"/>
    </row>
    <row r="313" ht="15.75" hidden="1" customHeight="1">
      <c r="H313" s="81"/>
      <c r="N313" s="85"/>
      <c r="O313" s="85"/>
      <c r="P313" s="86"/>
      <c r="V313" s="31"/>
      <c r="W313" s="31"/>
      <c r="X313" s="31"/>
      <c r="AD313" s="31"/>
      <c r="AE313" s="31"/>
      <c r="AF313" s="31"/>
    </row>
    <row r="314" ht="15.75" hidden="1" customHeight="1">
      <c r="H314" s="81"/>
      <c r="N314" s="85"/>
      <c r="O314" s="85"/>
      <c r="P314" s="86"/>
      <c r="V314" s="31"/>
      <c r="W314" s="31"/>
      <c r="X314" s="31"/>
      <c r="AD314" s="31"/>
      <c r="AE314" s="31"/>
      <c r="AF314" s="31"/>
    </row>
    <row r="315" ht="15.75" hidden="1" customHeight="1">
      <c r="H315" s="81"/>
      <c r="N315" s="85"/>
      <c r="O315" s="85"/>
      <c r="P315" s="86"/>
      <c r="V315" s="31"/>
      <c r="W315" s="31"/>
      <c r="X315" s="31"/>
      <c r="AD315" s="31"/>
      <c r="AE315" s="31"/>
      <c r="AF315" s="31"/>
    </row>
    <row r="316" ht="15.75" hidden="1" customHeight="1">
      <c r="H316" s="81"/>
      <c r="N316" s="85"/>
      <c r="O316" s="85"/>
      <c r="P316" s="86"/>
      <c r="V316" s="31"/>
      <c r="W316" s="31"/>
      <c r="X316" s="31"/>
      <c r="AD316" s="31"/>
      <c r="AE316" s="31"/>
      <c r="AF316" s="31"/>
    </row>
    <row r="317" ht="15.75" hidden="1" customHeight="1">
      <c r="H317" s="81"/>
      <c r="N317" s="85"/>
      <c r="O317" s="85"/>
      <c r="P317" s="86"/>
      <c r="V317" s="31"/>
      <c r="W317" s="31"/>
      <c r="X317" s="31"/>
      <c r="AD317" s="31"/>
      <c r="AE317" s="31"/>
      <c r="AF317" s="31"/>
    </row>
    <row r="318" ht="15.75" hidden="1" customHeight="1">
      <c r="H318" s="81"/>
      <c r="N318" s="85"/>
      <c r="O318" s="85"/>
      <c r="P318" s="86"/>
      <c r="V318" s="31"/>
      <c r="W318" s="31"/>
      <c r="X318" s="31"/>
      <c r="AD318" s="31"/>
      <c r="AE318" s="31"/>
      <c r="AF318" s="31"/>
    </row>
    <row r="319" ht="15.75" hidden="1" customHeight="1">
      <c r="H319" s="81"/>
      <c r="N319" s="85"/>
      <c r="O319" s="85"/>
      <c r="P319" s="86"/>
      <c r="V319" s="31"/>
      <c r="W319" s="31"/>
      <c r="X319" s="31"/>
      <c r="AD319" s="31"/>
      <c r="AE319" s="31"/>
      <c r="AF319" s="31"/>
    </row>
    <row r="320" ht="15.75" hidden="1" customHeight="1">
      <c r="H320" s="81"/>
      <c r="N320" s="85"/>
      <c r="O320" s="85"/>
      <c r="P320" s="86"/>
      <c r="V320" s="31"/>
      <c r="W320" s="31"/>
      <c r="X320" s="31"/>
      <c r="AD320" s="31"/>
      <c r="AE320" s="31"/>
      <c r="AF320" s="31"/>
    </row>
    <row r="321" ht="15.75" hidden="1" customHeight="1">
      <c r="H321" s="81"/>
      <c r="N321" s="85"/>
      <c r="O321" s="85"/>
      <c r="P321" s="86"/>
      <c r="V321" s="31"/>
      <c r="W321" s="31"/>
      <c r="X321" s="31"/>
      <c r="AD321" s="31"/>
      <c r="AE321" s="31"/>
      <c r="AF321" s="31"/>
    </row>
    <row r="322" ht="15.75" hidden="1" customHeight="1">
      <c r="H322" s="81"/>
      <c r="N322" s="85"/>
      <c r="O322" s="85"/>
      <c r="P322" s="86"/>
      <c r="V322" s="31"/>
      <c r="W322" s="31"/>
      <c r="X322" s="31"/>
      <c r="AD322" s="31"/>
      <c r="AE322" s="31"/>
      <c r="AF322" s="31"/>
    </row>
    <row r="323" ht="15.75" hidden="1" customHeight="1">
      <c r="H323" s="81"/>
      <c r="N323" s="85"/>
      <c r="O323" s="85"/>
      <c r="P323" s="86"/>
      <c r="V323" s="31"/>
      <c r="W323" s="31"/>
      <c r="X323" s="31"/>
      <c r="AD323" s="31"/>
      <c r="AE323" s="31"/>
      <c r="AF323" s="31"/>
    </row>
    <row r="324" ht="15.75" hidden="1" customHeight="1">
      <c r="H324" s="81"/>
      <c r="N324" s="85"/>
      <c r="O324" s="85"/>
      <c r="P324" s="86"/>
      <c r="V324" s="31"/>
      <c r="W324" s="31"/>
      <c r="X324" s="31"/>
      <c r="AD324" s="31"/>
      <c r="AE324" s="31"/>
      <c r="AF324" s="31"/>
    </row>
    <row r="325" ht="15.75" hidden="1" customHeight="1">
      <c r="H325" s="81"/>
      <c r="N325" s="85"/>
      <c r="O325" s="85"/>
      <c r="P325" s="86"/>
      <c r="V325" s="31"/>
      <c r="W325" s="31"/>
      <c r="X325" s="31"/>
      <c r="AD325" s="31"/>
      <c r="AE325" s="31"/>
      <c r="AF325" s="31"/>
    </row>
    <row r="326" ht="15.75" hidden="1" customHeight="1">
      <c r="H326" s="81"/>
      <c r="N326" s="85"/>
      <c r="O326" s="85"/>
      <c r="P326" s="86"/>
      <c r="V326" s="31"/>
      <c r="W326" s="31"/>
      <c r="X326" s="31"/>
      <c r="AD326" s="31"/>
      <c r="AE326" s="31"/>
      <c r="AF326" s="31"/>
    </row>
    <row r="327" ht="15.75" hidden="1" customHeight="1">
      <c r="H327" s="81"/>
      <c r="N327" s="85"/>
      <c r="O327" s="85"/>
      <c r="P327" s="86"/>
      <c r="V327" s="31"/>
      <c r="W327" s="31"/>
      <c r="X327" s="31"/>
      <c r="AD327" s="31"/>
      <c r="AE327" s="31"/>
      <c r="AF327" s="31"/>
    </row>
    <row r="328" ht="15.75" hidden="1" customHeight="1">
      <c r="H328" s="81"/>
      <c r="N328" s="85"/>
      <c r="O328" s="85"/>
      <c r="P328" s="86"/>
      <c r="V328" s="31"/>
      <c r="W328" s="31"/>
      <c r="X328" s="31"/>
      <c r="AD328" s="31"/>
      <c r="AE328" s="31"/>
      <c r="AF328" s="31"/>
    </row>
    <row r="329" ht="15.75" hidden="1" customHeight="1">
      <c r="H329" s="81"/>
      <c r="N329" s="85"/>
      <c r="O329" s="85"/>
      <c r="P329" s="86"/>
      <c r="V329" s="31"/>
      <c r="W329" s="31"/>
      <c r="X329" s="31"/>
      <c r="AD329" s="31"/>
      <c r="AE329" s="31"/>
      <c r="AF329" s="31"/>
    </row>
    <row r="330" ht="15.75" hidden="1" customHeight="1">
      <c r="H330" s="81"/>
      <c r="N330" s="85"/>
      <c r="O330" s="85"/>
      <c r="P330" s="86"/>
      <c r="V330" s="31"/>
      <c r="W330" s="31"/>
      <c r="X330" s="31"/>
      <c r="AD330" s="31"/>
      <c r="AE330" s="31"/>
      <c r="AF330" s="31"/>
    </row>
    <row r="331" ht="15.75" hidden="1" customHeight="1">
      <c r="H331" s="81"/>
      <c r="N331" s="85"/>
      <c r="O331" s="85"/>
      <c r="P331" s="86"/>
      <c r="V331" s="31"/>
      <c r="W331" s="31"/>
      <c r="X331" s="31"/>
      <c r="AD331" s="31"/>
      <c r="AE331" s="31"/>
      <c r="AF331" s="31"/>
    </row>
    <row r="332" ht="15.75" hidden="1" customHeight="1">
      <c r="H332" s="81"/>
      <c r="N332" s="85"/>
      <c r="O332" s="85"/>
      <c r="P332" s="86"/>
      <c r="V332" s="31"/>
      <c r="W332" s="31"/>
      <c r="X332" s="31"/>
      <c r="AD332" s="31"/>
      <c r="AE332" s="31"/>
      <c r="AF332" s="31"/>
    </row>
    <row r="333" ht="15.75" hidden="1" customHeight="1">
      <c r="H333" s="81"/>
      <c r="N333" s="85"/>
      <c r="O333" s="85"/>
      <c r="P333" s="86"/>
      <c r="V333" s="31"/>
      <c r="W333" s="31"/>
      <c r="X333" s="31"/>
      <c r="AD333" s="31"/>
      <c r="AE333" s="31"/>
      <c r="AF333" s="31"/>
    </row>
    <row r="334" ht="15.75" hidden="1" customHeight="1">
      <c r="H334" s="81"/>
      <c r="N334" s="85"/>
      <c r="O334" s="85"/>
      <c r="P334" s="86"/>
      <c r="V334" s="31"/>
      <c r="W334" s="31"/>
      <c r="X334" s="31"/>
      <c r="AD334" s="31"/>
      <c r="AE334" s="31"/>
      <c r="AF334" s="31"/>
    </row>
    <row r="335" ht="15.75" hidden="1" customHeight="1">
      <c r="H335" s="81"/>
      <c r="N335" s="85"/>
      <c r="O335" s="85"/>
      <c r="P335" s="86"/>
      <c r="V335" s="31"/>
      <c r="W335" s="31"/>
      <c r="X335" s="31"/>
      <c r="AD335" s="31"/>
      <c r="AE335" s="31"/>
      <c r="AF335" s="31"/>
    </row>
    <row r="336" ht="15.75" hidden="1" customHeight="1">
      <c r="H336" s="81"/>
      <c r="N336" s="85"/>
      <c r="O336" s="85"/>
      <c r="P336" s="86"/>
      <c r="V336" s="31"/>
      <c r="W336" s="31"/>
      <c r="X336" s="31"/>
      <c r="AD336" s="31"/>
      <c r="AE336" s="31"/>
      <c r="AF336" s="31"/>
    </row>
    <row r="337" ht="15.75" hidden="1" customHeight="1">
      <c r="H337" s="81"/>
      <c r="N337" s="85"/>
      <c r="O337" s="85"/>
      <c r="P337" s="86"/>
      <c r="V337" s="31"/>
      <c r="W337" s="31"/>
      <c r="X337" s="31"/>
      <c r="AD337" s="31"/>
      <c r="AE337" s="31"/>
      <c r="AF337" s="31"/>
    </row>
    <row r="338" ht="15.75" hidden="1" customHeight="1">
      <c r="H338" s="81"/>
      <c r="N338" s="85"/>
      <c r="O338" s="85"/>
      <c r="P338" s="86"/>
      <c r="V338" s="31"/>
      <c r="W338" s="31"/>
      <c r="X338" s="31"/>
      <c r="AD338" s="31"/>
      <c r="AE338" s="31"/>
      <c r="AF338" s="31"/>
    </row>
    <row r="339" ht="15.75" hidden="1" customHeight="1">
      <c r="H339" s="81"/>
      <c r="N339" s="85"/>
      <c r="O339" s="85"/>
      <c r="P339" s="86"/>
      <c r="V339" s="31"/>
      <c r="W339" s="31"/>
      <c r="X339" s="31"/>
      <c r="AD339" s="31"/>
      <c r="AE339" s="31"/>
      <c r="AF339" s="31"/>
    </row>
    <row r="340" ht="15.75" hidden="1" customHeight="1">
      <c r="H340" s="81"/>
      <c r="N340" s="85"/>
      <c r="O340" s="85"/>
      <c r="P340" s="86"/>
      <c r="V340" s="31"/>
      <c r="W340" s="31"/>
      <c r="X340" s="31"/>
      <c r="AD340" s="31"/>
      <c r="AE340" s="31"/>
      <c r="AF340" s="31"/>
    </row>
    <row r="341" ht="15.75" hidden="1" customHeight="1">
      <c r="H341" s="81"/>
      <c r="N341" s="85"/>
      <c r="O341" s="85"/>
      <c r="P341" s="86"/>
      <c r="V341" s="31"/>
      <c r="W341" s="31"/>
      <c r="X341" s="31"/>
      <c r="AD341" s="31"/>
      <c r="AE341" s="31"/>
      <c r="AF341" s="31"/>
    </row>
    <row r="342" ht="15.75" hidden="1" customHeight="1">
      <c r="H342" s="81"/>
      <c r="N342" s="85"/>
      <c r="O342" s="85"/>
      <c r="P342" s="86"/>
      <c r="V342" s="31"/>
      <c r="W342" s="31"/>
      <c r="X342" s="31"/>
      <c r="AD342" s="31"/>
      <c r="AE342" s="31"/>
      <c r="AF342" s="31"/>
    </row>
    <row r="343" ht="15.75" hidden="1" customHeight="1">
      <c r="H343" s="81"/>
      <c r="N343" s="85"/>
      <c r="O343" s="85"/>
      <c r="P343" s="86"/>
      <c r="V343" s="31"/>
      <c r="W343" s="31"/>
      <c r="X343" s="31"/>
      <c r="AD343" s="31"/>
      <c r="AE343" s="31"/>
      <c r="AF343" s="31"/>
    </row>
    <row r="344" ht="15.75" hidden="1" customHeight="1">
      <c r="H344" s="81"/>
      <c r="N344" s="85"/>
      <c r="O344" s="85"/>
      <c r="P344" s="86"/>
      <c r="V344" s="31"/>
      <c r="W344" s="31"/>
      <c r="X344" s="31"/>
      <c r="AD344" s="31"/>
      <c r="AE344" s="31"/>
      <c r="AF344" s="31"/>
    </row>
    <row r="345" ht="15.75" hidden="1" customHeight="1">
      <c r="H345" s="81"/>
      <c r="N345" s="85"/>
      <c r="O345" s="85"/>
      <c r="P345" s="86"/>
      <c r="V345" s="31"/>
      <c r="W345" s="31"/>
      <c r="X345" s="31"/>
      <c r="AD345" s="31"/>
      <c r="AE345" s="31"/>
      <c r="AF345" s="31"/>
    </row>
    <row r="346" ht="15.75" hidden="1" customHeight="1">
      <c r="H346" s="81"/>
      <c r="N346" s="85"/>
      <c r="O346" s="85"/>
      <c r="P346" s="86"/>
      <c r="V346" s="31"/>
      <c r="W346" s="31"/>
      <c r="X346" s="31"/>
      <c r="AD346" s="31"/>
      <c r="AE346" s="31"/>
      <c r="AF346" s="31"/>
    </row>
    <row r="347" ht="15.75" hidden="1" customHeight="1">
      <c r="H347" s="81"/>
      <c r="N347" s="85"/>
      <c r="O347" s="85"/>
      <c r="P347" s="86"/>
      <c r="V347" s="31"/>
      <c r="W347" s="31"/>
      <c r="X347" s="31"/>
      <c r="AD347" s="31"/>
      <c r="AE347" s="31"/>
      <c r="AF347" s="31"/>
    </row>
    <row r="348" ht="15.75" hidden="1" customHeight="1">
      <c r="H348" s="81"/>
      <c r="N348" s="85"/>
      <c r="O348" s="85"/>
      <c r="P348" s="86"/>
      <c r="V348" s="31"/>
      <c r="W348" s="31"/>
      <c r="X348" s="31"/>
      <c r="AD348" s="31"/>
      <c r="AE348" s="31"/>
      <c r="AF348" s="31"/>
    </row>
    <row r="349" ht="15.75" hidden="1" customHeight="1">
      <c r="H349" s="81"/>
      <c r="N349" s="85"/>
      <c r="O349" s="85"/>
      <c r="P349" s="86"/>
      <c r="V349" s="31"/>
      <c r="W349" s="31"/>
      <c r="X349" s="31"/>
      <c r="AD349" s="31"/>
      <c r="AE349" s="31"/>
      <c r="AF349" s="31"/>
    </row>
    <row r="350" ht="15.75" hidden="1" customHeight="1">
      <c r="H350" s="81"/>
      <c r="N350" s="85"/>
      <c r="O350" s="85"/>
      <c r="P350" s="86"/>
      <c r="V350" s="31"/>
      <c r="W350" s="31"/>
      <c r="X350" s="31"/>
      <c r="AD350" s="31"/>
      <c r="AE350" s="31"/>
      <c r="AF350" s="31"/>
    </row>
    <row r="351" ht="15.75" hidden="1" customHeight="1">
      <c r="H351" s="81"/>
      <c r="N351" s="85"/>
      <c r="O351" s="85"/>
      <c r="P351" s="86"/>
      <c r="V351" s="31"/>
      <c r="W351" s="31"/>
      <c r="X351" s="31"/>
      <c r="AD351" s="31"/>
      <c r="AE351" s="31"/>
      <c r="AF351" s="31"/>
    </row>
    <row r="352" ht="15.75" hidden="1" customHeight="1">
      <c r="H352" s="81"/>
      <c r="N352" s="85"/>
      <c r="O352" s="85"/>
      <c r="P352" s="86"/>
      <c r="V352" s="31"/>
      <c r="W352" s="31"/>
      <c r="X352" s="31"/>
      <c r="AD352" s="31"/>
      <c r="AE352" s="31"/>
      <c r="AF352" s="31"/>
    </row>
    <row r="353" ht="15.75" hidden="1" customHeight="1">
      <c r="H353" s="81"/>
      <c r="N353" s="85"/>
      <c r="O353" s="85"/>
      <c r="P353" s="86"/>
      <c r="V353" s="31"/>
      <c r="W353" s="31"/>
      <c r="X353" s="31"/>
      <c r="AD353" s="31"/>
      <c r="AE353" s="31"/>
      <c r="AF353" s="31"/>
    </row>
    <row r="354" ht="15.75" hidden="1" customHeight="1">
      <c r="H354" s="81"/>
      <c r="N354" s="85"/>
      <c r="O354" s="85"/>
      <c r="P354" s="86"/>
      <c r="V354" s="31"/>
      <c r="W354" s="31"/>
      <c r="X354" s="31"/>
      <c r="AD354" s="31"/>
      <c r="AE354" s="31"/>
      <c r="AF354" s="31"/>
    </row>
    <row r="355" ht="15.75" hidden="1" customHeight="1">
      <c r="H355" s="81"/>
      <c r="N355" s="85"/>
      <c r="O355" s="85"/>
      <c r="P355" s="86"/>
      <c r="V355" s="31"/>
      <c r="W355" s="31"/>
      <c r="X355" s="31"/>
      <c r="AD355" s="31"/>
      <c r="AE355" s="31"/>
      <c r="AF355" s="31"/>
    </row>
    <row r="356" ht="15.75" hidden="1" customHeight="1">
      <c r="H356" s="81"/>
      <c r="N356" s="85"/>
      <c r="O356" s="85"/>
      <c r="P356" s="86"/>
      <c r="V356" s="31"/>
      <c r="W356" s="31"/>
      <c r="X356" s="31"/>
      <c r="AD356" s="31"/>
      <c r="AE356" s="31"/>
      <c r="AF356" s="31"/>
    </row>
    <row r="357" ht="15.75" hidden="1" customHeight="1">
      <c r="H357" s="81"/>
      <c r="N357" s="85"/>
      <c r="O357" s="85"/>
      <c r="P357" s="86"/>
      <c r="V357" s="31"/>
      <c r="W357" s="31"/>
      <c r="X357" s="31"/>
      <c r="AD357" s="31"/>
      <c r="AE357" s="31"/>
      <c r="AF357" s="31"/>
    </row>
    <row r="358" ht="15.75" hidden="1" customHeight="1">
      <c r="H358" s="81"/>
      <c r="N358" s="85"/>
      <c r="O358" s="85"/>
      <c r="P358" s="86"/>
      <c r="V358" s="31"/>
      <c r="W358" s="31"/>
      <c r="X358" s="31"/>
      <c r="AD358" s="31"/>
      <c r="AE358" s="31"/>
      <c r="AF358" s="31"/>
    </row>
    <row r="359" ht="15.75" hidden="1" customHeight="1">
      <c r="H359" s="81"/>
      <c r="N359" s="85"/>
      <c r="O359" s="85"/>
      <c r="P359" s="86"/>
      <c r="V359" s="31"/>
      <c r="W359" s="31"/>
      <c r="X359" s="31"/>
      <c r="AD359" s="31"/>
      <c r="AE359" s="31"/>
      <c r="AF359" s="31"/>
    </row>
    <row r="360" ht="15.75" hidden="1" customHeight="1">
      <c r="H360" s="81"/>
      <c r="N360" s="85"/>
      <c r="O360" s="85"/>
      <c r="P360" s="86"/>
      <c r="V360" s="31"/>
      <c r="W360" s="31"/>
      <c r="X360" s="31"/>
      <c r="AD360" s="31"/>
      <c r="AE360" s="31"/>
      <c r="AF360" s="31"/>
    </row>
    <row r="361" ht="15.75" hidden="1" customHeight="1">
      <c r="H361" s="81"/>
      <c r="N361" s="85"/>
      <c r="O361" s="85"/>
      <c r="P361" s="86"/>
      <c r="V361" s="31"/>
      <c r="W361" s="31"/>
      <c r="X361" s="31"/>
      <c r="AD361" s="31"/>
      <c r="AE361" s="31"/>
      <c r="AF361" s="31"/>
    </row>
    <row r="362" ht="15.75" hidden="1" customHeight="1">
      <c r="H362" s="81"/>
      <c r="N362" s="85"/>
      <c r="O362" s="85"/>
      <c r="P362" s="86"/>
      <c r="V362" s="31"/>
      <c r="W362" s="31"/>
      <c r="X362" s="31"/>
      <c r="AD362" s="31"/>
      <c r="AE362" s="31"/>
      <c r="AF362" s="31"/>
    </row>
    <row r="363" ht="15.75" hidden="1" customHeight="1">
      <c r="H363" s="81"/>
      <c r="N363" s="85"/>
      <c r="O363" s="85"/>
      <c r="P363" s="86"/>
      <c r="V363" s="31"/>
      <c r="W363" s="31"/>
      <c r="X363" s="31"/>
      <c r="AD363" s="31"/>
      <c r="AE363" s="31"/>
      <c r="AF363" s="31"/>
    </row>
    <row r="364" ht="15.75" hidden="1" customHeight="1">
      <c r="H364" s="81"/>
      <c r="N364" s="85"/>
      <c r="O364" s="85"/>
      <c r="P364" s="86"/>
      <c r="V364" s="31"/>
      <c r="W364" s="31"/>
      <c r="X364" s="31"/>
      <c r="AD364" s="31"/>
      <c r="AE364" s="31"/>
      <c r="AF364" s="31"/>
    </row>
    <row r="365" ht="15.75" hidden="1" customHeight="1">
      <c r="H365" s="81"/>
      <c r="N365" s="85"/>
      <c r="O365" s="85"/>
      <c r="P365" s="86"/>
      <c r="V365" s="31"/>
      <c r="W365" s="31"/>
      <c r="X365" s="31"/>
      <c r="AD365" s="31"/>
      <c r="AE365" s="31"/>
      <c r="AF365" s="31"/>
    </row>
    <row r="366" ht="15.75" hidden="1" customHeight="1">
      <c r="H366" s="81"/>
      <c r="N366" s="85"/>
      <c r="O366" s="85"/>
      <c r="P366" s="86"/>
      <c r="V366" s="31"/>
      <c r="W366" s="31"/>
      <c r="X366" s="31"/>
      <c r="AD366" s="31"/>
      <c r="AE366" s="31"/>
      <c r="AF366" s="31"/>
    </row>
    <row r="367" ht="15.75" hidden="1" customHeight="1">
      <c r="H367" s="81"/>
      <c r="N367" s="85"/>
      <c r="O367" s="85"/>
      <c r="P367" s="86"/>
      <c r="V367" s="31"/>
      <c r="W367" s="31"/>
      <c r="X367" s="31"/>
      <c r="AD367" s="31"/>
      <c r="AE367" s="31"/>
      <c r="AF367" s="31"/>
    </row>
    <row r="368" ht="15.75" hidden="1" customHeight="1">
      <c r="H368" s="81"/>
      <c r="N368" s="85"/>
      <c r="O368" s="85"/>
      <c r="P368" s="86"/>
      <c r="V368" s="31"/>
      <c r="W368" s="31"/>
      <c r="X368" s="31"/>
      <c r="AD368" s="31"/>
      <c r="AE368" s="31"/>
      <c r="AF368" s="31"/>
    </row>
    <row r="369" ht="15.75" hidden="1" customHeight="1">
      <c r="H369" s="81"/>
      <c r="N369" s="85"/>
      <c r="O369" s="85"/>
      <c r="P369" s="86"/>
      <c r="V369" s="31"/>
      <c r="W369" s="31"/>
      <c r="X369" s="31"/>
      <c r="AD369" s="31"/>
      <c r="AE369" s="31"/>
      <c r="AF369" s="31"/>
    </row>
    <row r="370" ht="15.75" hidden="1" customHeight="1">
      <c r="H370" s="81"/>
      <c r="N370" s="85"/>
      <c r="O370" s="85"/>
      <c r="P370" s="86"/>
      <c r="V370" s="31"/>
      <c r="W370" s="31"/>
      <c r="X370" s="31"/>
      <c r="AD370" s="31"/>
      <c r="AE370" s="31"/>
      <c r="AF370" s="31"/>
    </row>
    <row r="371" ht="15.75" hidden="1" customHeight="1">
      <c r="H371" s="81"/>
      <c r="N371" s="85"/>
      <c r="O371" s="85"/>
      <c r="P371" s="86"/>
      <c r="V371" s="31"/>
      <c r="W371" s="31"/>
      <c r="X371" s="31"/>
      <c r="AD371" s="31"/>
      <c r="AE371" s="31"/>
      <c r="AF371" s="31"/>
    </row>
    <row r="372" ht="15.75" hidden="1" customHeight="1">
      <c r="H372" s="81"/>
      <c r="N372" s="85"/>
      <c r="O372" s="85"/>
      <c r="P372" s="86"/>
      <c r="V372" s="31"/>
      <c r="W372" s="31"/>
      <c r="X372" s="31"/>
      <c r="AD372" s="31"/>
      <c r="AE372" s="31"/>
      <c r="AF372" s="31"/>
    </row>
    <row r="373" ht="15.75" hidden="1" customHeight="1">
      <c r="H373" s="81"/>
      <c r="N373" s="85"/>
      <c r="O373" s="85"/>
      <c r="P373" s="86"/>
      <c r="V373" s="31"/>
      <c r="W373" s="31"/>
      <c r="X373" s="31"/>
      <c r="AD373" s="31"/>
      <c r="AE373" s="31"/>
      <c r="AF373" s="31"/>
    </row>
    <row r="374" ht="15.75" hidden="1" customHeight="1">
      <c r="H374" s="81"/>
      <c r="N374" s="85"/>
      <c r="O374" s="85"/>
      <c r="P374" s="86"/>
      <c r="V374" s="31"/>
      <c r="W374" s="31"/>
      <c r="X374" s="31"/>
      <c r="AD374" s="31"/>
      <c r="AE374" s="31"/>
      <c r="AF374" s="31"/>
    </row>
    <row r="375" ht="15.75" hidden="1" customHeight="1">
      <c r="H375" s="81"/>
      <c r="N375" s="85"/>
      <c r="O375" s="85"/>
      <c r="P375" s="86"/>
      <c r="V375" s="31"/>
      <c r="W375" s="31"/>
      <c r="X375" s="31"/>
      <c r="AD375" s="31"/>
      <c r="AE375" s="31"/>
      <c r="AF375" s="31"/>
    </row>
    <row r="376" ht="15.75" hidden="1" customHeight="1">
      <c r="H376" s="81"/>
      <c r="N376" s="85"/>
      <c r="O376" s="85"/>
      <c r="P376" s="86"/>
      <c r="V376" s="31"/>
      <c r="W376" s="31"/>
      <c r="X376" s="31"/>
      <c r="AD376" s="31"/>
      <c r="AE376" s="31"/>
      <c r="AF376" s="31"/>
    </row>
    <row r="377" ht="15.75" hidden="1" customHeight="1">
      <c r="H377" s="81"/>
      <c r="N377" s="85"/>
      <c r="O377" s="85"/>
      <c r="P377" s="86"/>
      <c r="V377" s="31"/>
      <c r="W377" s="31"/>
      <c r="X377" s="31"/>
      <c r="AD377" s="31"/>
      <c r="AE377" s="31"/>
      <c r="AF377" s="31"/>
    </row>
    <row r="378" ht="15.75" hidden="1" customHeight="1">
      <c r="H378" s="81"/>
      <c r="N378" s="85"/>
      <c r="O378" s="85"/>
      <c r="P378" s="86"/>
      <c r="V378" s="31"/>
      <c r="W378" s="31"/>
      <c r="X378" s="31"/>
      <c r="AD378" s="31"/>
      <c r="AE378" s="31"/>
      <c r="AF378" s="31"/>
    </row>
    <row r="379" ht="15.75" hidden="1" customHeight="1">
      <c r="H379" s="81"/>
      <c r="N379" s="85"/>
      <c r="O379" s="85"/>
      <c r="P379" s="86"/>
      <c r="V379" s="31"/>
      <c r="W379" s="31"/>
      <c r="X379" s="31"/>
      <c r="AD379" s="31"/>
      <c r="AE379" s="31"/>
      <c r="AF379" s="31"/>
    </row>
    <row r="380" ht="15.75" hidden="1" customHeight="1">
      <c r="H380" s="81"/>
      <c r="N380" s="85"/>
      <c r="O380" s="85"/>
      <c r="P380" s="86"/>
      <c r="V380" s="31"/>
      <c r="W380" s="31"/>
      <c r="X380" s="31"/>
      <c r="AD380" s="31"/>
      <c r="AE380" s="31"/>
      <c r="AF380" s="31"/>
    </row>
    <row r="381" ht="15.75" hidden="1" customHeight="1">
      <c r="H381" s="81"/>
      <c r="N381" s="85"/>
      <c r="O381" s="85"/>
      <c r="P381" s="86"/>
      <c r="V381" s="31"/>
      <c r="W381" s="31"/>
      <c r="X381" s="31"/>
      <c r="AD381" s="31"/>
      <c r="AE381" s="31"/>
      <c r="AF381" s="31"/>
    </row>
    <row r="382" ht="15.75" hidden="1" customHeight="1">
      <c r="H382" s="81"/>
      <c r="N382" s="85"/>
      <c r="O382" s="85"/>
      <c r="P382" s="86"/>
      <c r="V382" s="31"/>
      <c r="W382" s="31"/>
      <c r="X382" s="31"/>
      <c r="AD382" s="31"/>
      <c r="AE382" s="31"/>
      <c r="AF382" s="31"/>
    </row>
    <row r="383" ht="15.75" hidden="1" customHeight="1">
      <c r="H383" s="81"/>
      <c r="N383" s="85"/>
      <c r="O383" s="85"/>
      <c r="P383" s="86"/>
      <c r="V383" s="31"/>
      <c r="W383" s="31"/>
      <c r="X383" s="31"/>
      <c r="AD383" s="31"/>
      <c r="AE383" s="31"/>
      <c r="AF383" s="31"/>
    </row>
    <row r="384" ht="15.75" hidden="1" customHeight="1">
      <c r="H384" s="81"/>
      <c r="N384" s="85"/>
      <c r="O384" s="85"/>
      <c r="P384" s="86"/>
      <c r="V384" s="31"/>
      <c r="W384" s="31"/>
      <c r="X384" s="31"/>
      <c r="AD384" s="31"/>
      <c r="AE384" s="31"/>
      <c r="AF384" s="31"/>
    </row>
    <row r="385" ht="15.75" hidden="1" customHeight="1">
      <c r="H385" s="81"/>
      <c r="N385" s="85"/>
      <c r="O385" s="85"/>
      <c r="P385" s="86"/>
      <c r="V385" s="31"/>
      <c r="W385" s="31"/>
      <c r="X385" s="31"/>
      <c r="AD385" s="31"/>
      <c r="AE385" s="31"/>
      <c r="AF385" s="31"/>
    </row>
    <row r="386" ht="15.75" hidden="1" customHeight="1">
      <c r="H386" s="81"/>
      <c r="N386" s="85"/>
      <c r="O386" s="85"/>
      <c r="P386" s="86"/>
      <c r="V386" s="31"/>
      <c r="W386" s="31"/>
      <c r="X386" s="31"/>
      <c r="AD386" s="31"/>
      <c r="AE386" s="31"/>
      <c r="AF386" s="31"/>
    </row>
    <row r="387" ht="15.75" hidden="1" customHeight="1">
      <c r="H387" s="81"/>
      <c r="N387" s="85"/>
      <c r="O387" s="85"/>
      <c r="P387" s="86"/>
      <c r="V387" s="31"/>
      <c r="W387" s="31"/>
      <c r="X387" s="31"/>
      <c r="AD387" s="31"/>
      <c r="AE387" s="31"/>
      <c r="AF387" s="31"/>
    </row>
    <row r="388" ht="15.75" hidden="1" customHeight="1">
      <c r="H388" s="81"/>
      <c r="N388" s="85"/>
      <c r="O388" s="85"/>
      <c r="P388" s="86"/>
      <c r="V388" s="31"/>
      <c r="W388" s="31"/>
      <c r="X388" s="31"/>
      <c r="AD388" s="31"/>
      <c r="AE388" s="31"/>
      <c r="AF388" s="31"/>
    </row>
    <row r="389" ht="15.75" hidden="1" customHeight="1">
      <c r="H389" s="81"/>
      <c r="N389" s="85"/>
      <c r="O389" s="85"/>
      <c r="P389" s="86"/>
      <c r="V389" s="31"/>
      <c r="W389" s="31"/>
      <c r="X389" s="31"/>
      <c r="AD389" s="31"/>
      <c r="AE389" s="31"/>
      <c r="AF389" s="31"/>
    </row>
    <row r="390" ht="15.75" hidden="1" customHeight="1">
      <c r="H390" s="81"/>
      <c r="N390" s="85"/>
      <c r="O390" s="85"/>
      <c r="P390" s="86"/>
      <c r="V390" s="31"/>
      <c r="W390" s="31"/>
      <c r="X390" s="31"/>
      <c r="AD390" s="31"/>
      <c r="AE390" s="31"/>
      <c r="AF390" s="31"/>
    </row>
    <row r="391" ht="15.75" hidden="1" customHeight="1">
      <c r="H391" s="81"/>
      <c r="N391" s="85"/>
      <c r="O391" s="85"/>
      <c r="P391" s="86"/>
      <c r="V391" s="31"/>
      <c r="W391" s="31"/>
      <c r="X391" s="31"/>
      <c r="AD391" s="31"/>
      <c r="AE391" s="31"/>
      <c r="AF391" s="31"/>
    </row>
    <row r="392" ht="15.75" hidden="1" customHeight="1">
      <c r="H392" s="81"/>
      <c r="N392" s="85"/>
      <c r="O392" s="85"/>
      <c r="P392" s="86"/>
      <c r="V392" s="31"/>
      <c r="W392" s="31"/>
      <c r="X392" s="31"/>
      <c r="AD392" s="31"/>
      <c r="AE392" s="31"/>
      <c r="AF392" s="31"/>
    </row>
    <row r="393" ht="15.75" hidden="1" customHeight="1">
      <c r="H393" s="81"/>
      <c r="N393" s="85"/>
      <c r="O393" s="85"/>
      <c r="P393" s="86"/>
      <c r="V393" s="31"/>
      <c r="W393" s="31"/>
      <c r="X393" s="31"/>
      <c r="AD393" s="31"/>
      <c r="AE393" s="31"/>
      <c r="AF393" s="31"/>
    </row>
    <row r="394" ht="15.75" hidden="1" customHeight="1">
      <c r="H394" s="81"/>
      <c r="N394" s="85"/>
      <c r="O394" s="85"/>
      <c r="P394" s="86"/>
      <c r="V394" s="31"/>
      <c r="W394" s="31"/>
      <c r="X394" s="31"/>
      <c r="AD394" s="31"/>
      <c r="AE394" s="31"/>
      <c r="AF394" s="31"/>
    </row>
    <row r="395" ht="15.75" hidden="1" customHeight="1">
      <c r="H395" s="81"/>
      <c r="N395" s="85"/>
      <c r="O395" s="85"/>
      <c r="P395" s="86"/>
      <c r="V395" s="31"/>
      <c r="W395" s="31"/>
      <c r="X395" s="31"/>
      <c r="AD395" s="31"/>
      <c r="AE395" s="31"/>
      <c r="AF395" s="31"/>
    </row>
    <row r="396" ht="15.75" hidden="1" customHeight="1">
      <c r="H396" s="81"/>
      <c r="N396" s="85"/>
      <c r="O396" s="85"/>
      <c r="P396" s="86"/>
      <c r="V396" s="31"/>
      <c r="W396" s="31"/>
      <c r="X396" s="31"/>
      <c r="AD396" s="31"/>
      <c r="AE396" s="31"/>
      <c r="AF396" s="31"/>
    </row>
    <row r="397" ht="15.75" hidden="1" customHeight="1">
      <c r="H397" s="81"/>
      <c r="N397" s="85"/>
      <c r="O397" s="85"/>
      <c r="P397" s="86"/>
      <c r="V397" s="31"/>
      <c r="W397" s="31"/>
      <c r="X397" s="31"/>
      <c r="AD397" s="31"/>
      <c r="AE397" s="31"/>
      <c r="AF397" s="31"/>
    </row>
    <row r="398" ht="15.75" hidden="1" customHeight="1">
      <c r="H398" s="81"/>
      <c r="N398" s="85"/>
      <c r="O398" s="85"/>
      <c r="P398" s="86"/>
      <c r="V398" s="31"/>
      <c r="W398" s="31"/>
      <c r="X398" s="31"/>
      <c r="AD398" s="31"/>
      <c r="AE398" s="31"/>
      <c r="AF398" s="31"/>
    </row>
    <row r="399" ht="15.75" hidden="1" customHeight="1">
      <c r="H399" s="81"/>
      <c r="N399" s="85"/>
      <c r="O399" s="85"/>
      <c r="P399" s="86"/>
      <c r="V399" s="31"/>
      <c r="W399" s="31"/>
      <c r="X399" s="31"/>
      <c r="AD399" s="31"/>
      <c r="AE399" s="31"/>
      <c r="AF399" s="31"/>
    </row>
    <row r="400" ht="15.75" hidden="1" customHeight="1">
      <c r="H400" s="81"/>
      <c r="N400" s="85"/>
      <c r="O400" s="85"/>
      <c r="P400" s="86"/>
      <c r="V400" s="31"/>
      <c r="W400" s="31"/>
      <c r="X400" s="31"/>
      <c r="AD400" s="31"/>
      <c r="AE400" s="31"/>
      <c r="AF400" s="31"/>
    </row>
    <row r="401" ht="15.75" hidden="1" customHeight="1">
      <c r="H401" s="81"/>
      <c r="N401" s="85"/>
      <c r="O401" s="85"/>
      <c r="P401" s="86"/>
      <c r="V401" s="31"/>
      <c r="W401" s="31"/>
      <c r="X401" s="31"/>
      <c r="AD401" s="31"/>
      <c r="AE401" s="31"/>
      <c r="AF401" s="31"/>
    </row>
    <row r="402" ht="15.75" hidden="1" customHeight="1">
      <c r="H402" s="81"/>
      <c r="N402" s="85"/>
      <c r="O402" s="85"/>
      <c r="P402" s="86"/>
      <c r="V402" s="31"/>
      <c r="W402" s="31"/>
      <c r="X402" s="31"/>
      <c r="AD402" s="31"/>
      <c r="AE402" s="31"/>
      <c r="AF402" s="31"/>
    </row>
    <row r="403" ht="15.75" hidden="1" customHeight="1">
      <c r="H403" s="81"/>
      <c r="N403" s="85"/>
      <c r="O403" s="85"/>
      <c r="P403" s="86"/>
      <c r="V403" s="31"/>
      <c r="W403" s="31"/>
      <c r="X403" s="31"/>
      <c r="AD403" s="31"/>
      <c r="AE403" s="31"/>
      <c r="AF403" s="31"/>
    </row>
    <row r="404" ht="15.75" hidden="1" customHeight="1">
      <c r="H404" s="81"/>
      <c r="N404" s="85"/>
      <c r="O404" s="85"/>
      <c r="P404" s="86"/>
      <c r="V404" s="31"/>
      <c r="W404" s="31"/>
      <c r="X404" s="31"/>
      <c r="AD404" s="31"/>
      <c r="AE404" s="31"/>
      <c r="AF404" s="31"/>
    </row>
    <row r="405" ht="15.75" hidden="1" customHeight="1">
      <c r="H405" s="81"/>
      <c r="N405" s="85"/>
      <c r="O405" s="85"/>
      <c r="P405" s="86"/>
      <c r="V405" s="31"/>
      <c r="W405" s="31"/>
      <c r="X405" s="31"/>
      <c r="AD405" s="31"/>
      <c r="AE405" s="31"/>
      <c r="AF405" s="31"/>
    </row>
    <row r="406" ht="15.75" hidden="1" customHeight="1">
      <c r="H406" s="81"/>
      <c r="N406" s="85"/>
      <c r="O406" s="85"/>
      <c r="P406" s="86"/>
      <c r="V406" s="31"/>
      <c r="W406" s="31"/>
      <c r="X406" s="31"/>
      <c r="AD406" s="31"/>
      <c r="AE406" s="31"/>
      <c r="AF406" s="31"/>
    </row>
    <row r="407" ht="15.75" hidden="1" customHeight="1">
      <c r="H407" s="81"/>
      <c r="N407" s="85"/>
      <c r="O407" s="85"/>
      <c r="P407" s="86"/>
      <c r="V407" s="31"/>
      <c r="W407" s="31"/>
      <c r="X407" s="31"/>
      <c r="AD407" s="31"/>
      <c r="AE407" s="31"/>
      <c r="AF407" s="31"/>
    </row>
    <row r="408" ht="15.75" hidden="1" customHeight="1">
      <c r="H408" s="81"/>
      <c r="N408" s="85"/>
      <c r="O408" s="85"/>
      <c r="P408" s="86"/>
      <c r="V408" s="31"/>
      <c r="W408" s="31"/>
      <c r="X408" s="31"/>
      <c r="AD408" s="31"/>
      <c r="AE408" s="31"/>
      <c r="AF408" s="31"/>
    </row>
    <row r="409" ht="15.75" hidden="1" customHeight="1">
      <c r="H409" s="81"/>
      <c r="N409" s="85"/>
      <c r="O409" s="85"/>
      <c r="P409" s="86"/>
      <c r="V409" s="31"/>
      <c r="W409" s="31"/>
      <c r="X409" s="31"/>
      <c r="AD409" s="31"/>
      <c r="AE409" s="31"/>
      <c r="AF409" s="31"/>
    </row>
    <row r="410" ht="15.75" hidden="1" customHeight="1">
      <c r="H410" s="81"/>
      <c r="N410" s="85"/>
      <c r="O410" s="85"/>
      <c r="P410" s="86"/>
      <c r="V410" s="31"/>
      <c r="W410" s="31"/>
      <c r="X410" s="31"/>
      <c r="AD410" s="31"/>
      <c r="AE410" s="31"/>
      <c r="AF410" s="31"/>
    </row>
    <row r="411" ht="15.75" hidden="1" customHeight="1">
      <c r="H411" s="81"/>
      <c r="N411" s="85"/>
      <c r="O411" s="85"/>
      <c r="P411" s="86"/>
      <c r="V411" s="31"/>
      <c r="W411" s="31"/>
      <c r="X411" s="31"/>
      <c r="AD411" s="31"/>
      <c r="AE411" s="31"/>
      <c r="AF411" s="31"/>
    </row>
    <row r="412" ht="15.75" hidden="1" customHeight="1">
      <c r="H412" s="81"/>
      <c r="N412" s="85"/>
      <c r="O412" s="85"/>
      <c r="P412" s="86"/>
      <c r="V412" s="31"/>
      <c r="W412" s="31"/>
      <c r="X412" s="31"/>
      <c r="AD412" s="31"/>
      <c r="AE412" s="31"/>
      <c r="AF412" s="31"/>
    </row>
    <row r="413" ht="15.75" hidden="1" customHeight="1">
      <c r="H413" s="81"/>
      <c r="N413" s="85"/>
      <c r="O413" s="85"/>
      <c r="P413" s="86"/>
      <c r="V413" s="31"/>
      <c r="W413" s="31"/>
      <c r="X413" s="31"/>
      <c r="AD413" s="31"/>
      <c r="AE413" s="31"/>
      <c r="AF413" s="31"/>
    </row>
    <row r="414" ht="15.75" hidden="1" customHeight="1">
      <c r="H414" s="81"/>
      <c r="N414" s="85"/>
      <c r="O414" s="85"/>
      <c r="P414" s="86"/>
      <c r="V414" s="31"/>
      <c r="W414" s="31"/>
      <c r="X414" s="31"/>
      <c r="AD414" s="31"/>
      <c r="AE414" s="31"/>
      <c r="AF414" s="31"/>
    </row>
    <row r="415" ht="15.75" hidden="1" customHeight="1">
      <c r="H415" s="81"/>
      <c r="N415" s="85"/>
      <c r="O415" s="85"/>
      <c r="P415" s="86"/>
      <c r="V415" s="31"/>
      <c r="W415" s="31"/>
      <c r="X415" s="31"/>
      <c r="AD415" s="31"/>
      <c r="AE415" s="31"/>
      <c r="AF415" s="31"/>
    </row>
    <row r="416" ht="15.75" hidden="1" customHeight="1">
      <c r="H416" s="81"/>
      <c r="N416" s="85"/>
      <c r="O416" s="85"/>
      <c r="P416" s="86"/>
      <c r="V416" s="31"/>
      <c r="W416" s="31"/>
      <c r="X416" s="31"/>
      <c r="AD416" s="31"/>
      <c r="AE416" s="31"/>
      <c r="AF416" s="31"/>
    </row>
    <row r="417" ht="15.75" hidden="1" customHeight="1">
      <c r="H417" s="81"/>
      <c r="N417" s="85"/>
      <c r="O417" s="85"/>
      <c r="P417" s="86"/>
      <c r="V417" s="31"/>
      <c r="W417" s="31"/>
      <c r="X417" s="31"/>
      <c r="AD417" s="31"/>
      <c r="AE417" s="31"/>
      <c r="AF417" s="31"/>
    </row>
    <row r="418" ht="15.75" hidden="1" customHeight="1">
      <c r="H418" s="81"/>
      <c r="N418" s="85"/>
      <c r="O418" s="85"/>
      <c r="P418" s="86"/>
      <c r="V418" s="31"/>
      <c r="W418" s="31"/>
      <c r="X418" s="31"/>
      <c r="AD418" s="31"/>
      <c r="AE418" s="31"/>
      <c r="AF418" s="31"/>
    </row>
    <row r="419" ht="15.75" hidden="1" customHeight="1">
      <c r="H419" s="81"/>
      <c r="N419" s="85"/>
      <c r="O419" s="85"/>
      <c r="P419" s="86"/>
      <c r="V419" s="31"/>
      <c r="W419" s="31"/>
      <c r="X419" s="31"/>
      <c r="AD419" s="31"/>
      <c r="AE419" s="31"/>
      <c r="AF419" s="31"/>
    </row>
    <row r="420" ht="15.75" hidden="1" customHeight="1">
      <c r="H420" s="81"/>
      <c r="N420" s="85"/>
      <c r="O420" s="85"/>
      <c r="P420" s="86"/>
      <c r="V420" s="31"/>
      <c r="W420" s="31"/>
      <c r="X420" s="31"/>
      <c r="AD420" s="31"/>
      <c r="AE420" s="31"/>
      <c r="AF420" s="31"/>
    </row>
    <row r="421" ht="15.75" hidden="1" customHeight="1">
      <c r="H421" s="81"/>
      <c r="N421" s="85"/>
      <c r="O421" s="85"/>
      <c r="P421" s="86"/>
      <c r="V421" s="31"/>
      <c r="W421" s="31"/>
      <c r="X421" s="31"/>
      <c r="AD421" s="31"/>
      <c r="AE421" s="31"/>
      <c r="AF421" s="31"/>
    </row>
    <row r="422" ht="15.75" hidden="1" customHeight="1">
      <c r="H422" s="81"/>
      <c r="N422" s="85"/>
      <c r="O422" s="85"/>
      <c r="P422" s="86"/>
      <c r="V422" s="31"/>
      <c r="W422" s="31"/>
      <c r="X422" s="31"/>
      <c r="AD422" s="31"/>
      <c r="AE422" s="31"/>
      <c r="AF422" s="31"/>
    </row>
    <row r="423" ht="15.75" hidden="1" customHeight="1">
      <c r="H423" s="81"/>
      <c r="N423" s="85"/>
      <c r="O423" s="85"/>
      <c r="P423" s="86"/>
      <c r="V423" s="31"/>
      <c r="W423" s="31"/>
      <c r="X423" s="31"/>
      <c r="AD423" s="31"/>
      <c r="AE423" s="31"/>
      <c r="AF423" s="31"/>
    </row>
    <row r="424" ht="15.75" hidden="1" customHeight="1">
      <c r="H424" s="81"/>
      <c r="N424" s="85"/>
      <c r="O424" s="85"/>
      <c r="P424" s="86"/>
      <c r="V424" s="31"/>
      <c r="W424" s="31"/>
      <c r="X424" s="31"/>
      <c r="AD424" s="31"/>
      <c r="AE424" s="31"/>
      <c r="AF424" s="31"/>
    </row>
    <row r="425" ht="15.75" hidden="1" customHeight="1">
      <c r="H425" s="81"/>
      <c r="N425" s="85"/>
      <c r="O425" s="85"/>
      <c r="P425" s="86"/>
      <c r="V425" s="31"/>
      <c r="W425" s="31"/>
      <c r="X425" s="31"/>
      <c r="AD425" s="31"/>
      <c r="AE425" s="31"/>
      <c r="AF425" s="31"/>
    </row>
    <row r="426" ht="15.75" hidden="1" customHeight="1">
      <c r="H426" s="81"/>
      <c r="N426" s="85"/>
      <c r="O426" s="85"/>
      <c r="P426" s="86"/>
      <c r="V426" s="31"/>
      <c r="W426" s="31"/>
      <c r="X426" s="31"/>
      <c r="AD426" s="31"/>
      <c r="AE426" s="31"/>
      <c r="AF426" s="31"/>
    </row>
    <row r="427" ht="15.75" hidden="1" customHeight="1">
      <c r="H427" s="81"/>
      <c r="N427" s="85"/>
      <c r="O427" s="85"/>
      <c r="P427" s="86"/>
      <c r="V427" s="31"/>
      <c r="W427" s="31"/>
      <c r="X427" s="31"/>
      <c r="AD427" s="31"/>
      <c r="AE427" s="31"/>
      <c r="AF427" s="31"/>
    </row>
    <row r="428" ht="15.75" hidden="1" customHeight="1">
      <c r="H428" s="81"/>
      <c r="N428" s="85"/>
      <c r="O428" s="85"/>
      <c r="P428" s="86"/>
      <c r="V428" s="31"/>
      <c r="W428" s="31"/>
      <c r="X428" s="31"/>
      <c r="AD428" s="31"/>
      <c r="AE428" s="31"/>
      <c r="AF428" s="31"/>
    </row>
    <row r="429" ht="15.75" hidden="1" customHeight="1">
      <c r="H429" s="81"/>
      <c r="N429" s="85"/>
      <c r="O429" s="85"/>
      <c r="P429" s="86"/>
      <c r="V429" s="31"/>
      <c r="W429" s="31"/>
      <c r="X429" s="31"/>
      <c r="AD429" s="31"/>
      <c r="AE429" s="31"/>
      <c r="AF429" s="31"/>
    </row>
    <row r="430" ht="15.75" hidden="1" customHeight="1">
      <c r="H430" s="81"/>
      <c r="N430" s="85"/>
      <c r="O430" s="85"/>
      <c r="P430" s="86"/>
      <c r="V430" s="31"/>
      <c r="W430" s="31"/>
      <c r="X430" s="31"/>
      <c r="AD430" s="31"/>
      <c r="AE430" s="31"/>
      <c r="AF430" s="31"/>
    </row>
    <row r="431" ht="15.75" hidden="1" customHeight="1">
      <c r="H431" s="81"/>
      <c r="N431" s="85"/>
      <c r="O431" s="85"/>
      <c r="P431" s="86"/>
      <c r="V431" s="31"/>
      <c r="W431" s="31"/>
      <c r="X431" s="31"/>
      <c r="AD431" s="31"/>
      <c r="AE431" s="31"/>
      <c r="AF431" s="31"/>
    </row>
    <row r="432" ht="15.75" hidden="1" customHeight="1">
      <c r="H432" s="81"/>
      <c r="N432" s="85"/>
      <c r="O432" s="85"/>
      <c r="P432" s="86"/>
      <c r="V432" s="31"/>
      <c r="W432" s="31"/>
      <c r="X432" s="31"/>
      <c r="AD432" s="31"/>
      <c r="AE432" s="31"/>
      <c r="AF432" s="31"/>
    </row>
    <row r="433" ht="15.75" hidden="1" customHeight="1">
      <c r="H433" s="81"/>
      <c r="N433" s="85"/>
      <c r="O433" s="85"/>
      <c r="P433" s="86"/>
      <c r="V433" s="31"/>
      <c r="W433" s="31"/>
      <c r="X433" s="31"/>
      <c r="AD433" s="31"/>
      <c r="AE433" s="31"/>
      <c r="AF433" s="31"/>
    </row>
    <row r="434" ht="15.75" hidden="1" customHeight="1">
      <c r="H434" s="81"/>
      <c r="N434" s="85"/>
      <c r="O434" s="85"/>
      <c r="P434" s="86"/>
      <c r="V434" s="31"/>
      <c r="W434" s="31"/>
      <c r="X434" s="31"/>
      <c r="AD434" s="31"/>
      <c r="AE434" s="31"/>
      <c r="AF434" s="31"/>
    </row>
    <row r="435" ht="15.75" hidden="1" customHeight="1">
      <c r="H435" s="81"/>
      <c r="N435" s="85"/>
      <c r="O435" s="85"/>
      <c r="P435" s="86"/>
      <c r="V435" s="31"/>
      <c r="W435" s="31"/>
      <c r="X435" s="31"/>
      <c r="AD435" s="31"/>
      <c r="AE435" s="31"/>
      <c r="AF435" s="31"/>
    </row>
    <row r="436" ht="15.75" hidden="1" customHeight="1">
      <c r="H436" s="81"/>
      <c r="N436" s="85"/>
      <c r="O436" s="85"/>
      <c r="P436" s="86"/>
      <c r="V436" s="31"/>
      <c r="W436" s="31"/>
      <c r="X436" s="31"/>
      <c r="AD436" s="31"/>
      <c r="AE436" s="31"/>
      <c r="AF436" s="31"/>
    </row>
    <row r="437" ht="15.75" hidden="1" customHeight="1">
      <c r="H437" s="81"/>
      <c r="N437" s="85"/>
      <c r="O437" s="85"/>
      <c r="P437" s="86"/>
      <c r="V437" s="31"/>
      <c r="W437" s="31"/>
      <c r="X437" s="31"/>
      <c r="AD437" s="31"/>
      <c r="AE437" s="31"/>
      <c r="AF437" s="31"/>
    </row>
    <row r="438" ht="15.75" hidden="1" customHeight="1">
      <c r="H438" s="81"/>
      <c r="N438" s="85"/>
      <c r="O438" s="85"/>
      <c r="P438" s="86"/>
      <c r="V438" s="31"/>
      <c r="W438" s="31"/>
      <c r="X438" s="31"/>
      <c r="AD438" s="31"/>
      <c r="AE438" s="31"/>
      <c r="AF438" s="31"/>
    </row>
    <row r="439" ht="15.75" hidden="1" customHeight="1">
      <c r="H439" s="81"/>
      <c r="N439" s="85"/>
      <c r="O439" s="85"/>
      <c r="P439" s="86"/>
      <c r="V439" s="31"/>
      <c r="W439" s="31"/>
      <c r="X439" s="31"/>
      <c r="AD439" s="31"/>
      <c r="AE439" s="31"/>
      <c r="AF439" s="31"/>
    </row>
    <row r="440" ht="15.75" hidden="1" customHeight="1">
      <c r="H440" s="81"/>
      <c r="N440" s="85"/>
      <c r="O440" s="85"/>
      <c r="P440" s="86"/>
      <c r="V440" s="31"/>
      <c r="W440" s="31"/>
      <c r="X440" s="31"/>
      <c r="AD440" s="31"/>
      <c r="AE440" s="31"/>
      <c r="AF440" s="31"/>
    </row>
    <row r="441" ht="15.75" hidden="1" customHeight="1">
      <c r="H441" s="81"/>
      <c r="N441" s="85"/>
      <c r="O441" s="85"/>
      <c r="P441" s="86"/>
      <c r="V441" s="31"/>
      <c r="W441" s="31"/>
      <c r="X441" s="31"/>
      <c r="AD441" s="31"/>
      <c r="AE441" s="31"/>
      <c r="AF441" s="31"/>
    </row>
    <row r="442" ht="15.75" hidden="1" customHeight="1">
      <c r="H442" s="81"/>
      <c r="N442" s="85"/>
      <c r="O442" s="85"/>
      <c r="P442" s="86"/>
      <c r="V442" s="31"/>
      <c r="W442" s="31"/>
      <c r="X442" s="31"/>
      <c r="AD442" s="31"/>
      <c r="AE442" s="31"/>
      <c r="AF442" s="31"/>
    </row>
    <row r="443" ht="15.75" hidden="1" customHeight="1">
      <c r="H443" s="81"/>
      <c r="N443" s="85"/>
      <c r="O443" s="85"/>
      <c r="P443" s="86"/>
      <c r="V443" s="31"/>
      <c r="W443" s="31"/>
      <c r="X443" s="31"/>
      <c r="AD443" s="31"/>
      <c r="AE443" s="31"/>
      <c r="AF443" s="31"/>
    </row>
    <row r="444" ht="15.75" hidden="1" customHeight="1">
      <c r="H444" s="81"/>
      <c r="N444" s="85"/>
      <c r="O444" s="85"/>
      <c r="P444" s="86"/>
      <c r="V444" s="31"/>
      <c r="W444" s="31"/>
      <c r="X444" s="31"/>
      <c r="AD444" s="31"/>
      <c r="AE444" s="31"/>
      <c r="AF444" s="31"/>
    </row>
    <row r="445" ht="15.75" hidden="1" customHeight="1">
      <c r="H445" s="81"/>
      <c r="N445" s="85"/>
      <c r="O445" s="85"/>
      <c r="P445" s="86"/>
      <c r="V445" s="31"/>
      <c r="W445" s="31"/>
      <c r="X445" s="31"/>
      <c r="AD445" s="31"/>
      <c r="AE445" s="31"/>
      <c r="AF445" s="31"/>
    </row>
    <row r="446" ht="15.75" hidden="1" customHeight="1">
      <c r="H446" s="81"/>
      <c r="N446" s="85"/>
      <c r="O446" s="85"/>
      <c r="P446" s="86"/>
      <c r="V446" s="31"/>
      <c r="W446" s="31"/>
      <c r="X446" s="31"/>
      <c r="AD446" s="31"/>
      <c r="AE446" s="31"/>
      <c r="AF446" s="31"/>
    </row>
    <row r="447" ht="15.75" hidden="1" customHeight="1">
      <c r="H447" s="81"/>
      <c r="N447" s="85"/>
      <c r="O447" s="85"/>
      <c r="P447" s="86"/>
      <c r="V447" s="31"/>
      <c r="W447" s="31"/>
      <c r="X447" s="31"/>
      <c r="AD447" s="31"/>
      <c r="AE447" s="31"/>
      <c r="AF447" s="31"/>
    </row>
    <row r="448" ht="15.75" hidden="1" customHeight="1">
      <c r="H448" s="81"/>
      <c r="N448" s="85"/>
      <c r="O448" s="85"/>
      <c r="P448" s="86"/>
      <c r="V448" s="31"/>
      <c r="W448" s="31"/>
      <c r="X448" s="31"/>
      <c r="AD448" s="31"/>
      <c r="AE448" s="31"/>
      <c r="AF448" s="31"/>
    </row>
    <row r="449" ht="15.75" hidden="1" customHeight="1">
      <c r="H449" s="81"/>
      <c r="N449" s="85"/>
      <c r="O449" s="85"/>
      <c r="P449" s="86"/>
      <c r="V449" s="31"/>
      <c r="W449" s="31"/>
      <c r="X449" s="31"/>
      <c r="AD449" s="31"/>
      <c r="AE449" s="31"/>
      <c r="AF449" s="31"/>
    </row>
    <row r="450" ht="15.75" hidden="1" customHeight="1">
      <c r="H450" s="81"/>
      <c r="N450" s="85"/>
      <c r="O450" s="85"/>
      <c r="P450" s="86"/>
      <c r="V450" s="31"/>
      <c r="W450" s="31"/>
      <c r="X450" s="31"/>
      <c r="AD450" s="31"/>
      <c r="AE450" s="31"/>
      <c r="AF450" s="31"/>
    </row>
    <row r="451" ht="15.75" hidden="1" customHeight="1">
      <c r="H451" s="81"/>
      <c r="N451" s="85"/>
      <c r="O451" s="85"/>
      <c r="P451" s="86"/>
      <c r="V451" s="31"/>
      <c r="W451" s="31"/>
      <c r="X451" s="31"/>
      <c r="AD451" s="31"/>
      <c r="AE451" s="31"/>
      <c r="AF451" s="31"/>
    </row>
    <row r="452" ht="15.75" hidden="1" customHeight="1">
      <c r="H452" s="81"/>
      <c r="N452" s="85"/>
      <c r="O452" s="85"/>
      <c r="P452" s="86"/>
      <c r="V452" s="31"/>
      <c r="W452" s="31"/>
      <c r="X452" s="31"/>
      <c r="AD452" s="31"/>
      <c r="AE452" s="31"/>
      <c r="AF452" s="31"/>
    </row>
    <row r="453" ht="15.75" hidden="1" customHeight="1">
      <c r="H453" s="81"/>
      <c r="N453" s="85"/>
      <c r="O453" s="85"/>
      <c r="P453" s="86"/>
      <c r="V453" s="31"/>
      <c r="W453" s="31"/>
      <c r="X453" s="31"/>
      <c r="AD453" s="31"/>
      <c r="AE453" s="31"/>
      <c r="AF453" s="31"/>
    </row>
    <row r="454" ht="15.75" hidden="1" customHeight="1">
      <c r="H454" s="81"/>
      <c r="N454" s="85"/>
      <c r="O454" s="85"/>
      <c r="P454" s="86"/>
      <c r="V454" s="31"/>
      <c r="W454" s="31"/>
      <c r="X454" s="31"/>
      <c r="AD454" s="31"/>
      <c r="AE454" s="31"/>
      <c r="AF454" s="31"/>
    </row>
    <row r="455" ht="15.75" hidden="1" customHeight="1">
      <c r="H455" s="81"/>
      <c r="N455" s="85"/>
      <c r="O455" s="85"/>
      <c r="P455" s="86"/>
      <c r="V455" s="31"/>
      <c r="W455" s="31"/>
      <c r="X455" s="31"/>
      <c r="AD455" s="31"/>
      <c r="AE455" s="31"/>
      <c r="AF455" s="31"/>
    </row>
    <row r="456" ht="15.75" hidden="1" customHeight="1">
      <c r="H456" s="81"/>
      <c r="N456" s="85"/>
      <c r="O456" s="85"/>
      <c r="P456" s="86"/>
      <c r="V456" s="31"/>
      <c r="W456" s="31"/>
      <c r="X456" s="31"/>
      <c r="AD456" s="31"/>
      <c r="AE456" s="31"/>
      <c r="AF456" s="31"/>
    </row>
    <row r="457" ht="15.75" hidden="1" customHeight="1">
      <c r="H457" s="81"/>
      <c r="N457" s="85"/>
      <c r="O457" s="85"/>
      <c r="P457" s="86"/>
      <c r="V457" s="31"/>
      <c r="W457" s="31"/>
      <c r="X457" s="31"/>
      <c r="AD457" s="31"/>
      <c r="AE457" s="31"/>
      <c r="AF457" s="31"/>
    </row>
    <row r="458" ht="15.75" hidden="1" customHeight="1">
      <c r="H458" s="81"/>
      <c r="N458" s="85"/>
      <c r="O458" s="85"/>
      <c r="P458" s="86"/>
      <c r="V458" s="31"/>
      <c r="W458" s="31"/>
      <c r="X458" s="31"/>
      <c r="AD458" s="31"/>
      <c r="AE458" s="31"/>
      <c r="AF458" s="31"/>
    </row>
    <row r="459" ht="15.75" hidden="1" customHeight="1">
      <c r="H459" s="81"/>
      <c r="N459" s="85"/>
      <c r="O459" s="85"/>
      <c r="P459" s="86"/>
      <c r="V459" s="31"/>
      <c r="W459" s="31"/>
      <c r="X459" s="31"/>
      <c r="AD459" s="31"/>
      <c r="AE459" s="31"/>
      <c r="AF459" s="31"/>
    </row>
    <row r="460" ht="15.75" hidden="1" customHeight="1">
      <c r="H460" s="81"/>
      <c r="N460" s="85"/>
      <c r="O460" s="85"/>
      <c r="P460" s="86"/>
      <c r="V460" s="31"/>
      <c r="W460" s="31"/>
      <c r="X460" s="31"/>
      <c r="AD460" s="31"/>
      <c r="AE460" s="31"/>
      <c r="AF460" s="31"/>
    </row>
    <row r="461" ht="15.75" hidden="1" customHeight="1">
      <c r="H461" s="81"/>
      <c r="N461" s="85"/>
      <c r="O461" s="85"/>
      <c r="P461" s="86"/>
      <c r="V461" s="31"/>
      <c r="W461" s="31"/>
      <c r="X461" s="31"/>
      <c r="AD461" s="31"/>
      <c r="AE461" s="31"/>
      <c r="AF461" s="31"/>
    </row>
    <row r="462" ht="15.75" hidden="1" customHeight="1">
      <c r="H462" s="81"/>
      <c r="N462" s="85"/>
      <c r="O462" s="85"/>
      <c r="P462" s="86"/>
      <c r="V462" s="31"/>
      <c r="W462" s="31"/>
      <c r="X462" s="31"/>
      <c r="AD462" s="31"/>
      <c r="AE462" s="31"/>
      <c r="AF462" s="31"/>
    </row>
    <row r="463" ht="15.75" hidden="1" customHeight="1">
      <c r="H463" s="81"/>
      <c r="N463" s="85"/>
      <c r="O463" s="85"/>
      <c r="P463" s="86"/>
      <c r="V463" s="31"/>
      <c r="W463" s="31"/>
      <c r="X463" s="31"/>
      <c r="AD463" s="31"/>
      <c r="AE463" s="31"/>
      <c r="AF463" s="31"/>
    </row>
    <row r="464" ht="15.75" hidden="1" customHeight="1">
      <c r="H464" s="81"/>
      <c r="N464" s="85"/>
      <c r="O464" s="85"/>
      <c r="P464" s="86"/>
      <c r="V464" s="31"/>
      <c r="W464" s="31"/>
      <c r="X464" s="31"/>
      <c r="AD464" s="31"/>
      <c r="AE464" s="31"/>
      <c r="AF464" s="31"/>
    </row>
    <row r="465" ht="15.75" hidden="1" customHeight="1">
      <c r="H465" s="81"/>
      <c r="N465" s="85"/>
      <c r="O465" s="85"/>
      <c r="P465" s="86"/>
      <c r="V465" s="31"/>
      <c r="W465" s="31"/>
      <c r="X465" s="31"/>
      <c r="AD465" s="31"/>
      <c r="AE465" s="31"/>
      <c r="AF465" s="31"/>
    </row>
    <row r="466" ht="15.75" hidden="1" customHeight="1">
      <c r="H466" s="81"/>
      <c r="N466" s="85"/>
      <c r="O466" s="85"/>
      <c r="P466" s="86"/>
      <c r="V466" s="31"/>
      <c r="W466" s="31"/>
      <c r="X466" s="31"/>
      <c r="AD466" s="31"/>
      <c r="AE466" s="31"/>
      <c r="AF466" s="31"/>
    </row>
    <row r="467" ht="15.75" hidden="1" customHeight="1">
      <c r="H467" s="81"/>
      <c r="N467" s="85"/>
      <c r="O467" s="85"/>
      <c r="P467" s="86"/>
      <c r="V467" s="31"/>
      <c r="W467" s="31"/>
      <c r="X467" s="31"/>
      <c r="AD467" s="31"/>
      <c r="AE467" s="31"/>
      <c r="AF467" s="31"/>
    </row>
    <row r="468" ht="15.75" hidden="1" customHeight="1">
      <c r="H468" s="81"/>
      <c r="N468" s="85"/>
      <c r="O468" s="85"/>
      <c r="P468" s="86"/>
      <c r="V468" s="31"/>
      <c r="W468" s="31"/>
      <c r="X468" s="31"/>
      <c r="AD468" s="31"/>
      <c r="AE468" s="31"/>
      <c r="AF468" s="31"/>
    </row>
    <row r="469" ht="15.75" hidden="1" customHeight="1">
      <c r="H469" s="81"/>
      <c r="N469" s="85"/>
      <c r="O469" s="85"/>
      <c r="P469" s="86"/>
      <c r="V469" s="31"/>
      <c r="W469" s="31"/>
      <c r="X469" s="31"/>
      <c r="AD469" s="31"/>
      <c r="AE469" s="31"/>
      <c r="AF469" s="31"/>
    </row>
    <row r="470" ht="15.75" hidden="1" customHeight="1">
      <c r="H470" s="81"/>
      <c r="N470" s="85"/>
      <c r="O470" s="85"/>
      <c r="P470" s="86"/>
      <c r="V470" s="31"/>
      <c r="W470" s="31"/>
      <c r="X470" s="31"/>
      <c r="AD470" s="31"/>
      <c r="AE470" s="31"/>
      <c r="AF470" s="31"/>
    </row>
    <row r="471" ht="15.75" hidden="1" customHeight="1">
      <c r="H471" s="81"/>
      <c r="N471" s="85"/>
      <c r="O471" s="85"/>
      <c r="P471" s="86"/>
      <c r="V471" s="31"/>
      <c r="W471" s="31"/>
      <c r="X471" s="31"/>
      <c r="AD471" s="31"/>
      <c r="AE471" s="31"/>
      <c r="AF471" s="31"/>
    </row>
    <row r="472" ht="15.75" hidden="1" customHeight="1">
      <c r="H472" s="81"/>
      <c r="N472" s="85"/>
      <c r="O472" s="85"/>
      <c r="P472" s="86"/>
      <c r="V472" s="31"/>
      <c r="W472" s="31"/>
      <c r="X472" s="31"/>
      <c r="AD472" s="31"/>
      <c r="AE472" s="31"/>
      <c r="AF472" s="31"/>
    </row>
    <row r="473" ht="15.75" hidden="1" customHeight="1">
      <c r="H473" s="81"/>
      <c r="N473" s="85"/>
      <c r="O473" s="85"/>
      <c r="P473" s="86"/>
      <c r="V473" s="31"/>
      <c r="W473" s="31"/>
      <c r="X473" s="31"/>
      <c r="AD473" s="31"/>
      <c r="AE473" s="31"/>
      <c r="AF473" s="31"/>
    </row>
    <row r="474" ht="15.75" hidden="1" customHeight="1">
      <c r="H474" s="81"/>
      <c r="N474" s="85"/>
      <c r="O474" s="85"/>
      <c r="P474" s="86"/>
      <c r="V474" s="31"/>
      <c r="W474" s="31"/>
      <c r="X474" s="31"/>
      <c r="AD474" s="31"/>
      <c r="AE474" s="31"/>
      <c r="AF474" s="31"/>
    </row>
    <row r="475" ht="15.75" hidden="1" customHeight="1">
      <c r="H475" s="81"/>
      <c r="N475" s="85"/>
      <c r="O475" s="85"/>
      <c r="P475" s="86"/>
      <c r="V475" s="31"/>
      <c r="W475" s="31"/>
      <c r="X475" s="31"/>
      <c r="AD475" s="31"/>
      <c r="AE475" s="31"/>
      <c r="AF475" s="31"/>
    </row>
    <row r="476" ht="15.75" hidden="1" customHeight="1">
      <c r="H476" s="81"/>
      <c r="N476" s="85"/>
      <c r="O476" s="85"/>
      <c r="P476" s="86"/>
      <c r="V476" s="31"/>
      <c r="W476" s="31"/>
      <c r="X476" s="31"/>
      <c r="AD476" s="31"/>
      <c r="AE476" s="31"/>
      <c r="AF476" s="31"/>
    </row>
    <row r="477" ht="15.75" hidden="1" customHeight="1">
      <c r="H477" s="81"/>
      <c r="N477" s="85"/>
      <c r="O477" s="85"/>
      <c r="P477" s="86"/>
      <c r="V477" s="31"/>
      <c r="W477" s="31"/>
      <c r="X477" s="31"/>
      <c r="AD477" s="31"/>
      <c r="AE477" s="31"/>
      <c r="AF477" s="31"/>
    </row>
    <row r="478" ht="15.75" hidden="1" customHeight="1">
      <c r="H478" s="81"/>
      <c r="N478" s="85"/>
      <c r="O478" s="85"/>
      <c r="P478" s="86"/>
      <c r="V478" s="31"/>
      <c r="W478" s="31"/>
      <c r="X478" s="31"/>
      <c r="AD478" s="31"/>
      <c r="AE478" s="31"/>
      <c r="AF478" s="31"/>
    </row>
    <row r="479" ht="15.75" hidden="1" customHeight="1">
      <c r="H479" s="81"/>
      <c r="N479" s="85"/>
      <c r="O479" s="85"/>
      <c r="P479" s="86"/>
      <c r="V479" s="31"/>
      <c r="W479" s="31"/>
      <c r="X479" s="31"/>
      <c r="AD479" s="31"/>
      <c r="AE479" s="31"/>
      <c r="AF479" s="31"/>
    </row>
    <row r="480" ht="15.75" hidden="1" customHeight="1">
      <c r="H480" s="81"/>
      <c r="N480" s="85"/>
      <c r="O480" s="85"/>
      <c r="P480" s="86"/>
      <c r="V480" s="31"/>
      <c r="W480" s="31"/>
      <c r="X480" s="31"/>
      <c r="AD480" s="31"/>
      <c r="AE480" s="31"/>
      <c r="AF480" s="31"/>
    </row>
    <row r="481" ht="15.75" hidden="1" customHeight="1">
      <c r="H481" s="81"/>
      <c r="N481" s="85"/>
      <c r="O481" s="85"/>
      <c r="P481" s="86"/>
      <c r="V481" s="31"/>
      <c r="W481" s="31"/>
      <c r="X481" s="31"/>
      <c r="AD481" s="31"/>
      <c r="AE481" s="31"/>
      <c r="AF481" s="31"/>
    </row>
    <row r="482" ht="15.75" hidden="1" customHeight="1">
      <c r="H482" s="81"/>
      <c r="N482" s="85"/>
      <c r="O482" s="85"/>
      <c r="P482" s="86"/>
      <c r="V482" s="31"/>
      <c r="W482" s="31"/>
      <c r="X482" s="31"/>
      <c r="AD482" s="31"/>
      <c r="AE482" s="31"/>
      <c r="AF482" s="31"/>
    </row>
    <row r="483" ht="15.75" hidden="1" customHeight="1">
      <c r="H483" s="81"/>
      <c r="N483" s="85"/>
      <c r="O483" s="85"/>
      <c r="P483" s="86"/>
      <c r="V483" s="31"/>
      <c r="W483" s="31"/>
      <c r="X483" s="31"/>
      <c r="AD483" s="31"/>
      <c r="AE483" s="31"/>
      <c r="AF483" s="31"/>
    </row>
    <row r="484" ht="15.75" hidden="1" customHeight="1">
      <c r="H484" s="81"/>
      <c r="N484" s="85"/>
      <c r="O484" s="85"/>
      <c r="P484" s="86"/>
      <c r="V484" s="31"/>
      <c r="W484" s="31"/>
      <c r="X484" s="31"/>
      <c r="AD484" s="31"/>
      <c r="AE484" s="31"/>
      <c r="AF484" s="31"/>
    </row>
    <row r="485" ht="15.75" hidden="1" customHeight="1">
      <c r="H485" s="81"/>
      <c r="N485" s="85"/>
      <c r="O485" s="85"/>
      <c r="P485" s="86"/>
      <c r="V485" s="31"/>
      <c r="W485" s="31"/>
      <c r="X485" s="31"/>
      <c r="AD485" s="31"/>
      <c r="AE485" s="31"/>
      <c r="AF485" s="31"/>
    </row>
    <row r="486" ht="15.75" hidden="1" customHeight="1">
      <c r="H486" s="81"/>
      <c r="N486" s="85"/>
      <c r="O486" s="85"/>
      <c r="P486" s="86"/>
      <c r="V486" s="31"/>
      <c r="W486" s="31"/>
      <c r="X486" s="31"/>
      <c r="AD486" s="31"/>
      <c r="AE486" s="31"/>
      <c r="AF486" s="31"/>
    </row>
    <row r="487" ht="15.75" hidden="1" customHeight="1">
      <c r="H487" s="81"/>
      <c r="N487" s="85"/>
      <c r="O487" s="85"/>
      <c r="P487" s="86"/>
      <c r="V487" s="31"/>
      <c r="W487" s="31"/>
      <c r="X487" s="31"/>
      <c r="AD487" s="31"/>
      <c r="AE487" s="31"/>
      <c r="AF487" s="31"/>
    </row>
    <row r="488" ht="15.75" hidden="1" customHeight="1">
      <c r="H488" s="81"/>
      <c r="N488" s="85"/>
      <c r="O488" s="85"/>
      <c r="P488" s="86"/>
      <c r="V488" s="31"/>
      <c r="W488" s="31"/>
      <c r="X488" s="31"/>
      <c r="AD488" s="31"/>
      <c r="AE488" s="31"/>
      <c r="AF488" s="31"/>
    </row>
    <row r="489" ht="15.75" hidden="1" customHeight="1">
      <c r="H489" s="81"/>
      <c r="N489" s="85"/>
      <c r="O489" s="85"/>
      <c r="P489" s="86"/>
      <c r="V489" s="31"/>
      <c r="W489" s="31"/>
      <c r="X489" s="31"/>
      <c r="AD489" s="31"/>
      <c r="AE489" s="31"/>
      <c r="AF489" s="31"/>
    </row>
    <row r="490" ht="15.75" hidden="1" customHeight="1">
      <c r="H490" s="81"/>
      <c r="N490" s="85"/>
      <c r="O490" s="85"/>
      <c r="P490" s="86"/>
      <c r="V490" s="31"/>
      <c r="W490" s="31"/>
      <c r="X490" s="31"/>
      <c r="AD490" s="31"/>
      <c r="AE490" s="31"/>
      <c r="AF490" s="31"/>
    </row>
    <row r="491" ht="15.75" hidden="1" customHeight="1">
      <c r="H491" s="81"/>
      <c r="N491" s="85"/>
      <c r="O491" s="85"/>
      <c r="P491" s="86"/>
      <c r="V491" s="31"/>
      <c r="W491" s="31"/>
      <c r="X491" s="31"/>
      <c r="AD491" s="31"/>
      <c r="AE491" s="31"/>
      <c r="AF491" s="31"/>
    </row>
    <row r="492" ht="15.75" hidden="1" customHeight="1">
      <c r="H492" s="81"/>
      <c r="N492" s="85"/>
      <c r="O492" s="85"/>
      <c r="P492" s="86"/>
      <c r="V492" s="31"/>
      <c r="W492" s="31"/>
      <c r="X492" s="31"/>
      <c r="AD492" s="31"/>
      <c r="AE492" s="31"/>
      <c r="AF492" s="31"/>
    </row>
    <row r="493" ht="15.75" hidden="1" customHeight="1">
      <c r="H493" s="81"/>
      <c r="N493" s="85"/>
      <c r="O493" s="85"/>
      <c r="P493" s="86"/>
      <c r="V493" s="31"/>
      <c r="W493" s="31"/>
      <c r="X493" s="31"/>
      <c r="AD493" s="31"/>
      <c r="AE493" s="31"/>
      <c r="AF493" s="31"/>
    </row>
    <row r="494" ht="15.75" hidden="1" customHeight="1">
      <c r="H494" s="81"/>
      <c r="N494" s="85"/>
      <c r="O494" s="85"/>
      <c r="P494" s="86"/>
      <c r="V494" s="31"/>
      <c r="W494" s="31"/>
      <c r="X494" s="31"/>
      <c r="AD494" s="31"/>
      <c r="AE494" s="31"/>
      <c r="AF494" s="31"/>
    </row>
    <row r="495" ht="15.75" hidden="1" customHeight="1">
      <c r="H495" s="81"/>
      <c r="N495" s="85"/>
      <c r="O495" s="85"/>
      <c r="P495" s="86"/>
      <c r="V495" s="31"/>
      <c r="W495" s="31"/>
      <c r="X495" s="31"/>
      <c r="AD495" s="31"/>
      <c r="AE495" s="31"/>
      <c r="AF495" s="31"/>
    </row>
    <row r="496" ht="15.75" hidden="1" customHeight="1">
      <c r="H496" s="81"/>
      <c r="N496" s="85"/>
      <c r="O496" s="85"/>
      <c r="P496" s="86"/>
      <c r="V496" s="31"/>
      <c r="W496" s="31"/>
      <c r="X496" s="31"/>
      <c r="AD496" s="31"/>
      <c r="AE496" s="31"/>
      <c r="AF496" s="31"/>
    </row>
    <row r="497" ht="15.75" hidden="1" customHeight="1">
      <c r="H497" s="81"/>
      <c r="N497" s="85"/>
      <c r="O497" s="85"/>
      <c r="P497" s="86"/>
      <c r="V497" s="31"/>
      <c r="W497" s="31"/>
      <c r="X497" s="31"/>
      <c r="AD497" s="31"/>
      <c r="AE497" s="31"/>
      <c r="AF497" s="31"/>
    </row>
    <row r="498" ht="15.75" hidden="1" customHeight="1">
      <c r="H498" s="81"/>
      <c r="N498" s="85"/>
      <c r="O498" s="85"/>
      <c r="P498" s="86"/>
      <c r="V498" s="31"/>
      <c r="W498" s="31"/>
      <c r="X498" s="31"/>
      <c r="AD498" s="31"/>
      <c r="AE498" s="31"/>
      <c r="AF498" s="31"/>
    </row>
    <row r="499" ht="15.75" hidden="1" customHeight="1">
      <c r="H499" s="81"/>
      <c r="N499" s="85"/>
      <c r="O499" s="85"/>
      <c r="P499" s="86"/>
      <c r="V499" s="31"/>
      <c r="W499" s="31"/>
      <c r="X499" s="31"/>
      <c r="AD499" s="31"/>
      <c r="AE499" s="31"/>
      <c r="AF499" s="31"/>
    </row>
    <row r="500" ht="15.75" hidden="1" customHeight="1">
      <c r="H500" s="81"/>
      <c r="N500" s="85"/>
      <c r="O500" s="85"/>
      <c r="P500" s="86"/>
      <c r="V500" s="31"/>
      <c r="W500" s="31"/>
      <c r="X500" s="31"/>
      <c r="AD500" s="31"/>
      <c r="AE500" s="31"/>
      <c r="AF500" s="31"/>
    </row>
    <row r="501" ht="15.75" hidden="1" customHeight="1">
      <c r="H501" s="81"/>
      <c r="N501" s="85"/>
      <c r="O501" s="85"/>
      <c r="P501" s="86"/>
      <c r="V501" s="31"/>
      <c r="W501" s="31"/>
      <c r="X501" s="31"/>
      <c r="AD501" s="31"/>
      <c r="AE501" s="31"/>
      <c r="AF501" s="31"/>
    </row>
    <row r="502" ht="15.75" hidden="1" customHeight="1">
      <c r="H502" s="81"/>
      <c r="N502" s="85"/>
      <c r="O502" s="85"/>
      <c r="P502" s="86"/>
      <c r="V502" s="31"/>
      <c r="W502" s="31"/>
      <c r="X502" s="31"/>
      <c r="AD502" s="31"/>
      <c r="AE502" s="31"/>
      <c r="AF502" s="31"/>
    </row>
    <row r="503" ht="15.75" hidden="1" customHeight="1">
      <c r="H503" s="81"/>
      <c r="N503" s="85"/>
      <c r="O503" s="85"/>
      <c r="P503" s="86"/>
      <c r="V503" s="31"/>
      <c r="W503" s="31"/>
      <c r="X503" s="31"/>
      <c r="AD503" s="31"/>
      <c r="AE503" s="31"/>
      <c r="AF503" s="31"/>
    </row>
    <row r="504" ht="15.75" hidden="1" customHeight="1">
      <c r="H504" s="81"/>
      <c r="N504" s="85"/>
      <c r="O504" s="85"/>
      <c r="P504" s="86"/>
      <c r="V504" s="31"/>
      <c r="W504" s="31"/>
      <c r="X504" s="31"/>
      <c r="AD504" s="31"/>
      <c r="AE504" s="31"/>
      <c r="AF504" s="31"/>
    </row>
    <row r="505" ht="15.75" hidden="1" customHeight="1">
      <c r="H505" s="81"/>
      <c r="N505" s="85"/>
      <c r="O505" s="85"/>
      <c r="P505" s="86"/>
      <c r="V505" s="31"/>
      <c r="W505" s="31"/>
      <c r="X505" s="31"/>
      <c r="AD505" s="31"/>
      <c r="AE505" s="31"/>
      <c r="AF505" s="31"/>
    </row>
    <row r="506" ht="15.75" hidden="1" customHeight="1">
      <c r="H506" s="81"/>
      <c r="N506" s="85"/>
      <c r="O506" s="85"/>
      <c r="P506" s="86"/>
      <c r="V506" s="31"/>
      <c r="W506" s="31"/>
      <c r="X506" s="31"/>
      <c r="AD506" s="31"/>
      <c r="AE506" s="31"/>
      <c r="AF506" s="31"/>
    </row>
    <row r="507" ht="15.75" hidden="1" customHeight="1">
      <c r="H507" s="81"/>
      <c r="N507" s="85"/>
      <c r="O507" s="85"/>
      <c r="P507" s="86"/>
      <c r="V507" s="31"/>
      <c r="W507" s="31"/>
      <c r="X507" s="31"/>
      <c r="AD507" s="31"/>
      <c r="AE507" s="31"/>
      <c r="AF507" s="31"/>
    </row>
    <row r="508" ht="15.75" hidden="1" customHeight="1">
      <c r="H508" s="81"/>
      <c r="N508" s="85"/>
      <c r="O508" s="85"/>
      <c r="P508" s="86"/>
      <c r="V508" s="31"/>
      <c r="W508" s="31"/>
      <c r="X508" s="31"/>
      <c r="AD508" s="31"/>
      <c r="AE508" s="31"/>
      <c r="AF508" s="31"/>
    </row>
    <row r="509" ht="15.75" hidden="1" customHeight="1">
      <c r="H509" s="81"/>
      <c r="N509" s="85"/>
      <c r="O509" s="85"/>
      <c r="P509" s="86"/>
      <c r="V509" s="31"/>
      <c r="W509" s="31"/>
      <c r="X509" s="31"/>
      <c r="AD509" s="31"/>
      <c r="AE509" s="31"/>
      <c r="AF509" s="31"/>
    </row>
    <row r="510" ht="15.75" hidden="1" customHeight="1">
      <c r="H510" s="81"/>
      <c r="N510" s="85"/>
      <c r="O510" s="85"/>
      <c r="P510" s="86"/>
      <c r="V510" s="31"/>
      <c r="W510" s="31"/>
      <c r="X510" s="31"/>
      <c r="AD510" s="31"/>
      <c r="AE510" s="31"/>
      <c r="AF510" s="31"/>
    </row>
    <row r="511" ht="15.75" hidden="1" customHeight="1">
      <c r="H511" s="81"/>
      <c r="N511" s="85"/>
      <c r="O511" s="85"/>
      <c r="P511" s="86"/>
      <c r="V511" s="31"/>
      <c r="W511" s="31"/>
      <c r="X511" s="31"/>
      <c r="AD511" s="31"/>
      <c r="AE511" s="31"/>
      <c r="AF511" s="31"/>
    </row>
    <row r="512" ht="15.75" hidden="1" customHeight="1">
      <c r="H512" s="81"/>
      <c r="N512" s="85"/>
      <c r="O512" s="85"/>
      <c r="P512" s="86"/>
      <c r="V512" s="31"/>
      <c r="W512" s="31"/>
      <c r="X512" s="31"/>
      <c r="AD512" s="31"/>
      <c r="AE512" s="31"/>
      <c r="AF512" s="31"/>
    </row>
    <row r="513" ht="15.75" hidden="1" customHeight="1">
      <c r="H513" s="81"/>
      <c r="N513" s="85"/>
      <c r="O513" s="85"/>
      <c r="P513" s="86"/>
      <c r="V513" s="31"/>
      <c r="W513" s="31"/>
      <c r="X513" s="31"/>
      <c r="AD513" s="31"/>
      <c r="AE513" s="31"/>
      <c r="AF513" s="31"/>
    </row>
    <row r="514" ht="15.75" hidden="1" customHeight="1">
      <c r="H514" s="81"/>
      <c r="N514" s="85"/>
      <c r="O514" s="85"/>
      <c r="P514" s="86"/>
      <c r="V514" s="31"/>
      <c r="W514" s="31"/>
      <c r="X514" s="31"/>
      <c r="AD514" s="31"/>
      <c r="AE514" s="31"/>
      <c r="AF514" s="31"/>
    </row>
    <row r="515" ht="15.75" hidden="1" customHeight="1">
      <c r="H515" s="81"/>
      <c r="N515" s="85"/>
      <c r="O515" s="85"/>
      <c r="P515" s="86"/>
      <c r="V515" s="31"/>
      <c r="W515" s="31"/>
      <c r="X515" s="31"/>
      <c r="AD515" s="31"/>
      <c r="AE515" s="31"/>
      <c r="AF515" s="31"/>
    </row>
    <row r="516" ht="15.75" hidden="1" customHeight="1">
      <c r="H516" s="81"/>
      <c r="N516" s="85"/>
      <c r="O516" s="85"/>
      <c r="P516" s="86"/>
      <c r="V516" s="31"/>
      <c r="W516" s="31"/>
      <c r="X516" s="31"/>
      <c r="AD516" s="31"/>
      <c r="AE516" s="31"/>
      <c r="AF516" s="31"/>
    </row>
    <row r="517" ht="15.75" hidden="1" customHeight="1">
      <c r="H517" s="81"/>
      <c r="N517" s="85"/>
      <c r="O517" s="85"/>
      <c r="P517" s="86"/>
      <c r="V517" s="31"/>
      <c r="W517" s="31"/>
      <c r="X517" s="31"/>
      <c r="AD517" s="31"/>
      <c r="AE517" s="31"/>
      <c r="AF517" s="31"/>
    </row>
    <row r="518" ht="15.75" hidden="1" customHeight="1">
      <c r="H518" s="81"/>
      <c r="N518" s="85"/>
      <c r="O518" s="85"/>
      <c r="P518" s="86"/>
      <c r="V518" s="31"/>
      <c r="W518" s="31"/>
      <c r="X518" s="31"/>
      <c r="AD518" s="31"/>
      <c r="AE518" s="31"/>
      <c r="AF518" s="31"/>
    </row>
    <row r="519" ht="15.75" hidden="1" customHeight="1">
      <c r="H519" s="81"/>
      <c r="N519" s="85"/>
      <c r="O519" s="85"/>
      <c r="P519" s="86"/>
      <c r="V519" s="31"/>
      <c r="W519" s="31"/>
      <c r="X519" s="31"/>
      <c r="AD519" s="31"/>
      <c r="AE519" s="31"/>
      <c r="AF519" s="31"/>
    </row>
    <row r="520" ht="15.75" hidden="1" customHeight="1">
      <c r="H520" s="81"/>
      <c r="N520" s="85"/>
      <c r="O520" s="85"/>
      <c r="P520" s="86"/>
      <c r="V520" s="31"/>
      <c r="W520" s="31"/>
      <c r="X520" s="31"/>
      <c r="AD520" s="31"/>
      <c r="AE520" s="31"/>
      <c r="AF520" s="31"/>
    </row>
    <row r="521" ht="15.75" hidden="1" customHeight="1">
      <c r="H521" s="81"/>
      <c r="N521" s="85"/>
      <c r="O521" s="85"/>
      <c r="P521" s="86"/>
      <c r="V521" s="31"/>
      <c r="W521" s="31"/>
      <c r="X521" s="31"/>
      <c r="AD521" s="31"/>
      <c r="AE521" s="31"/>
      <c r="AF521" s="31"/>
    </row>
    <row r="522" ht="15.75" hidden="1" customHeight="1">
      <c r="H522" s="81"/>
      <c r="N522" s="85"/>
      <c r="O522" s="85"/>
      <c r="P522" s="86"/>
      <c r="V522" s="31"/>
      <c r="W522" s="31"/>
      <c r="X522" s="31"/>
      <c r="AD522" s="31"/>
      <c r="AE522" s="31"/>
      <c r="AF522" s="31"/>
    </row>
    <row r="523" ht="15.75" hidden="1" customHeight="1">
      <c r="H523" s="81"/>
      <c r="N523" s="85"/>
      <c r="O523" s="85"/>
      <c r="P523" s="86"/>
      <c r="V523" s="31"/>
      <c r="W523" s="31"/>
      <c r="X523" s="31"/>
      <c r="AD523" s="31"/>
      <c r="AE523" s="31"/>
      <c r="AF523" s="31"/>
    </row>
    <row r="524" ht="15.75" hidden="1" customHeight="1">
      <c r="H524" s="81"/>
      <c r="N524" s="85"/>
      <c r="O524" s="85"/>
      <c r="P524" s="86"/>
      <c r="V524" s="31"/>
      <c r="W524" s="31"/>
      <c r="X524" s="31"/>
      <c r="AD524" s="31"/>
      <c r="AE524" s="31"/>
      <c r="AF524" s="31"/>
    </row>
    <row r="525" ht="15.75" hidden="1" customHeight="1">
      <c r="H525" s="81"/>
      <c r="N525" s="85"/>
      <c r="O525" s="85"/>
      <c r="P525" s="86"/>
      <c r="V525" s="31"/>
      <c r="W525" s="31"/>
      <c r="X525" s="31"/>
      <c r="AD525" s="31"/>
      <c r="AE525" s="31"/>
      <c r="AF525" s="31"/>
    </row>
    <row r="526" ht="15.75" hidden="1" customHeight="1">
      <c r="H526" s="81"/>
      <c r="N526" s="85"/>
      <c r="O526" s="85"/>
      <c r="P526" s="86"/>
      <c r="V526" s="31"/>
      <c r="W526" s="31"/>
      <c r="X526" s="31"/>
      <c r="AD526" s="31"/>
      <c r="AE526" s="31"/>
      <c r="AF526" s="31"/>
    </row>
    <row r="527" ht="15.75" hidden="1" customHeight="1">
      <c r="H527" s="81"/>
      <c r="N527" s="85"/>
      <c r="O527" s="85"/>
      <c r="P527" s="86"/>
      <c r="V527" s="31"/>
      <c r="W527" s="31"/>
      <c r="X527" s="31"/>
      <c r="AD527" s="31"/>
      <c r="AE527" s="31"/>
      <c r="AF527" s="31"/>
    </row>
    <row r="528" ht="15.75" hidden="1" customHeight="1">
      <c r="H528" s="81"/>
      <c r="N528" s="85"/>
      <c r="O528" s="85"/>
      <c r="P528" s="86"/>
      <c r="V528" s="31"/>
      <c r="W528" s="31"/>
      <c r="X528" s="31"/>
      <c r="AD528" s="31"/>
      <c r="AE528" s="31"/>
      <c r="AF528" s="31"/>
    </row>
    <row r="529" ht="15.75" hidden="1" customHeight="1">
      <c r="H529" s="81"/>
      <c r="N529" s="85"/>
      <c r="O529" s="85"/>
      <c r="P529" s="86"/>
      <c r="V529" s="31"/>
      <c r="W529" s="31"/>
      <c r="X529" s="31"/>
      <c r="AD529" s="31"/>
      <c r="AE529" s="31"/>
      <c r="AF529" s="31"/>
    </row>
    <row r="530" ht="15.75" hidden="1" customHeight="1">
      <c r="H530" s="81"/>
      <c r="N530" s="85"/>
      <c r="O530" s="85"/>
      <c r="P530" s="86"/>
      <c r="V530" s="31"/>
      <c r="W530" s="31"/>
      <c r="X530" s="31"/>
      <c r="AD530" s="31"/>
      <c r="AE530" s="31"/>
      <c r="AF530" s="31"/>
    </row>
    <row r="531" ht="15.75" hidden="1" customHeight="1">
      <c r="H531" s="81"/>
      <c r="N531" s="85"/>
      <c r="O531" s="85"/>
      <c r="P531" s="86"/>
      <c r="V531" s="31"/>
      <c r="W531" s="31"/>
      <c r="X531" s="31"/>
      <c r="AD531" s="31"/>
      <c r="AE531" s="31"/>
      <c r="AF531" s="31"/>
    </row>
    <row r="532" ht="15.75" hidden="1" customHeight="1">
      <c r="H532" s="81"/>
      <c r="N532" s="85"/>
      <c r="O532" s="85"/>
      <c r="P532" s="86"/>
      <c r="V532" s="31"/>
      <c r="W532" s="31"/>
      <c r="X532" s="31"/>
      <c r="AD532" s="31"/>
      <c r="AE532" s="31"/>
      <c r="AF532" s="31"/>
    </row>
    <row r="533" ht="15.75" hidden="1" customHeight="1">
      <c r="H533" s="81"/>
      <c r="N533" s="85"/>
      <c r="O533" s="85"/>
      <c r="P533" s="86"/>
      <c r="V533" s="31"/>
      <c r="W533" s="31"/>
      <c r="X533" s="31"/>
      <c r="AD533" s="31"/>
      <c r="AE533" s="31"/>
      <c r="AF533" s="31"/>
    </row>
    <row r="534" ht="15.75" hidden="1" customHeight="1">
      <c r="H534" s="81"/>
      <c r="N534" s="85"/>
      <c r="O534" s="85"/>
      <c r="P534" s="86"/>
      <c r="V534" s="31"/>
      <c r="W534" s="31"/>
      <c r="X534" s="31"/>
      <c r="AD534" s="31"/>
      <c r="AE534" s="31"/>
      <c r="AF534" s="31"/>
    </row>
    <row r="535" ht="15.75" hidden="1" customHeight="1">
      <c r="H535" s="81"/>
      <c r="N535" s="85"/>
      <c r="O535" s="85"/>
      <c r="P535" s="86"/>
      <c r="V535" s="31"/>
      <c r="W535" s="31"/>
      <c r="X535" s="31"/>
      <c r="AD535" s="31"/>
      <c r="AE535" s="31"/>
      <c r="AF535" s="31"/>
    </row>
    <row r="536" ht="15.75" hidden="1" customHeight="1">
      <c r="H536" s="81"/>
      <c r="N536" s="85"/>
      <c r="O536" s="85"/>
      <c r="P536" s="86"/>
      <c r="V536" s="31"/>
      <c r="W536" s="31"/>
      <c r="X536" s="31"/>
      <c r="AD536" s="31"/>
      <c r="AE536" s="31"/>
      <c r="AF536" s="31"/>
    </row>
    <row r="537" ht="15.75" hidden="1" customHeight="1">
      <c r="H537" s="81"/>
      <c r="N537" s="85"/>
      <c r="O537" s="85"/>
      <c r="P537" s="86"/>
      <c r="V537" s="31"/>
      <c r="W537" s="31"/>
      <c r="X537" s="31"/>
      <c r="AD537" s="31"/>
      <c r="AE537" s="31"/>
      <c r="AF537" s="31"/>
    </row>
    <row r="538" ht="15.75" hidden="1" customHeight="1">
      <c r="H538" s="81"/>
      <c r="N538" s="85"/>
      <c r="O538" s="85"/>
      <c r="P538" s="86"/>
      <c r="V538" s="31"/>
      <c r="W538" s="31"/>
      <c r="X538" s="31"/>
      <c r="AD538" s="31"/>
      <c r="AE538" s="31"/>
      <c r="AF538" s="31"/>
    </row>
    <row r="539" ht="15.75" hidden="1" customHeight="1">
      <c r="H539" s="81"/>
      <c r="N539" s="85"/>
      <c r="O539" s="85"/>
      <c r="P539" s="86"/>
      <c r="V539" s="31"/>
      <c r="W539" s="31"/>
      <c r="X539" s="31"/>
      <c r="AD539" s="31"/>
      <c r="AE539" s="31"/>
      <c r="AF539" s="31"/>
    </row>
    <row r="540" ht="15.75" hidden="1" customHeight="1">
      <c r="H540" s="81"/>
      <c r="N540" s="85"/>
      <c r="O540" s="85"/>
      <c r="P540" s="86"/>
      <c r="V540" s="31"/>
      <c r="W540" s="31"/>
      <c r="X540" s="31"/>
      <c r="AD540" s="31"/>
      <c r="AE540" s="31"/>
      <c r="AF540" s="31"/>
    </row>
    <row r="541" ht="15.75" hidden="1" customHeight="1">
      <c r="H541" s="81"/>
      <c r="N541" s="85"/>
      <c r="O541" s="85"/>
      <c r="P541" s="86"/>
      <c r="V541" s="31"/>
      <c r="W541" s="31"/>
      <c r="X541" s="31"/>
      <c r="AD541" s="31"/>
      <c r="AE541" s="31"/>
      <c r="AF541" s="31"/>
    </row>
    <row r="542" ht="15.75" hidden="1" customHeight="1">
      <c r="H542" s="81"/>
      <c r="N542" s="85"/>
      <c r="O542" s="85"/>
      <c r="P542" s="86"/>
      <c r="V542" s="31"/>
      <c r="W542" s="31"/>
      <c r="X542" s="31"/>
      <c r="AD542" s="31"/>
      <c r="AE542" s="31"/>
      <c r="AF542" s="31"/>
    </row>
    <row r="543" ht="15.75" hidden="1" customHeight="1">
      <c r="H543" s="81"/>
      <c r="N543" s="85"/>
      <c r="O543" s="85"/>
      <c r="P543" s="86"/>
      <c r="V543" s="31"/>
      <c r="W543" s="31"/>
      <c r="X543" s="31"/>
      <c r="AD543" s="31"/>
      <c r="AE543" s="31"/>
      <c r="AF543" s="31"/>
    </row>
    <row r="544" ht="15.75" hidden="1" customHeight="1">
      <c r="H544" s="81"/>
      <c r="N544" s="85"/>
      <c r="O544" s="85"/>
      <c r="P544" s="86"/>
      <c r="V544" s="31"/>
      <c r="W544" s="31"/>
      <c r="X544" s="31"/>
      <c r="AD544" s="31"/>
      <c r="AE544" s="31"/>
      <c r="AF544" s="31"/>
    </row>
    <row r="545" ht="15.75" hidden="1" customHeight="1">
      <c r="H545" s="81"/>
      <c r="N545" s="85"/>
      <c r="O545" s="85"/>
      <c r="P545" s="86"/>
      <c r="V545" s="31"/>
      <c r="W545" s="31"/>
      <c r="X545" s="31"/>
      <c r="AD545" s="31"/>
      <c r="AE545" s="31"/>
      <c r="AF545" s="31"/>
    </row>
    <row r="546" ht="15.75" hidden="1" customHeight="1">
      <c r="H546" s="81"/>
      <c r="N546" s="85"/>
      <c r="O546" s="85"/>
      <c r="P546" s="86"/>
      <c r="V546" s="31"/>
      <c r="W546" s="31"/>
      <c r="X546" s="31"/>
      <c r="AD546" s="31"/>
      <c r="AE546" s="31"/>
      <c r="AF546" s="31"/>
    </row>
    <row r="547" ht="15.75" hidden="1" customHeight="1">
      <c r="H547" s="81"/>
      <c r="N547" s="85"/>
      <c r="O547" s="85"/>
      <c r="P547" s="86"/>
      <c r="V547" s="31"/>
      <c r="W547" s="31"/>
      <c r="X547" s="31"/>
      <c r="AD547" s="31"/>
      <c r="AE547" s="31"/>
      <c r="AF547" s="31"/>
    </row>
    <row r="548" ht="15.75" hidden="1" customHeight="1">
      <c r="H548" s="81"/>
      <c r="N548" s="85"/>
      <c r="O548" s="85"/>
      <c r="P548" s="86"/>
      <c r="V548" s="31"/>
      <c r="W548" s="31"/>
      <c r="X548" s="31"/>
      <c r="AD548" s="31"/>
      <c r="AE548" s="31"/>
      <c r="AF548" s="31"/>
    </row>
    <row r="549" ht="15.75" hidden="1" customHeight="1">
      <c r="H549" s="81"/>
      <c r="N549" s="85"/>
      <c r="O549" s="85"/>
      <c r="P549" s="86"/>
      <c r="V549" s="31"/>
      <c r="W549" s="31"/>
      <c r="X549" s="31"/>
      <c r="AD549" s="31"/>
      <c r="AE549" s="31"/>
      <c r="AF549" s="31"/>
    </row>
    <row r="550" ht="15.75" hidden="1" customHeight="1">
      <c r="H550" s="81"/>
      <c r="N550" s="85"/>
      <c r="O550" s="85"/>
      <c r="P550" s="86"/>
      <c r="V550" s="31"/>
      <c r="W550" s="31"/>
      <c r="X550" s="31"/>
      <c r="AD550" s="31"/>
      <c r="AE550" s="31"/>
      <c r="AF550" s="31"/>
    </row>
    <row r="551" ht="15.75" hidden="1" customHeight="1">
      <c r="H551" s="81"/>
      <c r="N551" s="85"/>
      <c r="O551" s="85"/>
      <c r="P551" s="86"/>
      <c r="V551" s="31"/>
      <c r="W551" s="31"/>
      <c r="X551" s="31"/>
      <c r="AD551" s="31"/>
      <c r="AE551" s="31"/>
      <c r="AF551" s="31"/>
    </row>
    <row r="552" ht="15.75" hidden="1" customHeight="1">
      <c r="H552" s="81"/>
      <c r="N552" s="85"/>
      <c r="O552" s="85"/>
      <c r="P552" s="86"/>
      <c r="V552" s="31"/>
      <c r="W552" s="31"/>
      <c r="X552" s="31"/>
      <c r="AD552" s="31"/>
      <c r="AE552" s="31"/>
      <c r="AF552" s="31"/>
    </row>
    <row r="553" ht="15.75" hidden="1" customHeight="1">
      <c r="H553" s="81"/>
      <c r="N553" s="85"/>
      <c r="O553" s="85"/>
      <c r="P553" s="86"/>
      <c r="V553" s="31"/>
      <c r="W553" s="31"/>
      <c r="X553" s="31"/>
      <c r="AD553" s="31"/>
      <c r="AE553" s="31"/>
      <c r="AF553" s="31"/>
    </row>
    <row r="554" ht="15.75" hidden="1" customHeight="1">
      <c r="H554" s="81"/>
      <c r="N554" s="85"/>
      <c r="O554" s="85"/>
      <c r="P554" s="86"/>
      <c r="V554" s="31"/>
      <c r="W554" s="31"/>
      <c r="X554" s="31"/>
      <c r="AD554" s="31"/>
      <c r="AE554" s="31"/>
      <c r="AF554" s="31"/>
    </row>
    <row r="555" ht="15.75" hidden="1" customHeight="1">
      <c r="H555" s="81"/>
      <c r="N555" s="85"/>
      <c r="O555" s="85"/>
      <c r="P555" s="86"/>
      <c r="V555" s="31"/>
      <c r="W555" s="31"/>
      <c r="X555" s="31"/>
      <c r="AD555" s="31"/>
      <c r="AE555" s="31"/>
      <c r="AF555" s="31"/>
    </row>
    <row r="556" ht="15.75" hidden="1" customHeight="1">
      <c r="H556" s="81"/>
      <c r="N556" s="85"/>
      <c r="O556" s="85"/>
      <c r="P556" s="86"/>
      <c r="V556" s="31"/>
      <c r="W556" s="31"/>
      <c r="X556" s="31"/>
      <c r="AD556" s="31"/>
      <c r="AE556" s="31"/>
      <c r="AF556" s="31"/>
    </row>
    <row r="557" ht="15.75" hidden="1" customHeight="1">
      <c r="H557" s="81"/>
      <c r="N557" s="85"/>
      <c r="O557" s="85"/>
      <c r="P557" s="86"/>
      <c r="V557" s="31"/>
      <c r="W557" s="31"/>
      <c r="X557" s="31"/>
      <c r="AD557" s="31"/>
      <c r="AE557" s="31"/>
      <c r="AF557" s="31"/>
    </row>
    <row r="558" ht="15.75" hidden="1" customHeight="1">
      <c r="H558" s="81"/>
      <c r="N558" s="85"/>
      <c r="O558" s="85"/>
      <c r="P558" s="86"/>
      <c r="V558" s="31"/>
      <c r="W558" s="31"/>
      <c r="X558" s="31"/>
      <c r="AD558" s="31"/>
      <c r="AE558" s="31"/>
      <c r="AF558" s="31"/>
    </row>
    <row r="559" ht="15.75" hidden="1" customHeight="1">
      <c r="H559" s="81"/>
      <c r="N559" s="85"/>
      <c r="O559" s="85"/>
      <c r="P559" s="86"/>
      <c r="V559" s="31"/>
      <c r="W559" s="31"/>
      <c r="X559" s="31"/>
      <c r="AD559" s="31"/>
      <c r="AE559" s="31"/>
      <c r="AF559" s="31"/>
    </row>
    <row r="560" ht="15.75" hidden="1" customHeight="1">
      <c r="H560" s="81"/>
      <c r="N560" s="85"/>
      <c r="O560" s="85"/>
      <c r="P560" s="86"/>
      <c r="V560" s="31"/>
      <c r="W560" s="31"/>
      <c r="X560" s="31"/>
      <c r="AD560" s="31"/>
      <c r="AE560" s="31"/>
      <c r="AF560" s="31"/>
    </row>
    <row r="561" ht="15.75" hidden="1" customHeight="1">
      <c r="H561" s="81"/>
      <c r="N561" s="85"/>
      <c r="O561" s="85"/>
      <c r="P561" s="86"/>
      <c r="V561" s="31"/>
      <c r="W561" s="31"/>
      <c r="X561" s="31"/>
      <c r="AD561" s="31"/>
      <c r="AE561" s="31"/>
      <c r="AF561" s="31"/>
    </row>
    <row r="562" ht="15.75" hidden="1" customHeight="1">
      <c r="H562" s="81"/>
      <c r="N562" s="85"/>
      <c r="O562" s="85"/>
      <c r="P562" s="86"/>
      <c r="V562" s="31"/>
      <c r="W562" s="31"/>
      <c r="X562" s="31"/>
      <c r="AD562" s="31"/>
      <c r="AE562" s="31"/>
      <c r="AF562" s="31"/>
    </row>
    <row r="563" ht="15.75" hidden="1" customHeight="1">
      <c r="H563" s="81"/>
      <c r="N563" s="85"/>
      <c r="O563" s="85"/>
      <c r="P563" s="86"/>
      <c r="V563" s="31"/>
      <c r="W563" s="31"/>
      <c r="X563" s="31"/>
      <c r="AD563" s="31"/>
      <c r="AE563" s="31"/>
      <c r="AF563" s="31"/>
    </row>
    <row r="564" ht="15.75" hidden="1" customHeight="1">
      <c r="H564" s="81"/>
      <c r="N564" s="85"/>
      <c r="O564" s="85"/>
      <c r="P564" s="86"/>
      <c r="V564" s="31"/>
      <c r="W564" s="31"/>
      <c r="X564" s="31"/>
      <c r="AD564" s="31"/>
      <c r="AE564" s="31"/>
      <c r="AF564" s="31"/>
    </row>
    <row r="565" ht="15.75" hidden="1" customHeight="1">
      <c r="H565" s="81"/>
      <c r="N565" s="85"/>
      <c r="O565" s="85"/>
      <c r="P565" s="86"/>
      <c r="V565" s="31"/>
      <c r="W565" s="31"/>
      <c r="X565" s="31"/>
      <c r="AD565" s="31"/>
      <c r="AE565" s="31"/>
      <c r="AF565" s="31"/>
    </row>
    <row r="566" ht="15.75" hidden="1" customHeight="1">
      <c r="H566" s="81"/>
      <c r="N566" s="85"/>
      <c r="O566" s="85"/>
      <c r="P566" s="86"/>
      <c r="V566" s="31"/>
      <c r="W566" s="31"/>
      <c r="X566" s="31"/>
      <c r="AD566" s="31"/>
      <c r="AE566" s="31"/>
      <c r="AF566" s="31"/>
    </row>
    <row r="567" ht="15.75" hidden="1" customHeight="1">
      <c r="H567" s="81"/>
      <c r="N567" s="85"/>
      <c r="O567" s="85"/>
      <c r="P567" s="86"/>
      <c r="V567" s="31"/>
      <c r="W567" s="31"/>
      <c r="X567" s="31"/>
      <c r="AD567" s="31"/>
      <c r="AE567" s="31"/>
      <c r="AF567" s="31"/>
    </row>
    <row r="568" ht="15.75" hidden="1" customHeight="1">
      <c r="H568" s="81"/>
      <c r="N568" s="85"/>
      <c r="O568" s="85"/>
      <c r="P568" s="86"/>
      <c r="V568" s="31"/>
      <c r="W568" s="31"/>
      <c r="X568" s="31"/>
      <c r="AD568" s="31"/>
      <c r="AE568" s="31"/>
      <c r="AF568" s="31"/>
    </row>
    <row r="569" ht="15.75" hidden="1" customHeight="1">
      <c r="H569" s="81"/>
      <c r="N569" s="85"/>
      <c r="O569" s="85"/>
      <c r="P569" s="86"/>
      <c r="V569" s="31"/>
      <c r="W569" s="31"/>
      <c r="X569" s="31"/>
      <c r="AD569" s="31"/>
      <c r="AE569" s="31"/>
      <c r="AF569" s="31"/>
    </row>
    <row r="570" ht="15.75" hidden="1" customHeight="1">
      <c r="H570" s="81"/>
      <c r="N570" s="85"/>
      <c r="O570" s="85"/>
      <c r="P570" s="86"/>
      <c r="V570" s="31"/>
      <c r="W570" s="31"/>
      <c r="X570" s="31"/>
      <c r="AD570" s="31"/>
      <c r="AE570" s="31"/>
      <c r="AF570" s="31"/>
    </row>
    <row r="571" ht="15.75" hidden="1" customHeight="1">
      <c r="H571" s="81"/>
      <c r="N571" s="85"/>
      <c r="O571" s="85"/>
      <c r="P571" s="86"/>
      <c r="V571" s="31"/>
      <c r="W571" s="31"/>
      <c r="X571" s="31"/>
      <c r="AD571" s="31"/>
      <c r="AE571" s="31"/>
      <c r="AF571" s="31"/>
    </row>
    <row r="572" ht="15.75" hidden="1" customHeight="1">
      <c r="H572" s="81"/>
      <c r="N572" s="85"/>
      <c r="O572" s="85"/>
      <c r="P572" s="86"/>
      <c r="V572" s="31"/>
      <c r="W572" s="31"/>
      <c r="X572" s="31"/>
      <c r="AD572" s="31"/>
      <c r="AE572" s="31"/>
      <c r="AF572" s="31"/>
    </row>
    <row r="573" ht="15.75" hidden="1" customHeight="1">
      <c r="H573" s="81"/>
      <c r="N573" s="85"/>
      <c r="O573" s="85"/>
      <c r="P573" s="86"/>
      <c r="V573" s="31"/>
      <c r="W573" s="31"/>
      <c r="X573" s="31"/>
      <c r="AD573" s="31"/>
      <c r="AE573" s="31"/>
      <c r="AF573" s="31"/>
    </row>
    <row r="574" ht="15.75" hidden="1" customHeight="1">
      <c r="H574" s="81"/>
      <c r="N574" s="85"/>
      <c r="O574" s="85"/>
      <c r="P574" s="86"/>
      <c r="V574" s="31"/>
      <c r="W574" s="31"/>
      <c r="X574" s="31"/>
      <c r="AD574" s="31"/>
      <c r="AE574" s="31"/>
      <c r="AF574" s="31"/>
    </row>
    <row r="575" ht="15.75" hidden="1" customHeight="1">
      <c r="H575" s="81"/>
      <c r="N575" s="85"/>
      <c r="O575" s="85"/>
      <c r="P575" s="86"/>
      <c r="V575" s="31"/>
      <c r="W575" s="31"/>
      <c r="X575" s="31"/>
      <c r="AD575" s="31"/>
      <c r="AE575" s="31"/>
      <c r="AF575" s="31"/>
    </row>
    <row r="576" ht="15.75" hidden="1" customHeight="1">
      <c r="H576" s="81"/>
      <c r="N576" s="85"/>
      <c r="O576" s="85"/>
      <c r="P576" s="86"/>
      <c r="V576" s="31"/>
      <c r="W576" s="31"/>
      <c r="X576" s="31"/>
      <c r="AD576" s="31"/>
      <c r="AE576" s="31"/>
      <c r="AF576" s="31"/>
    </row>
    <row r="577" ht="15.75" hidden="1" customHeight="1">
      <c r="H577" s="81"/>
      <c r="N577" s="85"/>
      <c r="O577" s="85"/>
      <c r="P577" s="86"/>
      <c r="V577" s="31"/>
      <c r="W577" s="31"/>
      <c r="X577" s="31"/>
      <c r="AD577" s="31"/>
      <c r="AE577" s="31"/>
      <c r="AF577" s="31"/>
    </row>
    <row r="578" ht="15.75" hidden="1" customHeight="1">
      <c r="H578" s="81"/>
      <c r="N578" s="85"/>
      <c r="O578" s="85"/>
      <c r="P578" s="86"/>
      <c r="V578" s="31"/>
      <c r="W578" s="31"/>
      <c r="X578" s="31"/>
      <c r="AD578" s="31"/>
      <c r="AE578" s="31"/>
      <c r="AF578" s="31"/>
    </row>
    <row r="579" ht="15.75" hidden="1" customHeight="1">
      <c r="H579" s="81"/>
      <c r="N579" s="85"/>
      <c r="O579" s="85"/>
      <c r="P579" s="86"/>
      <c r="V579" s="31"/>
      <c r="W579" s="31"/>
      <c r="X579" s="31"/>
      <c r="AD579" s="31"/>
      <c r="AE579" s="31"/>
      <c r="AF579" s="31"/>
    </row>
    <row r="580" ht="15.75" hidden="1" customHeight="1">
      <c r="H580" s="81"/>
      <c r="N580" s="85"/>
      <c r="O580" s="85"/>
      <c r="P580" s="86"/>
      <c r="V580" s="31"/>
      <c r="W580" s="31"/>
      <c r="X580" s="31"/>
      <c r="AD580" s="31"/>
      <c r="AE580" s="31"/>
      <c r="AF580" s="31"/>
    </row>
    <row r="581" ht="15.75" hidden="1" customHeight="1">
      <c r="H581" s="81"/>
      <c r="N581" s="85"/>
      <c r="O581" s="85"/>
      <c r="P581" s="86"/>
      <c r="V581" s="31"/>
      <c r="W581" s="31"/>
      <c r="X581" s="31"/>
      <c r="AD581" s="31"/>
      <c r="AE581" s="31"/>
      <c r="AF581" s="31"/>
    </row>
    <row r="582" ht="15.75" hidden="1" customHeight="1">
      <c r="H582" s="81"/>
      <c r="N582" s="85"/>
      <c r="O582" s="85"/>
      <c r="P582" s="86"/>
      <c r="V582" s="31"/>
      <c r="W582" s="31"/>
      <c r="X582" s="31"/>
      <c r="AD582" s="31"/>
      <c r="AE582" s="31"/>
      <c r="AF582" s="31"/>
    </row>
    <row r="583" ht="15.75" hidden="1" customHeight="1">
      <c r="H583" s="81"/>
      <c r="N583" s="85"/>
      <c r="O583" s="85"/>
      <c r="P583" s="86"/>
      <c r="V583" s="31"/>
      <c r="W583" s="31"/>
      <c r="X583" s="31"/>
      <c r="AD583" s="31"/>
      <c r="AE583" s="31"/>
      <c r="AF583" s="31"/>
    </row>
    <row r="584" ht="15.75" hidden="1" customHeight="1">
      <c r="H584" s="81"/>
      <c r="N584" s="85"/>
      <c r="O584" s="85"/>
      <c r="P584" s="86"/>
      <c r="V584" s="31"/>
      <c r="W584" s="31"/>
      <c r="X584" s="31"/>
      <c r="AD584" s="31"/>
      <c r="AE584" s="31"/>
      <c r="AF584" s="31"/>
    </row>
    <row r="585" ht="15.75" hidden="1" customHeight="1">
      <c r="H585" s="81"/>
      <c r="N585" s="85"/>
      <c r="O585" s="85"/>
      <c r="P585" s="86"/>
      <c r="V585" s="31"/>
      <c r="W585" s="31"/>
      <c r="X585" s="31"/>
      <c r="AD585" s="31"/>
      <c r="AE585" s="31"/>
      <c r="AF585" s="31"/>
    </row>
    <row r="586" ht="15.75" hidden="1" customHeight="1">
      <c r="H586" s="81"/>
      <c r="N586" s="85"/>
      <c r="O586" s="85"/>
      <c r="P586" s="86"/>
      <c r="V586" s="31"/>
      <c r="W586" s="31"/>
      <c r="X586" s="31"/>
      <c r="AD586" s="31"/>
      <c r="AE586" s="31"/>
      <c r="AF586" s="31"/>
    </row>
    <row r="587" ht="15.75" hidden="1" customHeight="1">
      <c r="H587" s="81"/>
      <c r="N587" s="85"/>
      <c r="O587" s="85"/>
      <c r="P587" s="86"/>
      <c r="V587" s="31"/>
      <c r="W587" s="31"/>
      <c r="X587" s="31"/>
      <c r="AD587" s="31"/>
      <c r="AE587" s="31"/>
      <c r="AF587" s="31"/>
    </row>
    <row r="588" ht="15.75" hidden="1" customHeight="1">
      <c r="H588" s="81"/>
      <c r="N588" s="85"/>
      <c r="O588" s="85"/>
      <c r="P588" s="86"/>
      <c r="V588" s="31"/>
      <c r="W588" s="31"/>
      <c r="X588" s="31"/>
      <c r="AD588" s="31"/>
      <c r="AE588" s="31"/>
      <c r="AF588" s="31"/>
    </row>
    <row r="589" ht="15.75" hidden="1" customHeight="1">
      <c r="H589" s="81"/>
      <c r="N589" s="85"/>
      <c r="O589" s="85"/>
      <c r="P589" s="86"/>
      <c r="V589" s="31"/>
      <c r="W589" s="31"/>
      <c r="X589" s="31"/>
      <c r="AD589" s="31"/>
      <c r="AE589" s="31"/>
      <c r="AF589" s="31"/>
    </row>
    <row r="590" ht="15.75" hidden="1" customHeight="1">
      <c r="H590" s="81"/>
      <c r="N590" s="85"/>
      <c r="O590" s="85"/>
      <c r="P590" s="86"/>
      <c r="V590" s="31"/>
      <c r="W590" s="31"/>
      <c r="X590" s="31"/>
      <c r="AD590" s="31"/>
      <c r="AE590" s="31"/>
      <c r="AF590" s="31"/>
    </row>
    <row r="591" ht="15.75" hidden="1" customHeight="1">
      <c r="H591" s="81"/>
      <c r="N591" s="85"/>
      <c r="O591" s="85"/>
      <c r="P591" s="86"/>
      <c r="V591" s="31"/>
      <c r="W591" s="31"/>
      <c r="X591" s="31"/>
      <c r="AD591" s="31"/>
      <c r="AE591" s="31"/>
      <c r="AF591" s="31"/>
    </row>
    <row r="592" ht="15.75" hidden="1" customHeight="1">
      <c r="H592" s="81"/>
      <c r="N592" s="85"/>
      <c r="O592" s="85"/>
      <c r="P592" s="86"/>
      <c r="V592" s="31"/>
      <c r="W592" s="31"/>
      <c r="X592" s="31"/>
      <c r="AD592" s="31"/>
      <c r="AE592" s="31"/>
      <c r="AF592" s="31"/>
    </row>
    <row r="593" ht="15.75" hidden="1" customHeight="1">
      <c r="H593" s="81"/>
      <c r="N593" s="85"/>
      <c r="O593" s="85"/>
      <c r="P593" s="86"/>
      <c r="V593" s="31"/>
      <c r="W593" s="31"/>
      <c r="X593" s="31"/>
      <c r="AD593" s="31"/>
      <c r="AE593" s="31"/>
      <c r="AF593" s="31"/>
    </row>
    <row r="594" ht="15.75" hidden="1" customHeight="1">
      <c r="H594" s="81"/>
      <c r="N594" s="85"/>
      <c r="O594" s="85"/>
      <c r="P594" s="86"/>
      <c r="V594" s="31"/>
      <c r="W594" s="31"/>
      <c r="X594" s="31"/>
      <c r="AD594" s="31"/>
      <c r="AE594" s="31"/>
      <c r="AF594" s="31"/>
    </row>
    <row r="595" ht="15.75" hidden="1" customHeight="1">
      <c r="H595" s="81"/>
      <c r="N595" s="85"/>
      <c r="O595" s="85"/>
      <c r="P595" s="86"/>
      <c r="V595" s="31"/>
      <c r="W595" s="31"/>
      <c r="X595" s="31"/>
      <c r="AD595" s="31"/>
      <c r="AE595" s="31"/>
      <c r="AF595" s="31"/>
    </row>
    <row r="596" ht="15.75" hidden="1" customHeight="1">
      <c r="H596" s="81"/>
      <c r="N596" s="85"/>
      <c r="O596" s="85"/>
      <c r="P596" s="86"/>
      <c r="V596" s="31"/>
      <c r="W596" s="31"/>
      <c r="X596" s="31"/>
      <c r="AD596" s="31"/>
      <c r="AE596" s="31"/>
      <c r="AF596" s="31"/>
    </row>
    <row r="597" ht="15.75" hidden="1" customHeight="1">
      <c r="H597" s="81"/>
      <c r="N597" s="85"/>
      <c r="O597" s="85"/>
      <c r="P597" s="86"/>
      <c r="V597" s="31"/>
      <c r="W597" s="31"/>
      <c r="X597" s="31"/>
      <c r="AD597" s="31"/>
      <c r="AE597" s="31"/>
      <c r="AF597" s="31"/>
    </row>
    <row r="598" ht="15.75" hidden="1" customHeight="1">
      <c r="H598" s="81"/>
      <c r="N598" s="85"/>
      <c r="O598" s="85"/>
      <c r="P598" s="86"/>
      <c r="V598" s="31"/>
      <c r="W598" s="31"/>
      <c r="X598" s="31"/>
      <c r="AD598" s="31"/>
      <c r="AE598" s="31"/>
      <c r="AF598" s="31"/>
    </row>
    <row r="599" ht="15.75" hidden="1" customHeight="1">
      <c r="H599" s="81"/>
      <c r="N599" s="85"/>
      <c r="O599" s="85"/>
      <c r="P599" s="86"/>
      <c r="V599" s="31"/>
      <c r="W599" s="31"/>
      <c r="X599" s="31"/>
      <c r="AD599" s="31"/>
      <c r="AE599" s="31"/>
      <c r="AF599" s="31"/>
    </row>
    <row r="600" ht="15.75" hidden="1" customHeight="1">
      <c r="H600" s="81"/>
      <c r="N600" s="85"/>
      <c r="O600" s="85"/>
      <c r="P600" s="86"/>
      <c r="V600" s="31"/>
      <c r="W600" s="31"/>
      <c r="X600" s="31"/>
      <c r="AD600" s="31"/>
      <c r="AE600" s="31"/>
      <c r="AF600" s="31"/>
    </row>
    <row r="601" ht="15.75" hidden="1" customHeight="1">
      <c r="H601" s="81"/>
      <c r="N601" s="85"/>
      <c r="O601" s="85"/>
      <c r="P601" s="86"/>
      <c r="V601" s="31"/>
      <c r="W601" s="31"/>
      <c r="X601" s="31"/>
      <c r="AD601" s="31"/>
      <c r="AE601" s="31"/>
      <c r="AF601" s="31"/>
    </row>
    <row r="602" ht="15.75" hidden="1" customHeight="1">
      <c r="H602" s="81"/>
      <c r="N602" s="85"/>
      <c r="O602" s="85"/>
      <c r="P602" s="86"/>
      <c r="V602" s="31"/>
      <c r="W602" s="31"/>
      <c r="X602" s="31"/>
      <c r="AD602" s="31"/>
      <c r="AE602" s="31"/>
      <c r="AF602" s="31"/>
    </row>
    <row r="603" ht="15.75" hidden="1" customHeight="1">
      <c r="H603" s="81"/>
      <c r="N603" s="85"/>
      <c r="O603" s="85"/>
      <c r="P603" s="86"/>
      <c r="V603" s="31"/>
      <c r="W603" s="31"/>
      <c r="X603" s="31"/>
      <c r="AD603" s="31"/>
      <c r="AE603" s="31"/>
      <c r="AF603" s="31"/>
    </row>
    <row r="604" ht="15.75" hidden="1" customHeight="1">
      <c r="H604" s="81"/>
      <c r="N604" s="85"/>
      <c r="O604" s="85"/>
      <c r="P604" s="86"/>
      <c r="V604" s="31"/>
      <c r="W604" s="31"/>
      <c r="X604" s="31"/>
      <c r="AD604" s="31"/>
      <c r="AE604" s="31"/>
      <c r="AF604" s="31"/>
    </row>
    <row r="605" ht="15.75" hidden="1" customHeight="1">
      <c r="H605" s="81"/>
      <c r="N605" s="85"/>
      <c r="O605" s="85"/>
      <c r="P605" s="86"/>
      <c r="V605" s="31"/>
      <c r="W605" s="31"/>
      <c r="X605" s="31"/>
      <c r="AD605" s="31"/>
      <c r="AE605" s="31"/>
      <c r="AF605" s="31"/>
    </row>
    <row r="606" ht="15.75" hidden="1" customHeight="1">
      <c r="H606" s="81"/>
      <c r="N606" s="85"/>
      <c r="O606" s="85"/>
      <c r="P606" s="86"/>
      <c r="V606" s="31"/>
      <c r="W606" s="31"/>
      <c r="X606" s="31"/>
      <c r="AD606" s="31"/>
      <c r="AE606" s="31"/>
      <c r="AF606" s="31"/>
    </row>
    <row r="607" ht="15.75" hidden="1" customHeight="1">
      <c r="H607" s="81"/>
      <c r="N607" s="85"/>
      <c r="O607" s="85"/>
      <c r="P607" s="86"/>
      <c r="V607" s="31"/>
      <c r="W607" s="31"/>
      <c r="X607" s="31"/>
      <c r="AD607" s="31"/>
      <c r="AE607" s="31"/>
      <c r="AF607" s="31"/>
    </row>
    <row r="608" ht="15.75" hidden="1" customHeight="1">
      <c r="H608" s="81"/>
      <c r="N608" s="85"/>
      <c r="O608" s="85"/>
      <c r="P608" s="86"/>
      <c r="V608" s="31"/>
      <c r="W608" s="31"/>
      <c r="X608" s="31"/>
      <c r="AD608" s="31"/>
      <c r="AE608" s="31"/>
      <c r="AF608" s="31"/>
    </row>
    <row r="609" ht="15.75" hidden="1" customHeight="1">
      <c r="H609" s="81"/>
      <c r="N609" s="85"/>
      <c r="O609" s="85"/>
      <c r="P609" s="86"/>
      <c r="V609" s="31"/>
      <c r="W609" s="31"/>
      <c r="X609" s="31"/>
      <c r="AD609" s="31"/>
      <c r="AE609" s="31"/>
      <c r="AF609" s="31"/>
    </row>
    <row r="610" ht="15.75" hidden="1" customHeight="1">
      <c r="H610" s="81"/>
      <c r="N610" s="85"/>
      <c r="O610" s="85"/>
      <c r="P610" s="86"/>
      <c r="V610" s="31"/>
      <c r="W610" s="31"/>
      <c r="X610" s="31"/>
      <c r="AD610" s="31"/>
      <c r="AE610" s="31"/>
      <c r="AF610" s="31"/>
    </row>
    <row r="611" ht="15.75" hidden="1" customHeight="1">
      <c r="H611" s="81"/>
      <c r="N611" s="85"/>
      <c r="O611" s="85"/>
      <c r="P611" s="86"/>
      <c r="V611" s="31"/>
      <c r="W611" s="31"/>
      <c r="X611" s="31"/>
      <c r="AD611" s="31"/>
      <c r="AE611" s="31"/>
      <c r="AF611" s="31"/>
    </row>
    <row r="612" ht="15.75" hidden="1" customHeight="1">
      <c r="H612" s="81"/>
      <c r="N612" s="85"/>
      <c r="O612" s="85"/>
      <c r="P612" s="86"/>
      <c r="V612" s="31"/>
      <c r="W612" s="31"/>
      <c r="X612" s="31"/>
      <c r="AD612" s="31"/>
      <c r="AE612" s="31"/>
      <c r="AF612" s="31"/>
    </row>
    <row r="613" ht="15.75" hidden="1" customHeight="1">
      <c r="H613" s="81"/>
      <c r="N613" s="85"/>
      <c r="O613" s="85"/>
      <c r="P613" s="86"/>
      <c r="V613" s="31"/>
      <c r="W613" s="31"/>
      <c r="X613" s="31"/>
      <c r="AD613" s="31"/>
      <c r="AE613" s="31"/>
      <c r="AF613" s="31"/>
    </row>
    <row r="614" ht="15.75" hidden="1" customHeight="1">
      <c r="H614" s="81"/>
      <c r="N614" s="85"/>
      <c r="O614" s="85"/>
      <c r="P614" s="86"/>
      <c r="V614" s="31"/>
      <c r="W614" s="31"/>
      <c r="X614" s="31"/>
      <c r="AD614" s="31"/>
      <c r="AE614" s="31"/>
      <c r="AF614" s="31"/>
    </row>
    <row r="615" ht="15.75" hidden="1" customHeight="1">
      <c r="H615" s="81"/>
      <c r="N615" s="85"/>
      <c r="O615" s="85"/>
      <c r="P615" s="86"/>
      <c r="V615" s="31"/>
      <c r="W615" s="31"/>
      <c r="X615" s="31"/>
      <c r="AD615" s="31"/>
      <c r="AE615" s="31"/>
      <c r="AF615" s="31"/>
    </row>
    <row r="616" ht="15.75" hidden="1" customHeight="1">
      <c r="H616" s="81"/>
      <c r="N616" s="85"/>
      <c r="O616" s="85"/>
      <c r="P616" s="86"/>
      <c r="V616" s="31"/>
      <c r="W616" s="31"/>
      <c r="X616" s="31"/>
      <c r="AD616" s="31"/>
      <c r="AE616" s="31"/>
      <c r="AF616" s="31"/>
    </row>
    <row r="617" ht="15.75" hidden="1" customHeight="1">
      <c r="H617" s="81"/>
      <c r="N617" s="85"/>
      <c r="O617" s="85"/>
      <c r="P617" s="86"/>
      <c r="V617" s="31"/>
      <c r="W617" s="31"/>
      <c r="X617" s="31"/>
      <c r="AD617" s="31"/>
      <c r="AE617" s="31"/>
      <c r="AF617" s="31"/>
    </row>
    <row r="618" ht="15.75" hidden="1" customHeight="1">
      <c r="H618" s="81"/>
      <c r="N618" s="85"/>
      <c r="O618" s="85"/>
      <c r="P618" s="86"/>
      <c r="V618" s="31"/>
      <c r="W618" s="31"/>
      <c r="X618" s="31"/>
      <c r="AD618" s="31"/>
      <c r="AE618" s="31"/>
      <c r="AF618" s="31"/>
    </row>
    <row r="619" ht="15.75" hidden="1" customHeight="1">
      <c r="H619" s="81"/>
      <c r="N619" s="85"/>
      <c r="O619" s="85"/>
      <c r="P619" s="86"/>
      <c r="V619" s="31"/>
      <c r="W619" s="31"/>
      <c r="X619" s="31"/>
      <c r="AD619" s="31"/>
      <c r="AE619" s="31"/>
      <c r="AF619" s="31"/>
    </row>
    <row r="620" ht="15.75" hidden="1" customHeight="1">
      <c r="H620" s="81"/>
      <c r="N620" s="85"/>
      <c r="O620" s="85"/>
      <c r="P620" s="86"/>
      <c r="V620" s="31"/>
      <c r="W620" s="31"/>
      <c r="X620" s="31"/>
      <c r="AD620" s="31"/>
      <c r="AE620" s="31"/>
      <c r="AF620" s="31"/>
    </row>
    <row r="621" ht="15.75" hidden="1" customHeight="1">
      <c r="H621" s="81"/>
      <c r="N621" s="85"/>
      <c r="O621" s="85"/>
      <c r="P621" s="86"/>
      <c r="V621" s="31"/>
      <c r="W621" s="31"/>
      <c r="X621" s="31"/>
      <c r="AD621" s="31"/>
      <c r="AE621" s="31"/>
      <c r="AF621" s="31"/>
    </row>
    <row r="622" ht="15.75" hidden="1" customHeight="1">
      <c r="H622" s="81"/>
      <c r="N622" s="85"/>
      <c r="O622" s="85"/>
      <c r="P622" s="86"/>
      <c r="V622" s="31"/>
      <c r="W622" s="31"/>
      <c r="X622" s="31"/>
      <c r="AD622" s="31"/>
      <c r="AE622" s="31"/>
      <c r="AF622" s="31"/>
    </row>
    <row r="623" ht="15.75" hidden="1" customHeight="1">
      <c r="H623" s="81"/>
      <c r="N623" s="85"/>
      <c r="O623" s="85"/>
      <c r="P623" s="86"/>
      <c r="V623" s="31"/>
      <c r="W623" s="31"/>
      <c r="X623" s="31"/>
      <c r="AD623" s="31"/>
      <c r="AE623" s="31"/>
      <c r="AF623" s="31"/>
    </row>
    <row r="624" ht="15.75" hidden="1" customHeight="1">
      <c r="H624" s="81"/>
      <c r="N624" s="85"/>
      <c r="O624" s="85"/>
      <c r="P624" s="86"/>
      <c r="V624" s="31"/>
      <c r="W624" s="31"/>
      <c r="X624" s="31"/>
      <c r="AD624" s="31"/>
      <c r="AE624" s="31"/>
      <c r="AF624" s="31"/>
    </row>
    <row r="625" ht="15.75" hidden="1" customHeight="1">
      <c r="H625" s="81"/>
      <c r="N625" s="85"/>
      <c r="O625" s="85"/>
      <c r="P625" s="86"/>
      <c r="V625" s="31"/>
      <c r="W625" s="31"/>
      <c r="X625" s="31"/>
      <c r="AD625" s="31"/>
      <c r="AE625" s="31"/>
      <c r="AF625" s="31"/>
    </row>
    <row r="626" ht="15.75" hidden="1" customHeight="1">
      <c r="H626" s="81"/>
      <c r="N626" s="85"/>
      <c r="O626" s="85"/>
      <c r="P626" s="86"/>
      <c r="V626" s="31"/>
      <c r="W626" s="31"/>
      <c r="X626" s="31"/>
      <c r="AD626" s="31"/>
      <c r="AE626" s="31"/>
      <c r="AF626" s="31"/>
    </row>
    <row r="627" ht="15.75" hidden="1" customHeight="1">
      <c r="H627" s="81"/>
      <c r="N627" s="85"/>
      <c r="O627" s="85"/>
      <c r="P627" s="86"/>
      <c r="V627" s="31"/>
      <c r="W627" s="31"/>
      <c r="X627" s="31"/>
      <c r="AD627" s="31"/>
      <c r="AE627" s="31"/>
      <c r="AF627" s="31"/>
    </row>
    <row r="628" ht="15.75" hidden="1" customHeight="1">
      <c r="H628" s="81"/>
      <c r="N628" s="85"/>
      <c r="O628" s="85"/>
      <c r="P628" s="86"/>
      <c r="V628" s="31"/>
      <c r="W628" s="31"/>
      <c r="X628" s="31"/>
      <c r="AD628" s="31"/>
      <c r="AE628" s="31"/>
      <c r="AF628" s="31"/>
    </row>
    <row r="629" ht="15.75" hidden="1" customHeight="1">
      <c r="H629" s="81"/>
      <c r="N629" s="85"/>
      <c r="O629" s="85"/>
      <c r="P629" s="86"/>
      <c r="V629" s="31"/>
      <c r="W629" s="31"/>
      <c r="X629" s="31"/>
      <c r="AD629" s="31"/>
      <c r="AE629" s="31"/>
      <c r="AF629" s="31"/>
    </row>
    <row r="630" ht="15.75" hidden="1" customHeight="1">
      <c r="H630" s="81"/>
      <c r="N630" s="85"/>
      <c r="O630" s="85"/>
      <c r="P630" s="86"/>
      <c r="V630" s="31"/>
      <c r="W630" s="31"/>
      <c r="X630" s="31"/>
      <c r="AD630" s="31"/>
      <c r="AE630" s="31"/>
      <c r="AF630" s="31"/>
    </row>
    <row r="631" ht="15.75" hidden="1" customHeight="1">
      <c r="H631" s="81"/>
      <c r="N631" s="85"/>
      <c r="O631" s="85"/>
      <c r="P631" s="86"/>
      <c r="V631" s="31"/>
      <c r="W631" s="31"/>
      <c r="X631" s="31"/>
      <c r="AD631" s="31"/>
      <c r="AE631" s="31"/>
      <c r="AF631" s="31"/>
    </row>
    <row r="632" ht="15.75" hidden="1" customHeight="1">
      <c r="H632" s="81"/>
      <c r="N632" s="85"/>
      <c r="O632" s="85"/>
      <c r="P632" s="86"/>
      <c r="V632" s="31"/>
      <c r="W632" s="31"/>
      <c r="X632" s="31"/>
      <c r="AD632" s="31"/>
      <c r="AE632" s="31"/>
      <c r="AF632" s="31"/>
    </row>
    <row r="633" ht="15.75" hidden="1" customHeight="1">
      <c r="H633" s="81"/>
      <c r="N633" s="85"/>
      <c r="O633" s="85"/>
      <c r="P633" s="86"/>
      <c r="V633" s="31"/>
      <c r="W633" s="31"/>
      <c r="X633" s="31"/>
      <c r="AD633" s="31"/>
      <c r="AE633" s="31"/>
      <c r="AF633" s="31"/>
    </row>
    <row r="634" ht="15.75" hidden="1" customHeight="1">
      <c r="H634" s="81"/>
      <c r="N634" s="85"/>
      <c r="O634" s="85"/>
      <c r="P634" s="86"/>
      <c r="V634" s="31"/>
      <c r="W634" s="31"/>
      <c r="X634" s="31"/>
      <c r="AD634" s="31"/>
      <c r="AE634" s="31"/>
      <c r="AF634" s="31"/>
    </row>
    <row r="635" ht="15.75" hidden="1" customHeight="1">
      <c r="H635" s="81"/>
      <c r="N635" s="85"/>
      <c r="O635" s="85"/>
      <c r="P635" s="86"/>
      <c r="V635" s="31"/>
      <c r="W635" s="31"/>
      <c r="X635" s="31"/>
      <c r="AD635" s="31"/>
      <c r="AE635" s="31"/>
      <c r="AF635" s="31"/>
    </row>
    <row r="636" ht="15.75" hidden="1" customHeight="1">
      <c r="H636" s="81"/>
      <c r="N636" s="85"/>
      <c r="O636" s="85"/>
      <c r="P636" s="86"/>
      <c r="V636" s="31"/>
      <c r="W636" s="31"/>
      <c r="X636" s="31"/>
      <c r="AD636" s="31"/>
      <c r="AE636" s="31"/>
      <c r="AF636" s="31"/>
    </row>
    <row r="637" ht="15.75" hidden="1" customHeight="1">
      <c r="H637" s="81"/>
      <c r="N637" s="85"/>
      <c r="O637" s="85"/>
      <c r="P637" s="86"/>
      <c r="V637" s="31"/>
      <c r="W637" s="31"/>
      <c r="X637" s="31"/>
      <c r="AD637" s="31"/>
      <c r="AE637" s="31"/>
      <c r="AF637" s="31"/>
    </row>
    <row r="638" ht="15.75" hidden="1" customHeight="1">
      <c r="H638" s="81"/>
      <c r="N638" s="85"/>
      <c r="O638" s="85"/>
      <c r="P638" s="86"/>
      <c r="V638" s="31"/>
      <c r="W638" s="31"/>
      <c r="X638" s="31"/>
      <c r="AD638" s="31"/>
      <c r="AE638" s="31"/>
      <c r="AF638" s="31"/>
    </row>
    <row r="639" ht="15.75" hidden="1" customHeight="1">
      <c r="H639" s="81"/>
      <c r="N639" s="85"/>
      <c r="O639" s="85"/>
      <c r="P639" s="86"/>
      <c r="V639" s="31"/>
      <c r="W639" s="31"/>
      <c r="X639" s="31"/>
      <c r="AD639" s="31"/>
      <c r="AE639" s="31"/>
      <c r="AF639" s="31"/>
    </row>
    <row r="640" ht="15.75" hidden="1" customHeight="1">
      <c r="H640" s="81"/>
      <c r="N640" s="85"/>
      <c r="O640" s="85"/>
      <c r="P640" s="86"/>
      <c r="V640" s="31"/>
      <c r="W640" s="31"/>
      <c r="X640" s="31"/>
      <c r="AD640" s="31"/>
      <c r="AE640" s="31"/>
      <c r="AF640" s="31"/>
    </row>
    <row r="641" ht="15.75" hidden="1" customHeight="1">
      <c r="H641" s="81"/>
      <c r="N641" s="85"/>
      <c r="O641" s="85"/>
      <c r="P641" s="86"/>
      <c r="V641" s="31"/>
      <c r="W641" s="31"/>
      <c r="X641" s="31"/>
      <c r="AD641" s="31"/>
      <c r="AE641" s="31"/>
      <c r="AF641" s="31"/>
    </row>
    <row r="642" ht="15.75" hidden="1" customHeight="1">
      <c r="H642" s="81"/>
      <c r="N642" s="85"/>
      <c r="O642" s="85"/>
      <c r="P642" s="86"/>
      <c r="V642" s="31"/>
      <c r="W642" s="31"/>
      <c r="X642" s="31"/>
      <c r="AD642" s="31"/>
      <c r="AE642" s="31"/>
      <c r="AF642" s="31"/>
    </row>
    <row r="643" ht="15.75" hidden="1" customHeight="1">
      <c r="H643" s="81"/>
      <c r="N643" s="85"/>
      <c r="O643" s="85"/>
      <c r="P643" s="86"/>
      <c r="V643" s="31"/>
      <c r="W643" s="31"/>
      <c r="X643" s="31"/>
      <c r="AD643" s="31"/>
      <c r="AE643" s="31"/>
      <c r="AF643" s="31"/>
    </row>
    <row r="644" ht="15.75" hidden="1" customHeight="1">
      <c r="H644" s="81"/>
      <c r="N644" s="85"/>
      <c r="O644" s="85"/>
      <c r="P644" s="86"/>
      <c r="V644" s="31"/>
      <c r="W644" s="31"/>
      <c r="X644" s="31"/>
      <c r="AD644" s="31"/>
      <c r="AE644" s="31"/>
      <c r="AF644" s="31"/>
    </row>
    <row r="645" ht="15.75" hidden="1" customHeight="1">
      <c r="H645" s="81"/>
      <c r="N645" s="85"/>
      <c r="O645" s="85"/>
      <c r="P645" s="86"/>
      <c r="V645" s="31"/>
      <c r="W645" s="31"/>
      <c r="X645" s="31"/>
      <c r="AD645" s="31"/>
      <c r="AE645" s="31"/>
      <c r="AF645" s="31"/>
    </row>
    <row r="646" ht="15.75" hidden="1" customHeight="1">
      <c r="H646" s="81"/>
      <c r="N646" s="85"/>
      <c r="O646" s="85"/>
      <c r="P646" s="86"/>
      <c r="V646" s="31"/>
      <c r="W646" s="31"/>
      <c r="X646" s="31"/>
      <c r="AD646" s="31"/>
      <c r="AE646" s="31"/>
      <c r="AF646" s="31"/>
    </row>
    <row r="647" ht="15.75" hidden="1" customHeight="1">
      <c r="H647" s="81"/>
      <c r="N647" s="85"/>
      <c r="O647" s="85"/>
      <c r="P647" s="86"/>
      <c r="V647" s="31"/>
      <c r="W647" s="31"/>
      <c r="X647" s="31"/>
      <c r="AD647" s="31"/>
      <c r="AE647" s="31"/>
      <c r="AF647" s="31"/>
    </row>
    <row r="648" ht="15.75" hidden="1" customHeight="1">
      <c r="H648" s="81"/>
      <c r="N648" s="85"/>
      <c r="O648" s="85"/>
      <c r="P648" s="86"/>
      <c r="V648" s="31"/>
      <c r="W648" s="31"/>
      <c r="X648" s="31"/>
      <c r="AD648" s="31"/>
      <c r="AE648" s="31"/>
      <c r="AF648" s="31"/>
    </row>
    <row r="649" ht="15.75" hidden="1" customHeight="1">
      <c r="H649" s="81"/>
      <c r="N649" s="85"/>
      <c r="O649" s="85"/>
      <c r="P649" s="86"/>
      <c r="V649" s="31"/>
      <c r="W649" s="31"/>
      <c r="X649" s="31"/>
      <c r="AD649" s="31"/>
      <c r="AE649" s="31"/>
      <c r="AF649" s="31"/>
    </row>
    <row r="650" ht="15.75" hidden="1" customHeight="1">
      <c r="H650" s="81"/>
      <c r="N650" s="85"/>
      <c r="O650" s="85"/>
      <c r="P650" s="86"/>
      <c r="V650" s="31"/>
      <c r="W650" s="31"/>
      <c r="X650" s="31"/>
      <c r="AD650" s="31"/>
      <c r="AE650" s="31"/>
      <c r="AF650" s="31"/>
    </row>
    <row r="651" ht="15.75" hidden="1" customHeight="1">
      <c r="H651" s="81"/>
      <c r="N651" s="85"/>
      <c r="O651" s="85"/>
      <c r="P651" s="86"/>
      <c r="V651" s="31"/>
      <c r="W651" s="31"/>
      <c r="X651" s="31"/>
      <c r="AD651" s="31"/>
      <c r="AE651" s="31"/>
      <c r="AF651" s="31"/>
    </row>
    <row r="652" ht="15.75" hidden="1" customHeight="1">
      <c r="H652" s="81"/>
      <c r="N652" s="85"/>
      <c r="O652" s="85"/>
      <c r="P652" s="86"/>
      <c r="V652" s="31"/>
      <c r="W652" s="31"/>
      <c r="X652" s="31"/>
      <c r="AD652" s="31"/>
      <c r="AE652" s="31"/>
      <c r="AF652" s="31"/>
    </row>
    <row r="653" ht="15.75" hidden="1" customHeight="1">
      <c r="H653" s="81"/>
      <c r="N653" s="85"/>
      <c r="O653" s="85"/>
      <c r="P653" s="86"/>
      <c r="V653" s="31"/>
      <c r="W653" s="31"/>
      <c r="X653" s="31"/>
      <c r="AD653" s="31"/>
      <c r="AE653" s="31"/>
      <c r="AF653" s="31"/>
    </row>
    <row r="654" ht="15.75" hidden="1" customHeight="1">
      <c r="H654" s="81"/>
      <c r="N654" s="85"/>
      <c r="O654" s="85"/>
      <c r="P654" s="86"/>
      <c r="V654" s="31"/>
      <c r="W654" s="31"/>
      <c r="X654" s="31"/>
      <c r="AD654" s="31"/>
      <c r="AE654" s="31"/>
      <c r="AF654" s="31"/>
    </row>
    <row r="655" ht="15.75" hidden="1" customHeight="1">
      <c r="H655" s="81"/>
      <c r="N655" s="85"/>
      <c r="O655" s="85"/>
      <c r="P655" s="86"/>
      <c r="V655" s="31"/>
      <c r="W655" s="31"/>
      <c r="X655" s="31"/>
      <c r="AD655" s="31"/>
      <c r="AE655" s="31"/>
      <c r="AF655" s="31"/>
    </row>
    <row r="656" ht="15.75" hidden="1" customHeight="1">
      <c r="H656" s="81"/>
      <c r="N656" s="85"/>
      <c r="O656" s="85"/>
      <c r="P656" s="86"/>
      <c r="V656" s="31"/>
      <c r="W656" s="31"/>
      <c r="X656" s="31"/>
      <c r="AD656" s="31"/>
      <c r="AE656" s="31"/>
      <c r="AF656" s="31"/>
    </row>
    <row r="657" ht="15.75" hidden="1" customHeight="1">
      <c r="H657" s="81"/>
      <c r="N657" s="85"/>
      <c r="O657" s="85"/>
      <c r="P657" s="86"/>
      <c r="V657" s="31"/>
      <c r="W657" s="31"/>
      <c r="X657" s="31"/>
      <c r="AD657" s="31"/>
      <c r="AE657" s="31"/>
      <c r="AF657" s="31"/>
    </row>
    <row r="658" ht="15.75" hidden="1" customHeight="1">
      <c r="H658" s="81"/>
      <c r="N658" s="85"/>
      <c r="O658" s="85"/>
      <c r="P658" s="86"/>
      <c r="V658" s="31"/>
      <c r="W658" s="31"/>
      <c r="X658" s="31"/>
      <c r="AD658" s="31"/>
      <c r="AE658" s="31"/>
      <c r="AF658" s="31"/>
    </row>
    <row r="659" ht="15.75" hidden="1" customHeight="1">
      <c r="H659" s="81"/>
      <c r="N659" s="85"/>
      <c r="O659" s="85"/>
      <c r="P659" s="86"/>
      <c r="V659" s="31"/>
      <c r="W659" s="31"/>
      <c r="X659" s="31"/>
      <c r="AD659" s="31"/>
      <c r="AE659" s="31"/>
      <c r="AF659" s="31"/>
    </row>
    <row r="660" ht="15.75" hidden="1" customHeight="1">
      <c r="H660" s="81"/>
      <c r="N660" s="85"/>
      <c r="O660" s="85"/>
      <c r="P660" s="86"/>
      <c r="V660" s="31"/>
      <c r="W660" s="31"/>
      <c r="X660" s="31"/>
      <c r="AD660" s="31"/>
      <c r="AE660" s="31"/>
      <c r="AF660" s="31"/>
    </row>
    <row r="661" ht="15.75" hidden="1" customHeight="1">
      <c r="H661" s="81"/>
      <c r="N661" s="85"/>
      <c r="O661" s="85"/>
      <c r="P661" s="86"/>
      <c r="V661" s="31"/>
      <c r="W661" s="31"/>
      <c r="X661" s="31"/>
      <c r="AD661" s="31"/>
      <c r="AE661" s="31"/>
      <c r="AF661" s="31"/>
    </row>
    <row r="662" ht="15.75" hidden="1" customHeight="1">
      <c r="H662" s="81"/>
      <c r="N662" s="85"/>
      <c r="O662" s="85"/>
      <c r="P662" s="86"/>
      <c r="V662" s="31"/>
      <c r="W662" s="31"/>
      <c r="X662" s="31"/>
      <c r="AD662" s="31"/>
      <c r="AE662" s="31"/>
      <c r="AF662" s="31"/>
    </row>
    <row r="663" ht="15.75" hidden="1" customHeight="1">
      <c r="H663" s="81"/>
      <c r="N663" s="85"/>
      <c r="O663" s="85"/>
      <c r="P663" s="86"/>
      <c r="V663" s="31"/>
      <c r="W663" s="31"/>
      <c r="X663" s="31"/>
      <c r="AD663" s="31"/>
      <c r="AE663" s="31"/>
      <c r="AF663" s="31"/>
    </row>
    <row r="664" ht="15.75" hidden="1" customHeight="1">
      <c r="H664" s="81"/>
      <c r="N664" s="85"/>
      <c r="O664" s="85"/>
      <c r="P664" s="86"/>
      <c r="V664" s="31"/>
      <c r="W664" s="31"/>
      <c r="X664" s="31"/>
      <c r="AD664" s="31"/>
      <c r="AE664" s="31"/>
      <c r="AF664" s="31"/>
    </row>
    <row r="665" ht="15.75" hidden="1" customHeight="1">
      <c r="H665" s="81"/>
      <c r="N665" s="85"/>
      <c r="O665" s="85"/>
      <c r="P665" s="86"/>
      <c r="V665" s="31"/>
      <c r="W665" s="31"/>
      <c r="X665" s="31"/>
      <c r="AD665" s="31"/>
      <c r="AE665" s="31"/>
      <c r="AF665" s="31"/>
    </row>
    <row r="666" ht="15.75" hidden="1" customHeight="1">
      <c r="H666" s="81"/>
      <c r="N666" s="85"/>
      <c r="O666" s="85"/>
      <c r="P666" s="86"/>
      <c r="V666" s="31"/>
      <c r="W666" s="31"/>
      <c r="X666" s="31"/>
      <c r="AD666" s="31"/>
      <c r="AE666" s="31"/>
      <c r="AF666" s="31"/>
    </row>
    <row r="667" ht="15.75" hidden="1" customHeight="1">
      <c r="H667" s="81"/>
      <c r="N667" s="85"/>
      <c r="O667" s="85"/>
      <c r="P667" s="86"/>
      <c r="V667" s="31"/>
      <c r="W667" s="31"/>
      <c r="X667" s="31"/>
      <c r="AD667" s="31"/>
      <c r="AE667" s="31"/>
      <c r="AF667" s="31"/>
    </row>
    <row r="668" ht="15.75" hidden="1" customHeight="1">
      <c r="H668" s="81"/>
      <c r="N668" s="85"/>
      <c r="O668" s="85"/>
      <c r="P668" s="86"/>
      <c r="V668" s="31"/>
      <c r="W668" s="31"/>
      <c r="X668" s="31"/>
      <c r="AD668" s="31"/>
      <c r="AE668" s="31"/>
      <c r="AF668" s="31"/>
    </row>
    <row r="669" ht="15.75" hidden="1" customHeight="1">
      <c r="H669" s="81"/>
      <c r="N669" s="85"/>
      <c r="O669" s="85"/>
      <c r="P669" s="86"/>
      <c r="V669" s="31"/>
      <c r="W669" s="31"/>
      <c r="X669" s="31"/>
      <c r="AD669" s="31"/>
      <c r="AE669" s="31"/>
      <c r="AF669" s="31"/>
    </row>
    <row r="670" ht="15.75" hidden="1" customHeight="1">
      <c r="H670" s="81"/>
      <c r="N670" s="85"/>
      <c r="O670" s="85"/>
      <c r="P670" s="86"/>
      <c r="V670" s="31"/>
      <c r="W670" s="31"/>
      <c r="X670" s="31"/>
      <c r="AD670" s="31"/>
      <c r="AE670" s="31"/>
      <c r="AF670" s="31"/>
    </row>
    <row r="671" ht="15.75" hidden="1" customHeight="1">
      <c r="H671" s="81"/>
      <c r="N671" s="85"/>
      <c r="O671" s="85"/>
      <c r="P671" s="86"/>
      <c r="V671" s="31"/>
      <c r="W671" s="31"/>
      <c r="X671" s="31"/>
      <c r="AD671" s="31"/>
      <c r="AE671" s="31"/>
      <c r="AF671" s="31"/>
    </row>
    <row r="672" ht="15.75" hidden="1" customHeight="1">
      <c r="H672" s="81"/>
      <c r="N672" s="85"/>
      <c r="O672" s="85"/>
      <c r="P672" s="86"/>
      <c r="V672" s="31"/>
      <c r="W672" s="31"/>
      <c r="X672" s="31"/>
      <c r="AD672" s="31"/>
      <c r="AE672" s="31"/>
      <c r="AF672" s="31"/>
    </row>
    <row r="673" ht="15.75" hidden="1" customHeight="1">
      <c r="H673" s="81"/>
      <c r="N673" s="85"/>
      <c r="O673" s="85"/>
      <c r="P673" s="86"/>
      <c r="V673" s="31"/>
      <c r="W673" s="31"/>
      <c r="X673" s="31"/>
      <c r="AD673" s="31"/>
      <c r="AE673" s="31"/>
      <c r="AF673" s="31"/>
    </row>
    <row r="674" ht="15.75" hidden="1" customHeight="1">
      <c r="H674" s="81"/>
      <c r="N674" s="85"/>
      <c r="O674" s="85"/>
      <c r="P674" s="86"/>
      <c r="V674" s="31"/>
      <c r="W674" s="31"/>
      <c r="X674" s="31"/>
      <c r="AD674" s="31"/>
      <c r="AE674" s="31"/>
      <c r="AF674" s="31"/>
    </row>
    <row r="675" ht="15.75" hidden="1" customHeight="1">
      <c r="H675" s="81"/>
      <c r="N675" s="85"/>
      <c r="O675" s="85"/>
      <c r="P675" s="86"/>
      <c r="V675" s="31"/>
      <c r="W675" s="31"/>
      <c r="X675" s="31"/>
      <c r="AD675" s="31"/>
      <c r="AE675" s="31"/>
      <c r="AF675" s="31"/>
    </row>
    <row r="676" ht="15.75" hidden="1" customHeight="1">
      <c r="H676" s="81"/>
      <c r="N676" s="85"/>
      <c r="O676" s="85"/>
      <c r="P676" s="86"/>
      <c r="V676" s="31"/>
      <c r="W676" s="31"/>
      <c r="X676" s="31"/>
      <c r="AD676" s="31"/>
      <c r="AE676" s="31"/>
      <c r="AF676" s="31"/>
    </row>
    <row r="677" ht="15.75" hidden="1" customHeight="1">
      <c r="H677" s="81"/>
      <c r="N677" s="85"/>
      <c r="O677" s="85"/>
      <c r="P677" s="86"/>
      <c r="V677" s="31"/>
      <c r="W677" s="31"/>
      <c r="X677" s="31"/>
      <c r="AD677" s="31"/>
      <c r="AE677" s="31"/>
      <c r="AF677" s="31"/>
    </row>
    <row r="678" ht="15.75" hidden="1" customHeight="1">
      <c r="H678" s="81"/>
      <c r="N678" s="85"/>
      <c r="O678" s="85"/>
      <c r="P678" s="86"/>
      <c r="V678" s="31"/>
      <c r="W678" s="31"/>
      <c r="X678" s="31"/>
      <c r="AD678" s="31"/>
      <c r="AE678" s="31"/>
      <c r="AF678" s="31"/>
    </row>
    <row r="679" ht="15.75" hidden="1" customHeight="1">
      <c r="H679" s="81"/>
      <c r="N679" s="85"/>
      <c r="O679" s="85"/>
      <c r="P679" s="86"/>
      <c r="V679" s="31"/>
      <c r="W679" s="31"/>
      <c r="X679" s="31"/>
      <c r="AD679" s="31"/>
      <c r="AE679" s="31"/>
      <c r="AF679" s="31"/>
    </row>
    <row r="680" ht="15.75" hidden="1" customHeight="1">
      <c r="H680" s="81"/>
      <c r="N680" s="85"/>
      <c r="O680" s="85"/>
      <c r="P680" s="86"/>
      <c r="V680" s="31"/>
      <c r="W680" s="31"/>
      <c r="X680" s="31"/>
      <c r="AD680" s="31"/>
      <c r="AE680" s="31"/>
      <c r="AF680" s="31"/>
    </row>
    <row r="681" ht="15.75" hidden="1" customHeight="1">
      <c r="H681" s="81"/>
      <c r="N681" s="85"/>
      <c r="O681" s="85"/>
      <c r="P681" s="86"/>
      <c r="V681" s="31"/>
      <c r="W681" s="31"/>
      <c r="X681" s="31"/>
      <c r="AD681" s="31"/>
      <c r="AE681" s="31"/>
      <c r="AF681" s="31"/>
    </row>
    <row r="682" ht="15.75" hidden="1" customHeight="1">
      <c r="H682" s="81"/>
      <c r="N682" s="85"/>
      <c r="O682" s="85"/>
      <c r="P682" s="86"/>
      <c r="V682" s="31"/>
      <c r="W682" s="31"/>
      <c r="X682" s="31"/>
      <c r="AD682" s="31"/>
      <c r="AE682" s="31"/>
      <c r="AF682" s="31"/>
    </row>
    <row r="683" ht="15.75" hidden="1" customHeight="1">
      <c r="H683" s="81"/>
      <c r="N683" s="85"/>
      <c r="O683" s="85"/>
      <c r="P683" s="86"/>
      <c r="V683" s="31"/>
      <c r="W683" s="31"/>
      <c r="X683" s="31"/>
      <c r="AD683" s="31"/>
      <c r="AE683" s="31"/>
      <c r="AF683" s="31"/>
    </row>
    <row r="684" ht="15.75" hidden="1" customHeight="1">
      <c r="H684" s="81"/>
      <c r="N684" s="85"/>
      <c r="O684" s="85"/>
      <c r="P684" s="86"/>
      <c r="V684" s="31"/>
      <c r="W684" s="31"/>
      <c r="X684" s="31"/>
      <c r="AD684" s="31"/>
      <c r="AE684" s="31"/>
      <c r="AF684" s="31"/>
    </row>
    <row r="685" ht="15.75" hidden="1" customHeight="1">
      <c r="H685" s="81"/>
      <c r="N685" s="85"/>
      <c r="O685" s="85"/>
      <c r="P685" s="86"/>
      <c r="V685" s="31"/>
      <c r="W685" s="31"/>
      <c r="X685" s="31"/>
      <c r="AD685" s="31"/>
      <c r="AE685" s="31"/>
      <c r="AF685" s="31"/>
    </row>
    <row r="686" ht="15.75" hidden="1" customHeight="1">
      <c r="H686" s="81"/>
      <c r="N686" s="85"/>
      <c r="O686" s="85"/>
      <c r="P686" s="86"/>
      <c r="V686" s="31"/>
      <c r="W686" s="31"/>
      <c r="X686" s="31"/>
      <c r="AD686" s="31"/>
      <c r="AE686" s="31"/>
      <c r="AF686" s="31"/>
    </row>
    <row r="687" ht="15.75" hidden="1" customHeight="1">
      <c r="H687" s="81"/>
      <c r="N687" s="85"/>
      <c r="O687" s="85"/>
      <c r="P687" s="86"/>
      <c r="V687" s="31"/>
      <c r="W687" s="31"/>
      <c r="X687" s="31"/>
      <c r="AD687" s="31"/>
      <c r="AE687" s="31"/>
      <c r="AF687" s="31"/>
    </row>
    <row r="688" ht="15.75" hidden="1" customHeight="1">
      <c r="H688" s="81"/>
      <c r="N688" s="85"/>
      <c r="O688" s="85"/>
      <c r="P688" s="86"/>
      <c r="V688" s="31"/>
      <c r="W688" s="31"/>
      <c r="X688" s="31"/>
      <c r="AD688" s="31"/>
      <c r="AE688" s="31"/>
      <c r="AF688" s="31"/>
    </row>
    <row r="689" ht="15.75" hidden="1" customHeight="1">
      <c r="H689" s="81"/>
      <c r="N689" s="85"/>
      <c r="O689" s="85"/>
      <c r="P689" s="86"/>
      <c r="V689" s="31"/>
      <c r="W689" s="31"/>
      <c r="X689" s="31"/>
      <c r="AD689" s="31"/>
      <c r="AE689" s="31"/>
      <c r="AF689" s="31"/>
    </row>
    <row r="690" ht="15.75" hidden="1" customHeight="1">
      <c r="H690" s="81"/>
      <c r="N690" s="85"/>
      <c r="O690" s="85"/>
      <c r="P690" s="86"/>
      <c r="V690" s="31"/>
      <c r="W690" s="31"/>
      <c r="X690" s="31"/>
      <c r="AD690" s="31"/>
      <c r="AE690" s="31"/>
      <c r="AF690" s="31"/>
    </row>
    <row r="691" ht="15.75" hidden="1" customHeight="1">
      <c r="H691" s="81"/>
      <c r="N691" s="85"/>
      <c r="O691" s="85"/>
      <c r="P691" s="86"/>
      <c r="V691" s="31"/>
      <c r="W691" s="31"/>
      <c r="X691" s="31"/>
      <c r="AD691" s="31"/>
      <c r="AE691" s="31"/>
      <c r="AF691" s="31"/>
    </row>
    <row r="692" ht="15.75" hidden="1" customHeight="1">
      <c r="H692" s="81"/>
      <c r="N692" s="85"/>
      <c r="O692" s="85"/>
      <c r="P692" s="86"/>
      <c r="V692" s="31"/>
      <c r="W692" s="31"/>
      <c r="X692" s="31"/>
      <c r="AD692" s="31"/>
      <c r="AE692" s="31"/>
      <c r="AF692" s="31"/>
    </row>
    <row r="693" ht="15.75" hidden="1" customHeight="1">
      <c r="H693" s="81"/>
      <c r="N693" s="85"/>
      <c r="O693" s="85"/>
      <c r="P693" s="86"/>
      <c r="V693" s="31"/>
      <c r="W693" s="31"/>
      <c r="X693" s="31"/>
      <c r="AD693" s="31"/>
      <c r="AE693" s="31"/>
      <c r="AF693" s="31"/>
    </row>
    <row r="694" ht="15.75" hidden="1" customHeight="1">
      <c r="H694" s="81"/>
      <c r="N694" s="85"/>
      <c r="O694" s="85"/>
      <c r="P694" s="86"/>
      <c r="V694" s="31"/>
      <c r="W694" s="31"/>
      <c r="X694" s="31"/>
      <c r="AD694" s="31"/>
      <c r="AE694" s="31"/>
      <c r="AF694" s="31"/>
    </row>
    <row r="695" ht="15.75" hidden="1" customHeight="1">
      <c r="H695" s="81"/>
      <c r="N695" s="85"/>
      <c r="O695" s="85"/>
      <c r="P695" s="86"/>
      <c r="V695" s="31"/>
      <c r="W695" s="31"/>
      <c r="X695" s="31"/>
      <c r="AD695" s="31"/>
      <c r="AE695" s="31"/>
      <c r="AF695" s="31"/>
    </row>
    <row r="696" ht="15.75" hidden="1" customHeight="1">
      <c r="H696" s="81"/>
      <c r="N696" s="85"/>
      <c r="O696" s="85"/>
      <c r="P696" s="86"/>
      <c r="V696" s="31"/>
      <c r="W696" s="31"/>
      <c r="X696" s="31"/>
      <c r="AD696" s="31"/>
      <c r="AE696" s="31"/>
      <c r="AF696" s="31"/>
    </row>
    <row r="697" ht="15.75" hidden="1" customHeight="1">
      <c r="H697" s="81"/>
      <c r="N697" s="85"/>
      <c r="O697" s="85"/>
      <c r="P697" s="86"/>
      <c r="V697" s="31"/>
      <c r="W697" s="31"/>
      <c r="X697" s="31"/>
      <c r="AD697" s="31"/>
      <c r="AE697" s="31"/>
      <c r="AF697" s="31"/>
    </row>
    <row r="698" ht="15.75" hidden="1" customHeight="1">
      <c r="H698" s="81"/>
      <c r="N698" s="85"/>
      <c r="O698" s="85"/>
      <c r="P698" s="86"/>
      <c r="V698" s="31"/>
      <c r="W698" s="31"/>
      <c r="X698" s="31"/>
      <c r="AD698" s="31"/>
      <c r="AE698" s="31"/>
      <c r="AF698" s="31"/>
    </row>
    <row r="699" ht="15.75" hidden="1" customHeight="1">
      <c r="H699" s="81"/>
      <c r="N699" s="85"/>
      <c r="O699" s="85"/>
      <c r="P699" s="86"/>
      <c r="V699" s="31"/>
      <c r="W699" s="31"/>
      <c r="X699" s="31"/>
      <c r="AD699" s="31"/>
      <c r="AE699" s="31"/>
      <c r="AF699" s="31"/>
    </row>
    <row r="700" ht="15.75" hidden="1" customHeight="1">
      <c r="H700" s="81"/>
      <c r="N700" s="85"/>
      <c r="O700" s="85"/>
      <c r="P700" s="86"/>
      <c r="V700" s="31"/>
      <c r="W700" s="31"/>
      <c r="X700" s="31"/>
      <c r="AD700" s="31"/>
      <c r="AE700" s="31"/>
      <c r="AF700" s="31"/>
    </row>
    <row r="701" ht="15.75" hidden="1" customHeight="1">
      <c r="H701" s="81"/>
      <c r="N701" s="85"/>
      <c r="O701" s="85"/>
      <c r="P701" s="86"/>
      <c r="V701" s="31"/>
      <c r="W701" s="31"/>
      <c r="X701" s="31"/>
      <c r="AD701" s="31"/>
      <c r="AE701" s="31"/>
      <c r="AF701" s="31"/>
    </row>
    <row r="702" ht="15.75" hidden="1" customHeight="1">
      <c r="H702" s="81"/>
      <c r="N702" s="85"/>
      <c r="O702" s="85"/>
      <c r="P702" s="86"/>
      <c r="V702" s="31"/>
      <c r="W702" s="31"/>
      <c r="X702" s="31"/>
      <c r="AD702" s="31"/>
      <c r="AE702" s="31"/>
      <c r="AF702" s="31"/>
    </row>
    <row r="703" ht="15.75" hidden="1" customHeight="1">
      <c r="H703" s="81"/>
      <c r="N703" s="85"/>
      <c r="O703" s="85"/>
      <c r="P703" s="86"/>
      <c r="V703" s="31"/>
      <c r="W703" s="31"/>
      <c r="X703" s="31"/>
      <c r="AD703" s="31"/>
      <c r="AE703" s="31"/>
      <c r="AF703" s="31"/>
    </row>
    <row r="704" ht="15.75" hidden="1" customHeight="1">
      <c r="H704" s="81"/>
      <c r="N704" s="85"/>
      <c r="O704" s="85"/>
      <c r="P704" s="86"/>
      <c r="V704" s="31"/>
      <c r="W704" s="31"/>
      <c r="X704" s="31"/>
      <c r="AD704" s="31"/>
      <c r="AE704" s="31"/>
      <c r="AF704" s="31"/>
    </row>
    <row r="705" ht="15.75" hidden="1" customHeight="1">
      <c r="H705" s="81"/>
      <c r="N705" s="85"/>
      <c r="O705" s="85"/>
      <c r="P705" s="86"/>
      <c r="V705" s="31"/>
      <c r="W705" s="31"/>
      <c r="X705" s="31"/>
      <c r="AD705" s="31"/>
      <c r="AE705" s="31"/>
      <c r="AF705" s="31"/>
    </row>
    <row r="706" ht="15.75" hidden="1" customHeight="1">
      <c r="H706" s="81"/>
      <c r="N706" s="85"/>
      <c r="O706" s="85"/>
      <c r="P706" s="86"/>
      <c r="V706" s="31"/>
      <c r="W706" s="31"/>
      <c r="X706" s="31"/>
      <c r="AD706" s="31"/>
      <c r="AE706" s="31"/>
      <c r="AF706" s="31"/>
    </row>
    <row r="707" ht="15.75" hidden="1" customHeight="1">
      <c r="H707" s="81"/>
      <c r="N707" s="85"/>
      <c r="O707" s="85"/>
      <c r="P707" s="86"/>
      <c r="V707" s="31"/>
      <c r="W707" s="31"/>
      <c r="X707" s="31"/>
      <c r="AD707" s="31"/>
      <c r="AE707" s="31"/>
      <c r="AF707" s="31"/>
    </row>
    <row r="708" ht="15.75" hidden="1" customHeight="1">
      <c r="H708" s="81"/>
      <c r="N708" s="85"/>
      <c r="O708" s="85"/>
      <c r="P708" s="86"/>
      <c r="V708" s="31"/>
      <c r="W708" s="31"/>
      <c r="X708" s="31"/>
      <c r="AD708" s="31"/>
      <c r="AE708" s="31"/>
      <c r="AF708" s="31"/>
    </row>
    <row r="709" ht="15.75" hidden="1" customHeight="1">
      <c r="H709" s="81"/>
      <c r="N709" s="85"/>
      <c r="O709" s="85"/>
      <c r="P709" s="86"/>
      <c r="V709" s="31"/>
      <c r="W709" s="31"/>
      <c r="X709" s="31"/>
      <c r="AD709" s="31"/>
      <c r="AE709" s="31"/>
      <c r="AF709" s="31"/>
    </row>
    <row r="710" ht="15.75" hidden="1" customHeight="1">
      <c r="H710" s="81"/>
      <c r="N710" s="85"/>
      <c r="O710" s="85"/>
      <c r="P710" s="86"/>
      <c r="V710" s="31"/>
      <c r="W710" s="31"/>
      <c r="X710" s="31"/>
      <c r="AD710" s="31"/>
      <c r="AE710" s="31"/>
      <c r="AF710" s="31"/>
    </row>
    <row r="711" ht="15.75" hidden="1" customHeight="1">
      <c r="H711" s="81"/>
      <c r="N711" s="85"/>
      <c r="O711" s="85"/>
      <c r="P711" s="86"/>
      <c r="V711" s="31"/>
      <c r="W711" s="31"/>
      <c r="X711" s="31"/>
      <c r="AD711" s="31"/>
      <c r="AE711" s="31"/>
      <c r="AF711" s="31"/>
    </row>
    <row r="712" ht="15.75" hidden="1" customHeight="1">
      <c r="H712" s="81"/>
      <c r="N712" s="85"/>
      <c r="O712" s="85"/>
      <c r="P712" s="86"/>
      <c r="V712" s="31"/>
      <c r="W712" s="31"/>
      <c r="X712" s="31"/>
      <c r="AD712" s="31"/>
      <c r="AE712" s="31"/>
      <c r="AF712" s="31"/>
    </row>
    <row r="713" ht="15.75" hidden="1" customHeight="1">
      <c r="H713" s="81"/>
      <c r="N713" s="85"/>
      <c r="O713" s="85"/>
      <c r="P713" s="86"/>
      <c r="V713" s="31"/>
      <c r="W713" s="31"/>
      <c r="X713" s="31"/>
      <c r="AD713" s="31"/>
      <c r="AE713" s="31"/>
      <c r="AF713" s="31"/>
    </row>
    <row r="714" ht="15.75" hidden="1" customHeight="1">
      <c r="H714" s="81"/>
      <c r="N714" s="85"/>
      <c r="O714" s="85"/>
      <c r="P714" s="86"/>
      <c r="V714" s="31"/>
      <c r="W714" s="31"/>
      <c r="X714" s="31"/>
      <c r="AD714" s="31"/>
      <c r="AE714" s="31"/>
      <c r="AF714" s="31"/>
    </row>
    <row r="715" ht="15.75" hidden="1" customHeight="1">
      <c r="H715" s="81"/>
      <c r="N715" s="85"/>
      <c r="O715" s="85"/>
      <c r="P715" s="86"/>
      <c r="V715" s="31"/>
      <c r="W715" s="31"/>
      <c r="X715" s="31"/>
      <c r="AD715" s="31"/>
      <c r="AE715" s="31"/>
      <c r="AF715" s="31"/>
    </row>
    <row r="716" ht="15.75" hidden="1" customHeight="1">
      <c r="H716" s="81"/>
      <c r="N716" s="85"/>
      <c r="O716" s="85"/>
      <c r="P716" s="86"/>
      <c r="V716" s="31"/>
      <c r="W716" s="31"/>
      <c r="X716" s="31"/>
      <c r="AD716" s="31"/>
      <c r="AE716" s="31"/>
      <c r="AF716" s="31"/>
    </row>
    <row r="717" ht="15.75" hidden="1" customHeight="1">
      <c r="H717" s="81"/>
      <c r="N717" s="85"/>
      <c r="O717" s="85"/>
      <c r="P717" s="86"/>
      <c r="V717" s="31"/>
      <c r="W717" s="31"/>
      <c r="X717" s="31"/>
      <c r="AD717" s="31"/>
      <c r="AE717" s="31"/>
      <c r="AF717" s="31"/>
    </row>
    <row r="718" ht="15.75" hidden="1" customHeight="1">
      <c r="H718" s="81"/>
      <c r="N718" s="85"/>
      <c r="O718" s="85"/>
      <c r="P718" s="86"/>
      <c r="V718" s="31"/>
      <c r="W718" s="31"/>
      <c r="X718" s="31"/>
      <c r="AD718" s="31"/>
      <c r="AE718" s="31"/>
      <c r="AF718" s="31"/>
    </row>
    <row r="719" ht="15.75" hidden="1" customHeight="1">
      <c r="H719" s="81"/>
      <c r="N719" s="85"/>
      <c r="O719" s="85"/>
      <c r="P719" s="86"/>
      <c r="V719" s="31"/>
      <c r="W719" s="31"/>
      <c r="X719" s="31"/>
      <c r="AD719" s="31"/>
      <c r="AE719" s="31"/>
      <c r="AF719" s="31"/>
    </row>
    <row r="720" ht="15.75" hidden="1" customHeight="1">
      <c r="H720" s="81"/>
      <c r="N720" s="85"/>
      <c r="O720" s="85"/>
      <c r="P720" s="86"/>
      <c r="V720" s="31"/>
      <c r="W720" s="31"/>
      <c r="X720" s="31"/>
      <c r="AD720" s="31"/>
      <c r="AE720" s="31"/>
      <c r="AF720" s="31"/>
    </row>
    <row r="721" ht="15.75" hidden="1" customHeight="1">
      <c r="H721" s="81"/>
      <c r="N721" s="85"/>
      <c r="O721" s="85"/>
      <c r="P721" s="86"/>
      <c r="V721" s="31"/>
      <c r="W721" s="31"/>
      <c r="X721" s="31"/>
      <c r="AD721" s="31"/>
      <c r="AE721" s="31"/>
      <c r="AF721" s="31"/>
    </row>
    <row r="722" ht="15.75" hidden="1" customHeight="1">
      <c r="H722" s="81"/>
      <c r="N722" s="85"/>
      <c r="O722" s="85"/>
      <c r="P722" s="86"/>
      <c r="V722" s="31"/>
      <c r="W722" s="31"/>
      <c r="X722" s="31"/>
      <c r="AD722" s="31"/>
      <c r="AE722" s="31"/>
      <c r="AF722" s="31"/>
    </row>
    <row r="723" ht="15.75" hidden="1" customHeight="1">
      <c r="H723" s="81"/>
      <c r="N723" s="85"/>
      <c r="O723" s="85"/>
      <c r="P723" s="86"/>
      <c r="V723" s="31"/>
      <c r="W723" s="31"/>
      <c r="X723" s="31"/>
      <c r="AD723" s="31"/>
      <c r="AE723" s="31"/>
      <c r="AF723" s="31"/>
    </row>
    <row r="724" ht="15.75" hidden="1" customHeight="1">
      <c r="H724" s="81"/>
      <c r="N724" s="85"/>
      <c r="O724" s="85"/>
      <c r="P724" s="86"/>
      <c r="V724" s="31"/>
      <c r="W724" s="31"/>
      <c r="X724" s="31"/>
      <c r="AD724" s="31"/>
      <c r="AE724" s="31"/>
      <c r="AF724" s="31"/>
    </row>
    <row r="725" ht="15.75" hidden="1" customHeight="1">
      <c r="H725" s="81"/>
      <c r="N725" s="85"/>
      <c r="O725" s="85"/>
      <c r="P725" s="86"/>
      <c r="V725" s="31"/>
      <c r="W725" s="31"/>
      <c r="X725" s="31"/>
      <c r="AD725" s="31"/>
      <c r="AE725" s="31"/>
      <c r="AF725" s="31"/>
    </row>
    <row r="726" ht="15.75" hidden="1" customHeight="1">
      <c r="H726" s="81"/>
      <c r="N726" s="85"/>
      <c r="O726" s="85"/>
      <c r="P726" s="86"/>
      <c r="V726" s="31"/>
      <c r="W726" s="31"/>
      <c r="X726" s="31"/>
      <c r="AD726" s="31"/>
      <c r="AE726" s="31"/>
      <c r="AF726" s="31"/>
    </row>
    <row r="727" ht="15.75" hidden="1" customHeight="1">
      <c r="H727" s="81"/>
      <c r="N727" s="85"/>
      <c r="O727" s="85"/>
      <c r="P727" s="86"/>
      <c r="V727" s="31"/>
      <c r="W727" s="31"/>
      <c r="X727" s="31"/>
      <c r="AD727" s="31"/>
      <c r="AE727" s="31"/>
      <c r="AF727" s="31"/>
    </row>
    <row r="728" ht="15.75" hidden="1" customHeight="1">
      <c r="H728" s="81"/>
      <c r="N728" s="85"/>
      <c r="O728" s="85"/>
      <c r="P728" s="86"/>
      <c r="V728" s="31"/>
      <c r="W728" s="31"/>
      <c r="X728" s="31"/>
      <c r="AD728" s="31"/>
      <c r="AE728" s="31"/>
      <c r="AF728" s="31"/>
    </row>
    <row r="729" ht="15.75" hidden="1" customHeight="1">
      <c r="H729" s="81"/>
      <c r="N729" s="85"/>
      <c r="O729" s="85"/>
      <c r="P729" s="86"/>
      <c r="V729" s="31"/>
      <c r="W729" s="31"/>
      <c r="X729" s="31"/>
      <c r="AD729" s="31"/>
      <c r="AE729" s="31"/>
      <c r="AF729" s="31"/>
    </row>
    <row r="730" ht="15.75" hidden="1" customHeight="1">
      <c r="H730" s="81"/>
      <c r="N730" s="85"/>
      <c r="O730" s="85"/>
      <c r="P730" s="86"/>
      <c r="V730" s="31"/>
      <c r="W730" s="31"/>
      <c r="X730" s="31"/>
      <c r="AD730" s="31"/>
      <c r="AE730" s="31"/>
      <c r="AF730" s="31"/>
    </row>
    <row r="731" ht="15.75" hidden="1" customHeight="1">
      <c r="H731" s="81"/>
      <c r="N731" s="85"/>
      <c r="O731" s="85"/>
      <c r="P731" s="86"/>
      <c r="V731" s="31"/>
      <c r="W731" s="31"/>
      <c r="X731" s="31"/>
      <c r="AD731" s="31"/>
      <c r="AE731" s="31"/>
      <c r="AF731" s="31"/>
    </row>
    <row r="732" ht="15.75" hidden="1" customHeight="1">
      <c r="H732" s="81"/>
      <c r="N732" s="85"/>
      <c r="O732" s="85"/>
      <c r="P732" s="86"/>
      <c r="V732" s="31"/>
      <c r="W732" s="31"/>
      <c r="X732" s="31"/>
      <c r="AD732" s="31"/>
      <c r="AE732" s="31"/>
      <c r="AF732" s="31"/>
    </row>
    <row r="733" ht="15.75" hidden="1" customHeight="1">
      <c r="H733" s="81"/>
      <c r="N733" s="85"/>
      <c r="O733" s="85"/>
      <c r="P733" s="86"/>
      <c r="V733" s="31"/>
      <c r="W733" s="31"/>
      <c r="X733" s="31"/>
      <c r="AD733" s="31"/>
      <c r="AE733" s="31"/>
      <c r="AF733" s="31"/>
    </row>
    <row r="734" ht="15.75" hidden="1" customHeight="1">
      <c r="H734" s="81"/>
      <c r="N734" s="85"/>
      <c r="O734" s="85"/>
      <c r="P734" s="86"/>
      <c r="V734" s="31"/>
      <c r="W734" s="31"/>
      <c r="X734" s="31"/>
      <c r="AD734" s="31"/>
      <c r="AE734" s="31"/>
      <c r="AF734" s="31"/>
    </row>
    <row r="735" ht="15.75" hidden="1" customHeight="1">
      <c r="H735" s="81"/>
      <c r="N735" s="85"/>
      <c r="O735" s="85"/>
      <c r="P735" s="86"/>
      <c r="V735" s="31"/>
      <c r="W735" s="31"/>
      <c r="X735" s="31"/>
      <c r="AD735" s="31"/>
      <c r="AE735" s="31"/>
      <c r="AF735" s="31"/>
    </row>
    <row r="736" ht="15.75" hidden="1" customHeight="1">
      <c r="H736" s="81"/>
      <c r="N736" s="85"/>
      <c r="O736" s="85"/>
      <c r="P736" s="86"/>
      <c r="V736" s="31"/>
      <c r="W736" s="31"/>
      <c r="X736" s="31"/>
      <c r="AD736" s="31"/>
      <c r="AE736" s="31"/>
      <c r="AF736" s="31"/>
    </row>
    <row r="737" ht="15.75" hidden="1" customHeight="1">
      <c r="H737" s="81"/>
      <c r="N737" s="85"/>
      <c r="O737" s="85"/>
      <c r="P737" s="86"/>
      <c r="V737" s="31"/>
      <c r="W737" s="31"/>
      <c r="X737" s="31"/>
      <c r="AD737" s="31"/>
      <c r="AE737" s="31"/>
      <c r="AF737" s="31"/>
    </row>
    <row r="738" ht="15.75" hidden="1" customHeight="1">
      <c r="H738" s="81"/>
      <c r="N738" s="85"/>
      <c r="O738" s="85"/>
      <c r="P738" s="86"/>
      <c r="V738" s="31"/>
      <c r="W738" s="31"/>
      <c r="X738" s="31"/>
      <c r="AD738" s="31"/>
      <c r="AE738" s="31"/>
      <c r="AF738" s="31"/>
    </row>
    <row r="739" ht="15.75" hidden="1" customHeight="1">
      <c r="H739" s="81"/>
      <c r="N739" s="85"/>
      <c r="O739" s="85"/>
      <c r="P739" s="86"/>
      <c r="V739" s="31"/>
      <c r="W739" s="31"/>
      <c r="X739" s="31"/>
      <c r="AD739" s="31"/>
      <c r="AE739" s="31"/>
      <c r="AF739" s="31"/>
    </row>
    <row r="740" ht="15.75" hidden="1" customHeight="1">
      <c r="H740" s="81"/>
      <c r="N740" s="85"/>
      <c r="O740" s="85"/>
      <c r="P740" s="86"/>
      <c r="V740" s="31"/>
      <c r="W740" s="31"/>
      <c r="X740" s="31"/>
      <c r="AD740" s="31"/>
      <c r="AE740" s="31"/>
      <c r="AF740" s="31"/>
    </row>
    <row r="741" ht="15.75" hidden="1" customHeight="1">
      <c r="H741" s="81"/>
      <c r="N741" s="85"/>
      <c r="O741" s="85"/>
      <c r="P741" s="86"/>
      <c r="V741" s="31"/>
      <c r="W741" s="31"/>
      <c r="X741" s="31"/>
      <c r="AD741" s="31"/>
      <c r="AE741" s="31"/>
      <c r="AF741" s="31"/>
    </row>
    <row r="742" ht="15.75" hidden="1" customHeight="1">
      <c r="H742" s="81"/>
      <c r="N742" s="85"/>
      <c r="O742" s="85"/>
      <c r="P742" s="86"/>
      <c r="V742" s="31"/>
      <c r="W742" s="31"/>
      <c r="X742" s="31"/>
      <c r="AD742" s="31"/>
      <c r="AE742" s="31"/>
      <c r="AF742" s="31"/>
    </row>
    <row r="743" ht="15.75" hidden="1" customHeight="1">
      <c r="H743" s="81"/>
      <c r="N743" s="85"/>
      <c r="O743" s="85"/>
      <c r="P743" s="86"/>
      <c r="V743" s="31"/>
      <c r="W743" s="31"/>
      <c r="X743" s="31"/>
      <c r="AD743" s="31"/>
      <c r="AE743" s="31"/>
      <c r="AF743" s="31"/>
    </row>
    <row r="744" ht="15.75" hidden="1" customHeight="1">
      <c r="H744" s="81"/>
      <c r="N744" s="85"/>
      <c r="O744" s="85"/>
      <c r="P744" s="86"/>
      <c r="V744" s="31"/>
      <c r="W744" s="31"/>
      <c r="X744" s="31"/>
      <c r="AD744" s="31"/>
      <c r="AE744" s="31"/>
      <c r="AF744" s="31"/>
    </row>
    <row r="745" ht="15.75" hidden="1" customHeight="1">
      <c r="H745" s="81"/>
      <c r="N745" s="85"/>
      <c r="O745" s="85"/>
      <c r="P745" s="86"/>
      <c r="V745" s="31"/>
      <c r="W745" s="31"/>
      <c r="X745" s="31"/>
      <c r="AD745" s="31"/>
      <c r="AE745" s="31"/>
      <c r="AF745" s="31"/>
    </row>
    <row r="746" ht="15.75" hidden="1" customHeight="1">
      <c r="H746" s="81"/>
      <c r="N746" s="85"/>
      <c r="O746" s="85"/>
      <c r="P746" s="86"/>
      <c r="V746" s="31"/>
      <c r="W746" s="31"/>
      <c r="X746" s="31"/>
      <c r="AD746" s="31"/>
      <c r="AE746" s="31"/>
      <c r="AF746" s="31"/>
    </row>
    <row r="747" ht="15.75" hidden="1" customHeight="1">
      <c r="H747" s="81"/>
      <c r="N747" s="85"/>
      <c r="O747" s="85"/>
      <c r="P747" s="86"/>
      <c r="V747" s="31"/>
      <c r="W747" s="31"/>
      <c r="X747" s="31"/>
      <c r="AD747" s="31"/>
      <c r="AE747" s="31"/>
      <c r="AF747" s="31"/>
    </row>
    <row r="748" ht="15.75" hidden="1" customHeight="1">
      <c r="H748" s="81"/>
      <c r="N748" s="85"/>
      <c r="O748" s="85"/>
      <c r="P748" s="86"/>
      <c r="V748" s="31"/>
      <c r="W748" s="31"/>
      <c r="X748" s="31"/>
      <c r="AD748" s="31"/>
      <c r="AE748" s="31"/>
      <c r="AF748" s="31"/>
    </row>
    <row r="749" ht="15.75" hidden="1" customHeight="1">
      <c r="H749" s="81"/>
      <c r="N749" s="85"/>
      <c r="O749" s="85"/>
      <c r="P749" s="86"/>
      <c r="V749" s="31"/>
      <c r="W749" s="31"/>
      <c r="X749" s="31"/>
      <c r="AD749" s="31"/>
      <c r="AE749" s="31"/>
      <c r="AF749" s="31"/>
    </row>
    <row r="750" ht="15.75" hidden="1" customHeight="1">
      <c r="H750" s="81"/>
      <c r="N750" s="85"/>
      <c r="O750" s="85"/>
      <c r="P750" s="86"/>
      <c r="V750" s="31"/>
      <c r="W750" s="31"/>
      <c r="X750" s="31"/>
      <c r="AD750" s="31"/>
      <c r="AE750" s="31"/>
      <c r="AF750" s="31"/>
    </row>
    <row r="751" ht="15.75" hidden="1" customHeight="1">
      <c r="H751" s="81"/>
      <c r="N751" s="85"/>
      <c r="O751" s="85"/>
      <c r="P751" s="86"/>
      <c r="V751" s="31"/>
      <c r="W751" s="31"/>
      <c r="X751" s="31"/>
      <c r="AD751" s="31"/>
      <c r="AE751" s="31"/>
      <c r="AF751" s="31"/>
    </row>
    <row r="752" ht="15.75" hidden="1" customHeight="1">
      <c r="H752" s="81"/>
      <c r="N752" s="85"/>
      <c r="O752" s="85"/>
      <c r="P752" s="86"/>
      <c r="V752" s="31"/>
      <c r="W752" s="31"/>
      <c r="X752" s="31"/>
      <c r="AD752" s="31"/>
      <c r="AE752" s="31"/>
      <c r="AF752" s="31"/>
    </row>
    <row r="753" ht="15.75" hidden="1" customHeight="1">
      <c r="H753" s="81"/>
      <c r="N753" s="85"/>
      <c r="O753" s="85"/>
      <c r="P753" s="86"/>
      <c r="V753" s="31"/>
      <c r="W753" s="31"/>
      <c r="X753" s="31"/>
      <c r="AD753" s="31"/>
      <c r="AE753" s="31"/>
      <c r="AF753" s="31"/>
    </row>
    <row r="754" ht="15.75" hidden="1" customHeight="1">
      <c r="H754" s="81"/>
      <c r="N754" s="85"/>
      <c r="O754" s="85"/>
      <c r="P754" s="86"/>
      <c r="V754" s="31"/>
      <c r="W754" s="31"/>
      <c r="X754" s="31"/>
      <c r="AD754" s="31"/>
      <c r="AE754" s="31"/>
      <c r="AF754" s="31"/>
    </row>
    <row r="755" ht="15.75" hidden="1" customHeight="1">
      <c r="H755" s="81"/>
      <c r="N755" s="85"/>
      <c r="O755" s="85"/>
      <c r="P755" s="86"/>
      <c r="V755" s="31"/>
      <c r="W755" s="31"/>
      <c r="X755" s="31"/>
      <c r="AD755" s="31"/>
      <c r="AE755" s="31"/>
      <c r="AF755" s="31"/>
    </row>
    <row r="756" ht="15.75" hidden="1" customHeight="1">
      <c r="H756" s="81"/>
      <c r="N756" s="85"/>
      <c r="O756" s="85"/>
      <c r="P756" s="86"/>
      <c r="V756" s="31"/>
      <c r="W756" s="31"/>
      <c r="X756" s="31"/>
      <c r="AD756" s="31"/>
      <c r="AE756" s="31"/>
      <c r="AF756" s="31"/>
    </row>
    <row r="757" ht="15.75" hidden="1" customHeight="1">
      <c r="H757" s="81"/>
      <c r="N757" s="85"/>
      <c r="O757" s="85"/>
      <c r="P757" s="86"/>
      <c r="V757" s="31"/>
      <c r="W757" s="31"/>
      <c r="X757" s="31"/>
      <c r="AD757" s="31"/>
      <c r="AE757" s="31"/>
      <c r="AF757" s="31"/>
    </row>
    <row r="758" ht="15.75" hidden="1" customHeight="1">
      <c r="H758" s="81"/>
      <c r="N758" s="85"/>
      <c r="O758" s="85"/>
      <c r="P758" s="86"/>
      <c r="V758" s="31"/>
      <c r="W758" s="31"/>
      <c r="X758" s="31"/>
      <c r="AD758" s="31"/>
      <c r="AE758" s="31"/>
      <c r="AF758" s="31"/>
    </row>
    <row r="759" ht="15.75" hidden="1" customHeight="1">
      <c r="H759" s="81"/>
      <c r="N759" s="85"/>
      <c r="O759" s="85"/>
      <c r="P759" s="86"/>
      <c r="V759" s="31"/>
      <c r="W759" s="31"/>
      <c r="X759" s="31"/>
      <c r="AD759" s="31"/>
      <c r="AE759" s="31"/>
      <c r="AF759" s="31"/>
    </row>
    <row r="760" ht="15.75" hidden="1" customHeight="1">
      <c r="H760" s="81"/>
      <c r="N760" s="85"/>
      <c r="O760" s="85"/>
      <c r="P760" s="86"/>
      <c r="V760" s="31"/>
      <c r="W760" s="31"/>
      <c r="X760" s="31"/>
      <c r="AD760" s="31"/>
      <c r="AE760" s="31"/>
      <c r="AF760" s="31"/>
    </row>
    <row r="761" ht="15.75" hidden="1" customHeight="1">
      <c r="H761" s="81"/>
      <c r="N761" s="85"/>
      <c r="O761" s="85"/>
      <c r="P761" s="86"/>
      <c r="V761" s="31"/>
      <c r="W761" s="31"/>
      <c r="X761" s="31"/>
      <c r="AD761" s="31"/>
      <c r="AE761" s="31"/>
      <c r="AF761" s="31"/>
    </row>
    <row r="762" ht="15.75" hidden="1" customHeight="1">
      <c r="H762" s="81"/>
      <c r="N762" s="85"/>
      <c r="O762" s="85"/>
      <c r="P762" s="86"/>
      <c r="V762" s="31"/>
      <c r="W762" s="31"/>
      <c r="X762" s="31"/>
      <c r="AD762" s="31"/>
      <c r="AE762" s="31"/>
      <c r="AF762" s="31"/>
    </row>
    <row r="763" ht="15.75" hidden="1" customHeight="1">
      <c r="H763" s="81"/>
      <c r="N763" s="85"/>
      <c r="O763" s="85"/>
      <c r="P763" s="86"/>
      <c r="V763" s="31"/>
      <c r="W763" s="31"/>
      <c r="X763" s="31"/>
      <c r="AD763" s="31"/>
      <c r="AE763" s="31"/>
      <c r="AF763" s="31"/>
    </row>
    <row r="764" ht="15.75" hidden="1" customHeight="1">
      <c r="H764" s="81"/>
      <c r="N764" s="85"/>
      <c r="O764" s="85"/>
      <c r="P764" s="86"/>
      <c r="V764" s="31"/>
      <c r="W764" s="31"/>
      <c r="X764" s="31"/>
      <c r="AD764" s="31"/>
      <c r="AE764" s="31"/>
      <c r="AF764" s="31"/>
    </row>
    <row r="765" ht="15.75" hidden="1" customHeight="1">
      <c r="H765" s="81"/>
      <c r="N765" s="85"/>
      <c r="O765" s="85"/>
      <c r="P765" s="86"/>
      <c r="V765" s="31"/>
      <c r="W765" s="31"/>
      <c r="X765" s="31"/>
      <c r="AD765" s="31"/>
      <c r="AE765" s="31"/>
      <c r="AF765" s="31"/>
    </row>
    <row r="766" ht="15.75" hidden="1" customHeight="1">
      <c r="H766" s="81"/>
      <c r="N766" s="85"/>
      <c r="O766" s="85"/>
      <c r="P766" s="86"/>
      <c r="V766" s="31"/>
      <c r="W766" s="31"/>
      <c r="X766" s="31"/>
      <c r="AD766" s="31"/>
      <c r="AE766" s="31"/>
      <c r="AF766" s="31"/>
    </row>
    <row r="767" ht="15.75" hidden="1" customHeight="1">
      <c r="H767" s="81"/>
      <c r="N767" s="85"/>
      <c r="O767" s="85"/>
      <c r="P767" s="86"/>
      <c r="V767" s="31"/>
      <c r="W767" s="31"/>
      <c r="X767" s="31"/>
      <c r="AD767" s="31"/>
      <c r="AE767" s="31"/>
      <c r="AF767" s="31"/>
    </row>
    <row r="768" ht="15.75" hidden="1" customHeight="1">
      <c r="H768" s="81"/>
      <c r="N768" s="85"/>
      <c r="O768" s="85"/>
      <c r="P768" s="86"/>
      <c r="V768" s="31"/>
      <c r="W768" s="31"/>
      <c r="X768" s="31"/>
      <c r="AD768" s="31"/>
      <c r="AE768" s="31"/>
      <c r="AF768" s="31"/>
    </row>
    <row r="769" ht="15.75" hidden="1" customHeight="1">
      <c r="H769" s="81"/>
      <c r="N769" s="85"/>
      <c r="O769" s="85"/>
      <c r="P769" s="86"/>
      <c r="V769" s="31"/>
      <c r="W769" s="31"/>
      <c r="X769" s="31"/>
      <c r="AD769" s="31"/>
      <c r="AE769" s="31"/>
      <c r="AF769" s="31"/>
    </row>
    <row r="770" ht="15.75" hidden="1" customHeight="1">
      <c r="H770" s="81"/>
      <c r="N770" s="85"/>
      <c r="O770" s="85"/>
      <c r="P770" s="86"/>
      <c r="V770" s="31"/>
      <c r="W770" s="31"/>
      <c r="X770" s="31"/>
      <c r="AD770" s="31"/>
      <c r="AE770" s="31"/>
      <c r="AF770" s="31"/>
    </row>
    <row r="771" ht="15.75" hidden="1" customHeight="1">
      <c r="H771" s="81"/>
      <c r="N771" s="85"/>
      <c r="O771" s="85"/>
      <c r="P771" s="86"/>
      <c r="V771" s="31"/>
      <c r="W771" s="31"/>
      <c r="X771" s="31"/>
      <c r="AD771" s="31"/>
      <c r="AE771" s="31"/>
      <c r="AF771" s="31"/>
    </row>
    <row r="772" ht="15.75" hidden="1" customHeight="1">
      <c r="H772" s="81"/>
      <c r="N772" s="85"/>
      <c r="O772" s="85"/>
      <c r="P772" s="86"/>
      <c r="V772" s="31"/>
      <c r="W772" s="31"/>
      <c r="X772" s="31"/>
      <c r="AD772" s="31"/>
      <c r="AE772" s="31"/>
      <c r="AF772" s="31"/>
    </row>
    <row r="773" ht="15.75" hidden="1" customHeight="1">
      <c r="H773" s="81"/>
      <c r="N773" s="85"/>
      <c r="O773" s="85"/>
      <c r="P773" s="86"/>
      <c r="V773" s="31"/>
      <c r="W773" s="31"/>
      <c r="X773" s="31"/>
      <c r="AD773" s="31"/>
      <c r="AE773" s="31"/>
      <c r="AF773" s="31"/>
    </row>
    <row r="774" ht="15.75" hidden="1" customHeight="1">
      <c r="H774" s="81"/>
      <c r="N774" s="85"/>
      <c r="O774" s="85"/>
      <c r="P774" s="86"/>
      <c r="V774" s="31"/>
      <c r="W774" s="31"/>
      <c r="X774" s="31"/>
      <c r="AD774" s="31"/>
      <c r="AE774" s="31"/>
      <c r="AF774" s="31"/>
    </row>
    <row r="775" ht="15.75" hidden="1" customHeight="1">
      <c r="H775" s="81"/>
      <c r="N775" s="85"/>
      <c r="O775" s="85"/>
      <c r="P775" s="86"/>
      <c r="V775" s="31"/>
      <c r="W775" s="31"/>
      <c r="X775" s="31"/>
      <c r="AD775" s="31"/>
      <c r="AE775" s="31"/>
      <c r="AF775" s="31"/>
    </row>
    <row r="776" ht="15.75" hidden="1" customHeight="1">
      <c r="H776" s="81"/>
      <c r="N776" s="85"/>
      <c r="O776" s="85"/>
      <c r="P776" s="86"/>
      <c r="V776" s="31"/>
      <c r="W776" s="31"/>
      <c r="X776" s="31"/>
      <c r="AD776" s="31"/>
      <c r="AE776" s="31"/>
      <c r="AF776" s="31"/>
    </row>
    <row r="777" ht="15.75" hidden="1" customHeight="1">
      <c r="H777" s="81"/>
      <c r="N777" s="85"/>
      <c r="O777" s="85"/>
      <c r="P777" s="86"/>
      <c r="V777" s="31"/>
      <c r="W777" s="31"/>
      <c r="X777" s="31"/>
      <c r="AD777" s="31"/>
      <c r="AE777" s="31"/>
      <c r="AF777" s="31"/>
    </row>
    <row r="778" ht="15.75" hidden="1" customHeight="1">
      <c r="H778" s="81"/>
      <c r="N778" s="85"/>
      <c r="O778" s="85"/>
      <c r="P778" s="86"/>
      <c r="V778" s="31"/>
      <c r="W778" s="31"/>
      <c r="X778" s="31"/>
      <c r="AD778" s="31"/>
      <c r="AE778" s="31"/>
      <c r="AF778" s="31"/>
    </row>
    <row r="779" ht="15.75" hidden="1" customHeight="1">
      <c r="H779" s="81"/>
      <c r="N779" s="85"/>
      <c r="O779" s="85"/>
      <c r="P779" s="86"/>
      <c r="V779" s="31"/>
      <c r="W779" s="31"/>
      <c r="X779" s="31"/>
      <c r="AD779" s="31"/>
      <c r="AE779" s="31"/>
      <c r="AF779" s="31"/>
    </row>
    <row r="780" ht="15.75" hidden="1" customHeight="1">
      <c r="H780" s="81"/>
      <c r="N780" s="85"/>
      <c r="O780" s="85"/>
      <c r="P780" s="86"/>
      <c r="V780" s="31"/>
      <c r="W780" s="31"/>
      <c r="X780" s="31"/>
      <c r="AD780" s="31"/>
      <c r="AE780" s="31"/>
      <c r="AF780" s="31"/>
    </row>
    <row r="781" ht="15.75" hidden="1" customHeight="1">
      <c r="H781" s="81"/>
      <c r="N781" s="85"/>
      <c r="O781" s="85"/>
      <c r="P781" s="86"/>
      <c r="V781" s="31"/>
      <c r="W781" s="31"/>
      <c r="X781" s="31"/>
      <c r="AD781" s="31"/>
      <c r="AE781" s="31"/>
      <c r="AF781" s="31"/>
    </row>
    <row r="782" ht="15.75" hidden="1" customHeight="1">
      <c r="H782" s="81"/>
      <c r="N782" s="85"/>
      <c r="O782" s="85"/>
      <c r="P782" s="86"/>
      <c r="V782" s="31"/>
      <c r="W782" s="31"/>
      <c r="X782" s="31"/>
      <c r="AD782" s="31"/>
      <c r="AE782" s="31"/>
      <c r="AF782" s="31"/>
    </row>
    <row r="783" ht="15.75" hidden="1" customHeight="1">
      <c r="H783" s="81"/>
      <c r="N783" s="85"/>
      <c r="O783" s="85"/>
      <c r="P783" s="86"/>
      <c r="V783" s="31"/>
      <c r="W783" s="31"/>
      <c r="X783" s="31"/>
      <c r="AD783" s="31"/>
      <c r="AE783" s="31"/>
      <c r="AF783" s="31"/>
    </row>
    <row r="784" ht="15.75" hidden="1" customHeight="1">
      <c r="H784" s="81"/>
      <c r="N784" s="85"/>
      <c r="O784" s="85"/>
      <c r="P784" s="86"/>
      <c r="V784" s="31"/>
      <c r="W784" s="31"/>
      <c r="X784" s="31"/>
      <c r="AD784" s="31"/>
      <c r="AE784" s="31"/>
      <c r="AF784" s="31"/>
    </row>
    <row r="785" ht="15.75" hidden="1" customHeight="1">
      <c r="H785" s="81"/>
      <c r="N785" s="85"/>
      <c r="O785" s="85"/>
      <c r="P785" s="86"/>
      <c r="V785" s="31"/>
      <c r="W785" s="31"/>
      <c r="X785" s="31"/>
      <c r="AD785" s="31"/>
      <c r="AE785" s="31"/>
      <c r="AF785" s="31"/>
    </row>
    <row r="786" ht="15.75" hidden="1" customHeight="1">
      <c r="H786" s="81"/>
      <c r="N786" s="85"/>
      <c r="O786" s="85"/>
      <c r="P786" s="86"/>
      <c r="V786" s="31"/>
      <c r="W786" s="31"/>
      <c r="X786" s="31"/>
      <c r="AD786" s="31"/>
      <c r="AE786" s="31"/>
      <c r="AF786" s="31"/>
    </row>
    <row r="787" ht="15.75" hidden="1" customHeight="1">
      <c r="H787" s="81"/>
      <c r="N787" s="85"/>
      <c r="O787" s="85"/>
      <c r="P787" s="86"/>
      <c r="V787" s="31"/>
      <c r="W787" s="31"/>
      <c r="X787" s="31"/>
      <c r="AD787" s="31"/>
      <c r="AE787" s="31"/>
      <c r="AF787" s="31"/>
    </row>
    <row r="788" ht="15.75" hidden="1" customHeight="1">
      <c r="H788" s="81"/>
      <c r="N788" s="85"/>
      <c r="O788" s="85"/>
      <c r="P788" s="86"/>
      <c r="V788" s="31"/>
      <c r="W788" s="31"/>
      <c r="X788" s="31"/>
      <c r="AD788" s="31"/>
      <c r="AE788" s="31"/>
      <c r="AF788" s="31"/>
    </row>
    <row r="789" ht="15.75" hidden="1" customHeight="1">
      <c r="H789" s="81"/>
      <c r="N789" s="85"/>
      <c r="O789" s="85"/>
      <c r="P789" s="86"/>
      <c r="V789" s="31"/>
      <c r="W789" s="31"/>
      <c r="X789" s="31"/>
      <c r="AD789" s="31"/>
      <c r="AE789" s="31"/>
      <c r="AF789" s="31"/>
    </row>
    <row r="790" ht="15.75" hidden="1" customHeight="1">
      <c r="H790" s="81"/>
      <c r="N790" s="85"/>
      <c r="O790" s="85"/>
      <c r="P790" s="86"/>
      <c r="V790" s="31"/>
      <c r="W790" s="31"/>
      <c r="X790" s="31"/>
      <c r="AD790" s="31"/>
      <c r="AE790" s="31"/>
      <c r="AF790" s="31"/>
    </row>
    <row r="791" ht="15.75" hidden="1" customHeight="1">
      <c r="H791" s="81"/>
      <c r="N791" s="85"/>
      <c r="O791" s="85"/>
      <c r="P791" s="86"/>
      <c r="V791" s="31"/>
      <c r="W791" s="31"/>
      <c r="X791" s="31"/>
      <c r="AD791" s="31"/>
      <c r="AE791" s="31"/>
      <c r="AF791" s="31"/>
    </row>
    <row r="792" ht="15.75" hidden="1" customHeight="1">
      <c r="H792" s="81"/>
      <c r="N792" s="85"/>
      <c r="O792" s="85"/>
      <c r="P792" s="86"/>
      <c r="V792" s="31"/>
      <c r="W792" s="31"/>
      <c r="X792" s="31"/>
      <c r="AD792" s="31"/>
      <c r="AE792" s="31"/>
      <c r="AF792" s="31"/>
    </row>
    <row r="793" ht="15.75" hidden="1" customHeight="1">
      <c r="H793" s="81"/>
      <c r="N793" s="85"/>
      <c r="O793" s="85"/>
      <c r="P793" s="86"/>
      <c r="V793" s="31"/>
      <c r="W793" s="31"/>
      <c r="X793" s="31"/>
      <c r="AD793" s="31"/>
      <c r="AE793" s="31"/>
      <c r="AF793" s="31"/>
    </row>
    <row r="794" ht="15.75" hidden="1" customHeight="1">
      <c r="H794" s="81"/>
      <c r="N794" s="85"/>
      <c r="O794" s="85"/>
      <c r="P794" s="86"/>
      <c r="V794" s="31"/>
      <c r="W794" s="31"/>
      <c r="X794" s="31"/>
      <c r="AD794" s="31"/>
      <c r="AE794" s="31"/>
      <c r="AF794" s="31"/>
    </row>
    <row r="795" ht="15.75" hidden="1" customHeight="1">
      <c r="H795" s="81"/>
      <c r="N795" s="85"/>
      <c r="O795" s="85"/>
      <c r="P795" s="86"/>
      <c r="V795" s="31"/>
      <c r="W795" s="31"/>
      <c r="X795" s="31"/>
      <c r="AD795" s="31"/>
      <c r="AE795" s="31"/>
      <c r="AF795" s="31"/>
    </row>
    <row r="796" ht="15.75" hidden="1" customHeight="1">
      <c r="H796" s="81"/>
      <c r="N796" s="85"/>
      <c r="O796" s="85"/>
      <c r="P796" s="86"/>
      <c r="V796" s="31"/>
      <c r="W796" s="31"/>
      <c r="X796" s="31"/>
      <c r="AD796" s="31"/>
      <c r="AE796" s="31"/>
      <c r="AF796" s="31"/>
    </row>
    <row r="797" ht="15.75" hidden="1" customHeight="1">
      <c r="H797" s="81"/>
      <c r="N797" s="85"/>
      <c r="O797" s="85"/>
      <c r="P797" s="86"/>
      <c r="V797" s="31"/>
      <c r="W797" s="31"/>
      <c r="X797" s="31"/>
      <c r="AD797" s="31"/>
      <c r="AE797" s="31"/>
      <c r="AF797" s="31"/>
    </row>
    <row r="798" ht="15.75" hidden="1" customHeight="1">
      <c r="H798" s="81"/>
      <c r="N798" s="85"/>
      <c r="O798" s="85"/>
      <c r="P798" s="86"/>
      <c r="V798" s="31"/>
      <c r="W798" s="31"/>
      <c r="X798" s="31"/>
      <c r="AD798" s="31"/>
      <c r="AE798" s="31"/>
      <c r="AF798" s="31"/>
    </row>
    <row r="799" ht="15.75" hidden="1" customHeight="1">
      <c r="H799" s="81"/>
      <c r="N799" s="85"/>
      <c r="O799" s="85"/>
      <c r="P799" s="86"/>
      <c r="V799" s="31"/>
      <c r="W799" s="31"/>
      <c r="X799" s="31"/>
      <c r="AD799" s="31"/>
      <c r="AE799" s="31"/>
      <c r="AF799" s="31"/>
    </row>
    <row r="800" ht="15.75" hidden="1" customHeight="1">
      <c r="H800" s="81"/>
      <c r="N800" s="85"/>
      <c r="O800" s="85"/>
      <c r="P800" s="86"/>
      <c r="V800" s="31"/>
      <c r="W800" s="31"/>
      <c r="X800" s="31"/>
      <c r="AD800" s="31"/>
      <c r="AE800" s="31"/>
      <c r="AF800" s="31"/>
    </row>
    <row r="801" ht="15.75" hidden="1" customHeight="1">
      <c r="H801" s="81"/>
      <c r="N801" s="85"/>
      <c r="O801" s="85"/>
      <c r="P801" s="86"/>
      <c r="V801" s="31"/>
      <c r="W801" s="31"/>
      <c r="X801" s="31"/>
      <c r="AD801" s="31"/>
      <c r="AE801" s="31"/>
      <c r="AF801" s="31"/>
    </row>
    <row r="802" ht="15.75" hidden="1" customHeight="1">
      <c r="H802" s="81"/>
      <c r="N802" s="85"/>
      <c r="O802" s="85"/>
      <c r="P802" s="86"/>
      <c r="V802" s="31"/>
      <c r="W802" s="31"/>
      <c r="X802" s="31"/>
      <c r="AD802" s="31"/>
      <c r="AE802" s="31"/>
      <c r="AF802" s="31"/>
    </row>
    <row r="803" ht="15.75" hidden="1" customHeight="1">
      <c r="H803" s="81"/>
      <c r="N803" s="85"/>
      <c r="O803" s="85"/>
      <c r="P803" s="86"/>
      <c r="V803" s="31"/>
      <c r="W803" s="31"/>
      <c r="X803" s="31"/>
      <c r="AD803" s="31"/>
      <c r="AE803" s="31"/>
      <c r="AF803" s="31"/>
    </row>
    <row r="804" ht="15.75" hidden="1" customHeight="1">
      <c r="H804" s="81"/>
      <c r="N804" s="85"/>
      <c r="O804" s="85"/>
      <c r="P804" s="86"/>
      <c r="V804" s="31"/>
      <c r="W804" s="31"/>
      <c r="X804" s="31"/>
      <c r="AD804" s="31"/>
      <c r="AE804" s="31"/>
      <c r="AF804" s="31"/>
    </row>
    <row r="805" ht="15.75" hidden="1" customHeight="1">
      <c r="H805" s="81"/>
      <c r="N805" s="85"/>
      <c r="O805" s="85"/>
      <c r="P805" s="86"/>
      <c r="V805" s="31"/>
      <c r="W805" s="31"/>
      <c r="X805" s="31"/>
      <c r="AD805" s="31"/>
      <c r="AE805" s="31"/>
      <c r="AF805" s="31"/>
    </row>
    <row r="806" ht="15.75" hidden="1" customHeight="1">
      <c r="H806" s="81"/>
      <c r="N806" s="85"/>
      <c r="O806" s="85"/>
      <c r="P806" s="86"/>
      <c r="V806" s="31"/>
      <c r="W806" s="31"/>
      <c r="X806" s="31"/>
      <c r="AD806" s="31"/>
      <c r="AE806" s="31"/>
      <c r="AF806" s="31"/>
    </row>
    <row r="807" ht="15.75" hidden="1" customHeight="1">
      <c r="H807" s="81"/>
      <c r="N807" s="85"/>
      <c r="O807" s="85"/>
      <c r="P807" s="86"/>
      <c r="V807" s="31"/>
      <c r="W807" s="31"/>
      <c r="X807" s="31"/>
      <c r="AD807" s="31"/>
      <c r="AE807" s="31"/>
      <c r="AF807" s="31"/>
    </row>
    <row r="808" ht="15.75" hidden="1" customHeight="1">
      <c r="H808" s="81"/>
      <c r="N808" s="85"/>
      <c r="O808" s="85"/>
      <c r="P808" s="86"/>
      <c r="V808" s="31"/>
      <c r="W808" s="31"/>
      <c r="X808" s="31"/>
      <c r="AD808" s="31"/>
      <c r="AE808" s="31"/>
      <c r="AF808" s="31"/>
    </row>
    <row r="809" ht="15.75" hidden="1" customHeight="1">
      <c r="H809" s="81"/>
      <c r="N809" s="85"/>
      <c r="O809" s="85"/>
      <c r="P809" s="86"/>
      <c r="V809" s="31"/>
      <c r="W809" s="31"/>
      <c r="X809" s="31"/>
      <c r="AD809" s="31"/>
      <c r="AE809" s="31"/>
      <c r="AF809" s="31"/>
    </row>
    <row r="810" ht="15.75" hidden="1" customHeight="1">
      <c r="H810" s="81"/>
      <c r="N810" s="85"/>
      <c r="O810" s="85"/>
      <c r="P810" s="86"/>
      <c r="V810" s="31"/>
      <c r="W810" s="31"/>
      <c r="X810" s="31"/>
      <c r="AD810" s="31"/>
      <c r="AE810" s="31"/>
      <c r="AF810" s="31"/>
    </row>
    <row r="811" ht="15.75" hidden="1" customHeight="1">
      <c r="H811" s="81"/>
      <c r="N811" s="85"/>
      <c r="O811" s="85"/>
      <c r="P811" s="86"/>
      <c r="V811" s="31"/>
      <c r="W811" s="31"/>
      <c r="X811" s="31"/>
      <c r="AD811" s="31"/>
      <c r="AE811" s="31"/>
      <c r="AF811" s="31"/>
    </row>
    <row r="812" ht="15.75" hidden="1" customHeight="1">
      <c r="H812" s="81"/>
      <c r="N812" s="85"/>
      <c r="O812" s="85"/>
      <c r="P812" s="86"/>
      <c r="V812" s="31"/>
      <c r="W812" s="31"/>
      <c r="X812" s="31"/>
      <c r="AD812" s="31"/>
      <c r="AE812" s="31"/>
      <c r="AF812" s="31"/>
    </row>
    <row r="813" ht="15.75" hidden="1" customHeight="1">
      <c r="H813" s="81"/>
      <c r="N813" s="85"/>
      <c r="O813" s="85"/>
      <c r="P813" s="86"/>
      <c r="V813" s="31"/>
      <c r="W813" s="31"/>
      <c r="X813" s="31"/>
      <c r="AD813" s="31"/>
      <c r="AE813" s="31"/>
      <c r="AF813" s="31"/>
    </row>
    <row r="814" ht="15.75" hidden="1" customHeight="1">
      <c r="H814" s="81"/>
      <c r="N814" s="85"/>
      <c r="O814" s="85"/>
      <c r="P814" s="86"/>
      <c r="V814" s="31"/>
      <c r="W814" s="31"/>
      <c r="X814" s="31"/>
      <c r="AD814" s="31"/>
      <c r="AE814" s="31"/>
      <c r="AF814" s="31"/>
    </row>
    <row r="815" ht="15.75" hidden="1" customHeight="1">
      <c r="H815" s="81"/>
      <c r="N815" s="85"/>
      <c r="O815" s="85"/>
      <c r="P815" s="86"/>
      <c r="V815" s="31"/>
      <c r="W815" s="31"/>
      <c r="X815" s="31"/>
      <c r="AD815" s="31"/>
      <c r="AE815" s="31"/>
      <c r="AF815" s="31"/>
    </row>
    <row r="816" ht="15.75" hidden="1" customHeight="1">
      <c r="H816" s="81"/>
      <c r="N816" s="85"/>
      <c r="O816" s="85"/>
      <c r="P816" s="86"/>
      <c r="V816" s="31"/>
      <c r="W816" s="31"/>
      <c r="X816" s="31"/>
      <c r="AD816" s="31"/>
      <c r="AE816" s="31"/>
      <c r="AF816" s="31"/>
    </row>
    <row r="817" ht="15.75" hidden="1" customHeight="1">
      <c r="H817" s="81"/>
      <c r="N817" s="85"/>
      <c r="O817" s="85"/>
      <c r="P817" s="86"/>
      <c r="V817" s="31"/>
      <c r="W817" s="31"/>
      <c r="X817" s="31"/>
      <c r="AD817" s="31"/>
      <c r="AE817" s="31"/>
      <c r="AF817" s="31"/>
    </row>
    <row r="818" ht="15.75" hidden="1" customHeight="1">
      <c r="H818" s="81"/>
      <c r="N818" s="85"/>
      <c r="O818" s="85"/>
      <c r="P818" s="86"/>
      <c r="V818" s="31"/>
      <c r="W818" s="31"/>
      <c r="X818" s="31"/>
      <c r="AD818" s="31"/>
      <c r="AE818" s="31"/>
      <c r="AF818" s="31"/>
    </row>
    <row r="819" ht="15.75" hidden="1" customHeight="1">
      <c r="H819" s="81"/>
      <c r="N819" s="85"/>
      <c r="O819" s="85"/>
      <c r="P819" s="86"/>
      <c r="V819" s="31"/>
      <c r="W819" s="31"/>
      <c r="X819" s="31"/>
      <c r="AD819" s="31"/>
      <c r="AE819" s="31"/>
      <c r="AF819" s="31"/>
    </row>
    <row r="820" ht="15.75" hidden="1" customHeight="1">
      <c r="H820" s="81"/>
      <c r="N820" s="85"/>
      <c r="O820" s="85"/>
      <c r="P820" s="86"/>
      <c r="V820" s="31"/>
      <c r="W820" s="31"/>
      <c r="X820" s="31"/>
      <c r="AD820" s="31"/>
      <c r="AE820" s="31"/>
      <c r="AF820" s="31"/>
    </row>
    <row r="821" ht="15.75" hidden="1" customHeight="1">
      <c r="H821" s="81"/>
      <c r="N821" s="85"/>
      <c r="O821" s="85"/>
      <c r="P821" s="86"/>
      <c r="V821" s="31"/>
      <c r="W821" s="31"/>
      <c r="X821" s="31"/>
      <c r="AD821" s="31"/>
      <c r="AE821" s="31"/>
      <c r="AF821" s="31"/>
    </row>
    <row r="822" ht="15.75" hidden="1" customHeight="1">
      <c r="H822" s="81"/>
      <c r="N822" s="85"/>
      <c r="O822" s="85"/>
      <c r="P822" s="86"/>
      <c r="V822" s="31"/>
      <c r="W822" s="31"/>
      <c r="X822" s="31"/>
      <c r="AD822" s="31"/>
      <c r="AE822" s="31"/>
      <c r="AF822" s="31"/>
    </row>
    <row r="823" ht="15.75" hidden="1" customHeight="1">
      <c r="H823" s="81"/>
      <c r="N823" s="85"/>
      <c r="O823" s="85"/>
      <c r="P823" s="86"/>
      <c r="V823" s="31"/>
      <c r="W823" s="31"/>
      <c r="X823" s="31"/>
      <c r="AD823" s="31"/>
      <c r="AE823" s="31"/>
      <c r="AF823" s="31"/>
    </row>
    <row r="824" ht="15.75" hidden="1" customHeight="1">
      <c r="H824" s="81"/>
      <c r="N824" s="85"/>
      <c r="O824" s="85"/>
      <c r="P824" s="86"/>
      <c r="V824" s="31"/>
      <c r="W824" s="31"/>
      <c r="X824" s="31"/>
      <c r="AD824" s="31"/>
      <c r="AE824" s="31"/>
      <c r="AF824" s="31"/>
    </row>
    <row r="825" ht="15.75" hidden="1" customHeight="1">
      <c r="H825" s="81"/>
      <c r="N825" s="85"/>
      <c r="O825" s="85"/>
      <c r="P825" s="86"/>
      <c r="V825" s="31"/>
      <c r="W825" s="31"/>
      <c r="X825" s="31"/>
      <c r="AD825" s="31"/>
      <c r="AE825" s="31"/>
      <c r="AF825" s="31"/>
    </row>
    <row r="826" ht="15.75" hidden="1" customHeight="1">
      <c r="H826" s="81"/>
      <c r="N826" s="85"/>
      <c r="O826" s="85"/>
      <c r="P826" s="86"/>
      <c r="V826" s="31"/>
      <c r="W826" s="31"/>
      <c r="X826" s="31"/>
      <c r="AD826" s="31"/>
      <c r="AE826" s="31"/>
      <c r="AF826" s="31"/>
    </row>
    <row r="827" ht="15.75" hidden="1" customHeight="1">
      <c r="H827" s="81"/>
      <c r="N827" s="85"/>
      <c r="O827" s="85"/>
      <c r="P827" s="86"/>
      <c r="V827" s="31"/>
      <c r="W827" s="31"/>
      <c r="X827" s="31"/>
      <c r="AD827" s="31"/>
      <c r="AE827" s="31"/>
      <c r="AF827" s="31"/>
    </row>
    <row r="828" ht="15.75" hidden="1" customHeight="1">
      <c r="H828" s="81"/>
      <c r="N828" s="85"/>
      <c r="O828" s="85"/>
      <c r="P828" s="86"/>
      <c r="V828" s="31"/>
      <c r="W828" s="31"/>
      <c r="X828" s="31"/>
      <c r="AD828" s="31"/>
      <c r="AE828" s="31"/>
      <c r="AF828" s="31"/>
    </row>
    <row r="829" ht="15.75" hidden="1" customHeight="1">
      <c r="H829" s="81"/>
      <c r="N829" s="85"/>
      <c r="O829" s="85"/>
      <c r="P829" s="86"/>
      <c r="V829" s="31"/>
      <c r="W829" s="31"/>
      <c r="X829" s="31"/>
      <c r="AD829" s="31"/>
      <c r="AE829" s="31"/>
      <c r="AF829" s="31"/>
    </row>
    <row r="830" ht="15.75" hidden="1" customHeight="1">
      <c r="H830" s="81"/>
      <c r="N830" s="85"/>
      <c r="O830" s="85"/>
      <c r="P830" s="86"/>
      <c r="V830" s="31"/>
      <c r="W830" s="31"/>
      <c r="X830" s="31"/>
      <c r="AD830" s="31"/>
      <c r="AE830" s="31"/>
      <c r="AF830" s="31"/>
    </row>
    <row r="831" ht="15.75" hidden="1" customHeight="1">
      <c r="H831" s="81"/>
      <c r="N831" s="85"/>
      <c r="O831" s="85"/>
      <c r="P831" s="86"/>
      <c r="V831" s="31"/>
      <c r="W831" s="31"/>
      <c r="X831" s="31"/>
      <c r="AD831" s="31"/>
      <c r="AE831" s="31"/>
      <c r="AF831" s="31"/>
    </row>
    <row r="832" ht="15.75" hidden="1" customHeight="1">
      <c r="H832" s="81"/>
      <c r="N832" s="85"/>
      <c r="O832" s="85"/>
      <c r="P832" s="86"/>
      <c r="V832" s="31"/>
      <c r="W832" s="31"/>
      <c r="X832" s="31"/>
      <c r="AD832" s="31"/>
      <c r="AE832" s="31"/>
      <c r="AF832" s="31"/>
    </row>
    <row r="833" ht="15.75" hidden="1" customHeight="1">
      <c r="H833" s="81"/>
      <c r="N833" s="85"/>
      <c r="O833" s="85"/>
      <c r="P833" s="86"/>
      <c r="V833" s="31"/>
      <c r="W833" s="31"/>
      <c r="X833" s="31"/>
      <c r="AD833" s="31"/>
      <c r="AE833" s="31"/>
      <c r="AF833" s="31"/>
    </row>
    <row r="834" ht="15.75" hidden="1" customHeight="1">
      <c r="H834" s="81"/>
      <c r="N834" s="85"/>
      <c r="O834" s="85"/>
      <c r="P834" s="86"/>
      <c r="V834" s="31"/>
      <c r="W834" s="31"/>
      <c r="X834" s="31"/>
      <c r="AD834" s="31"/>
      <c r="AE834" s="31"/>
      <c r="AF834" s="31"/>
    </row>
    <row r="835" ht="15.75" hidden="1" customHeight="1">
      <c r="H835" s="81"/>
      <c r="N835" s="85"/>
      <c r="O835" s="85"/>
      <c r="P835" s="86"/>
      <c r="V835" s="31"/>
      <c r="W835" s="31"/>
      <c r="X835" s="31"/>
      <c r="AD835" s="31"/>
      <c r="AE835" s="31"/>
      <c r="AF835" s="31"/>
    </row>
    <row r="836" ht="15.75" hidden="1" customHeight="1">
      <c r="H836" s="81"/>
      <c r="N836" s="85"/>
      <c r="O836" s="85"/>
      <c r="P836" s="86"/>
      <c r="V836" s="31"/>
      <c r="W836" s="31"/>
      <c r="X836" s="31"/>
      <c r="AD836" s="31"/>
      <c r="AE836" s="31"/>
      <c r="AF836" s="31"/>
    </row>
    <row r="837" ht="15.75" hidden="1" customHeight="1">
      <c r="H837" s="81"/>
      <c r="N837" s="85"/>
      <c r="O837" s="85"/>
      <c r="P837" s="86"/>
      <c r="V837" s="31"/>
      <c r="W837" s="31"/>
      <c r="X837" s="31"/>
      <c r="AD837" s="31"/>
      <c r="AE837" s="31"/>
      <c r="AF837" s="31"/>
    </row>
    <row r="838" ht="15.75" hidden="1" customHeight="1">
      <c r="H838" s="81"/>
      <c r="N838" s="85"/>
      <c r="O838" s="85"/>
      <c r="P838" s="86"/>
      <c r="V838" s="31"/>
      <c r="W838" s="31"/>
      <c r="X838" s="31"/>
      <c r="AD838" s="31"/>
      <c r="AE838" s="31"/>
      <c r="AF838" s="31"/>
    </row>
    <row r="839" ht="15.75" hidden="1" customHeight="1">
      <c r="H839" s="81"/>
      <c r="N839" s="85"/>
      <c r="O839" s="85"/>
      <c r="P839" s="86"/>
      <c r="V839" s="31"/>
      <c r="W839" s="31"/>
      <c r="X839" s="31"/>
      <c r="AD839" s="31"/>
      <c r="AE839" s="31"/>
      <c r="AF839" s="31"/>
    </row>
    <row r="840" ht="15.75" hidden="1" customHeight="1">
      <c r="H840" s="81"/>
      <c r="N840" s="85"/>
      <c r="O840" s="85"/>
      <c r="P840" s="86"/>
      <c r="V840" s="31"/>
      <c r="W840" s="31"/>
      <c r="X840" s="31"/>
      <c r="AD840" s="31"/>
      <c r="AE840" s="31"/>
      <c r="AF840" s="31"/>
    </row>
    <row r="841" ht="15.75" hidden="1" customHeight="1">
      <c r="H841" s="81"/>
      <c r="N841" s="85"/>
      <c r="O841" s="85"/>
      <c r="P841" s="86"/>
      <c r="V841" s="31"/>
      <c r="W841" s="31"/>
      <c r="X841" s="31"/>
      <c r="AD841" s="31"/>
      <c r="AE841" s="31"/>
      <c r="AF841" s="31"/>
    </row>
    <row r="842" ht="15.75" hidden="1" customHeight="1">
      <c r="H842" s="81"/>
      <c r="N842" s="85"/>
      <c r="O842" s="85"/>
      <c r="P842" s="86"/>
      <c r="V842" s="31"/>
      <c r="W842" s="31"/>
      <c r="X842" s="31"/>
      <c r="AD842" s="31"/>
      <c r="AE842" s="31"/>
      <c r="AF842" s="31"/>
    </row>
    <row r="843" ht="15.75" hidden="1" customHeight="1">
      <c r="H843" s="81"/>
      <c r="N843" s="85"/>
      <c r="O843" s="85"/>
      <c r="P843" s="86"/>
      <c r="V843" s="31"/>
      <c r="W843" s="31"/>
      <c r="X843" s="31"/>
      <c r="AD843" s="31"/>
      <c r="AE843" s="31"/>
      <c r="AF843" s="31"/>
    </row>
    <row r="844" ht="15.75" hidden="1" customHeight="1">
      <c r="H844" s="81"/>
      <c r="N844" s="85"/>
      <c r="O844" s="85"/>
      <c r="P844" s="86"/>
      <c r="V844" s="31"/>
      <c r="W844" s="31"/>
      <c r="X844" s="31"/>
      <c r="AD844" s="31"/>
      <c r="AE844" s="31"/>
      <c r="AF844" s="31"/>
    </row>
    <row r="845" ht="15.75" hidden="1" customHeight="1">
      <c r="H845" s="81"/>
      <c r="N845" s="85"/>
      <c r="O845" s="85"/>
      <c r="P845" s="86"/>
      <c r="V845" s="31"/>
      <c r="W845" s="31"/>
      <c r="X845" s="31"/>
      <c r="AD845" s="31"/>
      <c r="AE845" s="31"/>
      <c r="AF845" s="31"/>
    </row>
    <row r="846" ht="15.75" hidden="1" customHeight="1">
      <c r="H846" s="81"/>
      <c r="N846" s="85"/>
      <c r="O846" s="85"/>
      <c r="P846" s="86"/>
      <c r="V846" s="31"/>
      <c r="W846" s="31"/>
      <c r="X846" s="31"/>
      <c r="AD846" s="31"/>
      <c r="AE846" s="31"/>
      <c r="AF846" s="31"/>
    </row>
    <row r="847" ht="15.75" hidden="1" customHeight="1">
      <c r="H847" s="81"/>
      <c r="N847" s="85"/>
      <c r="O847" s="85"/>
      <c r="P847" s="86"/>
      <c r="V847" s="31"/>
      <c r="W847" s="31"/>
      <c r="X847" s="31"/>
      <c r="AD847" s="31"/>
      <c r="AE847" s="31"/>
      <c r="AF847" s="31"/>
    </row>
    <row r="848" ht="15.75" hidden="1" customHeight="1">
      <c r="H848" s="81"/>
      <c r="N848" s="85"/>
      <c r="O848" s="85"/>
      <c r="P848" s="86"/>
      <c r="V848" s="31"/>
      <c r="W848" s="31"/>
      <c r="X848" s="31"/>
      <c r="AD848" s="31"/>
      <c r="AE848" s="31"/>
      <c r="AF848" s="31"/>
    </row>
    <row r="849" ht="15.75" hidden="1" customHeight="1">
      <c r="H849" s="81"/>
      <c r="N849" s="85"/>
      <c r="O849" s="85"/>
      <c r="P849" s="86"/>
      <c r="V849" s="31"/>
      <c r="W849" s="31"/>
      <c r="X849" s="31"/>
      <c r="AD849" s="31"/>
      <c r="AE849" s="31"/>
      <c r="AF849" s="31"/>
    </row>
    <row r="850" ht="15.75" hidden="1" customHeight="1">
      <c r="H850" s="81"/>
      <c r="N850" s="85"/>
      <c r="O850" s="85"/>
      <c r="P850" s="86"/>
      <c r="V850" s="31"/>
      <c r="W850" s="31"/>
      <c r="X850" s="31"/>
      <c r="AD850" s="31"/>
      <c r="AE850" s="31"/>
      <c r="AF850" s="31"/>
    </row>
    <row r="851" ht="15.75" hidden="1" customHeight="1">
      <c r="H851" s="81"/>
      <c r="N851" s="85"/>
      <c r="O851" s="85"/>
      <c r="P851" s="86"/>
      <c r="V851" s="31"/>
      <c r="W851" s="31"/>
      <c r="X851" s="31"/>
      <c r="AD851" s="31"/>
      <c r="AE851" s="31"/>
      <c r="AF851" s="31"/>
    </row>
    <row r="852" ht="15.75" hidden="1" customHeight="1">
      <c r="H852" s="81"/>
      <c r="N852" s="85"/>
      <c r="O852" s="85"/>
      <c r="P852" s="86"/>
      <c r="V852" s="31"/>
      <c r="W852" s="31"/>
      <c r="X852" s="31"/>
      <c r="AD852" s="31"/>
      <c r="AE852" s="31"/>
      <c r="AF852" s="31"/>
    </row>
    <row r="853" ht="15.75" hidden="1" customHeight="1">
      <c r="H853" s="81"/>
      <c r="N853" s="85"/>
      <c r="O853" s="85"/>
      <c r="P853" s="86"/>
      <c r="V853" s="31"/>
      <c r="W853" s="31"/>
      <c r="X853" s="31"/>
      <c r="AD853" s="31"/>
      <c r="AE853" s="31"/>
      <c r="AF853" s="31"/>
    </row>
    <row r="854" ht="15.75" hidden="1" customHeight="1">
      <c r="H854" s="81"/>
      <c r="N854" s="85"/>
      <c r="O854" s="85"/>
      <c r="P854" s="86"/>
      <c r="V854" s="31"/>
      <c r="W854" s="31"/>
      <c r="X854" s="31"/>
      <c r="AD854" s="31"/>
      <c r="AE854" s="31"/>
      <c r="AF854" s="31"/>
    </row>
    <row r="855" ht="15.75" hidden="1" customHeight="1">
      <c r="H855" s="81"/>
      <c r="N855" s="85"/>
      <c r="O855" s="85"/>
      <c r="P855" s="86"/>
      <c r="V855" s="31"/>
      <c r="W855" s="31"/>
      <c r="X855" s="31"/>
      <c r="AD855" s="31"/>
      <c r="AE855" s="31"/>
      <c r="AF855" s="31"/>
    </row>
    <row r="856" ht="15.75" hidden="1" customHeight="1">
      <c r="H856" s="81"/>
      <c r="N856" s="85"/>
      <c r="O856" s="85"/>
      <c r="P856" s="86"/>
      <c r="V856" s="31"/>
      <c r="W856" s="31"/>
      <c r="X856" s="31"/>
      <c r="AD856" s="31"/>
      <c r="AE856" s="31"/>
      <c r="AF856" s="31"/>
    </row>
    <row r="857" ht="15.75" hidden="1" customHeight="1">
      <c r="H857" s="81"/>
      <c r="N857" s="85"/>
      <c r="O857" s="85"/>
      <c r="P857" s="86"/>
      <c r="V857" s="31"/>
      <c r="W857" s="31"/>
      <c r="X857" s="31"/>
      <c r="AD857" s="31"/>
      <c r="AE857" s="31"/>
      <c r="AF857" s="31"/>
    </row>
    <row r="858" ht="15.75" hidden="1" customHeight="1">
      <c r="H858" s="81"/>
      <c r="N858" s="85"/>
      <c r="O858" s="85"/>
      <c r="P858" s="86"/>
      <c r="V858" s="31"/>
      <c r="W858" s="31"/>
      <c r="X858" s="31"/>
      <c r="AD858" s="31"/>
      <c r="AE858" s="31"/>
      <c r="AF858" s="31"/>
    </row>
    <row r="859" ht="15.75" hidden="1" customHeight="1">
      <c r="H859" s="81"/>
      <c r="N859" s="85"/>
      <c r="O859" s="85"/>
      <c r="P859" s="86"/>
      <c r="V859" s="31"/>
      <c r="W859" s="31"/>
      <c r="X859" s="31"/>
      <c r="AD859" s="31"/>
      <c r="AE859" s="31"/>
      <c r="AF859" s="31"/>
    </row>
    <row r="860" ht="15.75" hidden="1" customHeight="1">
      <c r="H860" s="81"/>
      <c r="N860" s="85"/>
      <c r="O860" s="85"/>
      <c r="P860" s="86"/>
      <c r="V860" s="31"/>
      <c r="W860" s="31"/>
      <c r="X860" s="31"/>
      <c r="AD860" s="31"/>
      <c r="AE860" s="31"/>
      <c r="AF860" s="31"/>
    </row>
    <row r="861" ht="15.75" hidden="1" customHeight="1">
      <c r="H861" s="81"/>
      <c r="N861" s="85"/>
      <c r="O861" s="85"/>
      <c r="P861" s="86"/>
      <c r="V861" s="31"/>
      <c r="W861" s="31"/>
      <c r="X861" s="31"/>
      <c r="AD861" s="31"/>
      <c r="AE861" s="31"/>
      <c r="AF861" s="31"/>
    </row>
    <row r="862" ht="15.75" hidden="1" customHeight="1">
      <c r="H862" s="81"/>
      <c r="N862" s="85"/>
      <c r="O862" s="85"/>
      <c r="P862" s="86"/>
      <c r="V862" s="31"/>
      <c r="W862" s="31"/>
      <c r="X862" s="31"/>
      <c r="AD862" s="31"/>
      <c r="AE862" s="31"/>
      <c r="AF862" s="31"/>
    </row>
    <row r="863" ht="15.75" hidden="1" customHeight="1">
      <c r="H863" s="81"/>
      <c r="N863" s="85"/>
      <c r="O863" s="85"/>
      <c r="P863" s="86"/>
      <c r="V863" s="31"/>
      <c r="W863" s="31"/>
      <c r="X863" s="31"/>
      <c r="AD863" s="31"/>
      <c r="AE863" s="31"/>
      <c r="AF863" s="31"/>
    </row>
    <row r="864" ht="15.75" hidden="1" customHeight="1">
      <c r="H864" s="81"/>
      <c r="N864" s="85"/>
      <c r="O864" s="85"/>
      <c r="P864" s="86"/>
      <c r="V864" s="31"/>
      <c r="W864" s="31"/>
      <c r="X864" s="31"/>
      <c r="AD864" s="31"/>
      <c r="AE864" s="31"/>
      <c r="AF864" s="31"/>
    </row>
    <row r="865" ht="15.75" hidden="1" customHeight="1">
      <c r="H865" s="81"/>
      <c r="N865" s="85"/>
      <c r="O865" s="85"/>
      <c r="P865" s="86"/>
      <c r="V865" s="31"/>
      <c r="W865" s="31"/>
      <c r="X865" s="31"/>
      <c r="AD865" s="31"/>
      <c r="AE865" s="31"/>
      <c r="AF865" s="31"/>
    </row>
    <row r="866" ht="15.75" hidden="1" customHeight="1">
      <c r="H866" s="81"/>
      <c r="N866" s="85"/>
      <c r="O866" s="85"/>
      <c r="P866" s="86"/>
      <c r="V866" s="31"/>
      <c r="W866" s="31"/>
      <c r="X866" s="31"/>
      <c r="AD866" s="31"/>
      <c r="AE866" s="31"/>
      <c r="AF866" s="31"/>
    </row>
    <row r="867" ht="15.75" hidden="1" customHeight="1">
      <c r="H867" s="81"/>
      <c r="N867" s="85"/>
      <c r="O867" s="85"/>
      <c r="P867" s="86"/>
      <c r="V867" s="31"/>
      <c r="W867" s="31"/>
      <c r="X867" s="31"/>
      <c r="AD867" s="31"/>
      <c r="AE867" s="31"/>
      <c r="AF867" s="31"/>
    </row>
    <row r="868" ht="15.75" hidden="1" customHeight="1">
      <c r="H868" s="81"/>
      <c r="N868" s="85"/>
      <c r="O868" s="85"/>
      <c r="P868" s="86"/>
      <c r="V868" s="31"/>
      <c r="W868" s="31"/>
      <c r="X868" s="31"/>
      <c r="AD868" s="31"/>
      <c r="AE868" s="31"/>
      <c r="AF868" s="31"/>
    </row>
    <row r="869" ht="15.75" hidden="1" customHeight="1">
      <c r="H869" s="81"/>
      <c r="N869" s="85"/>
      <c r="O869" s="85"/>
      <c r="P869" s="86"/>
      <c r="V869" s="31"/>
      <c r="W869" s="31"/>
      <c r="X869" s="31"/>
      <c r="AD869" s="31"/>
      <c r="AE869" s="31"/>
      <c r="AF869" s="31"/>
    </row>
    <row r="870" ht="15.75" hidden="1" customHeight="1">
      <c r="H870" s="81"/>
      <c r="N870" s="85"/>
      <c r="O870" s="85"/>
      <c r="P870" s="86"/>
      <c r="V870" s="31"/>
      <c r="W870" s="31"/>
      <c r="X870" s="31"/>
      <c r="AD870" s="31"/>
      <c r="AE870" s="31"/>
      <c r="AF870" s="31"/>
    </row>
    <row r="871" ht="15.75" hidden="1" customHeight="1">
      <c r="H871" s="81"/>
      <c r="N871" s="85"/>
      <c r="O871" s="85"/>
      <c r="P871" s="86"/>
      <c r="V871" s="31"/>
      <c r="W871" s="31"/>
      <c r="X871" s="31"/>
      <c r="AD871" s="31"/>
      <c r="AE871" s="31"/>
      <c r="AF871" s="31"/>
    </row>
    <row r="872" ht="15.75" hidden="1" customHeight="1">
      <c r="H872" s="81"/>
      <c r="N872" s="85"/>
      <c r="O872" s="85"/>
      <c r="P872" s="86"/>
      <c r="V872" s="31"/>
      <c r="W872" s="31"/>
      <c r="X872" s="31"/>
      <c r="AD872" s="31"/>
      <c r="AE872" s="31"/>
      <c r="AF872" s="31"/>
    </row>
    <row r="873" ht="15.75" hidden="1" customHeight="1">
      <c r="H873" s="81"/>
      <c r="N873" s="85"/>
      <c r="O873" s="85"/>
      <c r="P873" s="86"/>
      <c r="V873" s="31"/>
      <c r="W873" s="31"/>
      <c r="X873" s="31"/>
      <c r="AD873" s="31"/>
      <c r="AE873" s="31"/>
      <c r="AF873" s="31"/>
    </row>
    <row r="874" ht="15.75" hidden="1" customHeight="1">
      <c r="H874" s="81"/>
      <c r="N874" s="85"/>
      <c r="O874" s="85"/>
      <c r="P874" s="86"/>
      <c r="V874" s="31"/>
      <c r="W874" s="31"/>
      <c r="X874" s="31"/>
      <c r="AD874" s="31"/>
      <c r="AE874" s="31"/>
      <c r="AF874" s="31"/>
    </row>
    <row r="875" ht="15.75" hidden="1" customHeight="1">
      <c r="H875" s="81"/>
      <c r="N875" s="85"/>
      <c r="O875" s="85"/>
      <c r="P875" s="86"/>
      <c r="V875" s="31"/>
      <c r="W875" s="31"/>
      <c r="X875" s="31"/>
      <c r="AD875" s="31"/>
      <c r="AE875" s="31"/>
      <c r="AF875" s="31"/>
    </row>
    <row r="876" ht="15.75" hidden="1" customHeight="1">
      <c r="H876" s="81"/>
      <c r="N876" s="85"/>
      <c r="O876" s="85"/>
      <c r="P876" s="86"/>
      <c r="V876" s="31"/>
      <c r="W876" s="31"/>
      <c r="X876" s="31"/>
      <c r="AD876" s="31"/>
      <c r="AE876" s="31"/>
      <c r="AF876" s="31"/>
    </row>
    <row r="877" ht="15.75" hidden="1" customHeight="1">
      <c r="H877" s="81"/>
      <c r="N877" s="85"/>
      <c r="O877" s="85"/>
      <c r="P877" s="86"/>
      <c r="V877" s="31"/>
      <c r="W877" s="31"/>
      <c r="X877" s="31"/>
      <c r="AD877" s="31"/>
      <c r="AE877" s="31"/>
      <c r="AF877" s="31"/>
    </row>
    <row r="878" ht="15.75" hidden="1" customHeight="1">
      <c r="H878" s="81"/>
      <c r="N878" s="85"/>
      <c r="O878" s="85"/>
      <c r="P878" s="86"/>
      <c r="V878" s="31"/>
      <c r="W878" s="31"/>
      <c r="X878" s="31"/>
      <c r="AD878" s="31"/>
      <c r="AE878" s="31"/>
      <c r="AF878" s="31"/>
    </row>
    <row r="879" ht="15.75" hidden="1" customHeight="1">
      <c r="H879" s="81"/>
      <c r="N879" s="85"/>
      <c r="O879" s="85"/>
      <c r="P879" s="86"/>
      <c r="V879" s="31"/>
      <c r="W879" s="31"/>
      <c r="X879" s="31"/>
      <c r="AD879" s="31"/>
      <c r="AE879" s="31"/>
      <c r="AF879" s="31"/>
    </row>
    <row r="880" ht="15.75" hidden="1" customHeight="1">
      <c r="H880" s="81"/>
      <c r="N880" s="85"/>
      <c r="O880" s="85"/>
      <c r="P880" s="86"/>
      <c r="V880" s="31"/>
      <c r="W880" s="31"/>
      <c r="X880" s="31"/>
      <c r="AD880" s="31"/>
      <c r="AE880" s="31"/>
      <c r="AF880" s="31"/>
    </row>
    <row r="881" ht="15.75" hidden="1" customHeight="1">
      <c r="H881" s="81"/>
      <c r="N881" s="85"/>
      <c r="O881" s="85"/>
      <c r="P881" s="86"/>
      <c r="V881" s="31"/>
      <c r="W881" s="31"/>
      <c r="X881" s="31"/>
      <c r="AD881" s="31"/>
      <c r="AE881" s="31"/>
      <c r="AF881" s="31"/>
    </row>
    <row r="882" ht="15.75" hidden="1" customHeight="1">
      <c r="H882" s="81"/>
      <c r="N882" s="85"/>
      <c r="O882" s="85"/>
      <c r="P882" s="86"/>
      <c r="V882" s="31"/>
      <c r="W882" s="31"/>
      <c r="X882" s="31"/>
      <c r="AD882" s="31"/>
      <c r="AE882" s="31"/>
      <c r="AF882" s="31"/>
    </row>
    <row r="883" ht="15.75" hidden="1" customHeight="1">
      <c r="H883" s="81"/>
      <c r="N883" s="85"/>
      <c r="O883" s="85"/>
      <c r="P883" s="86"/>
      <c r="V883" s="31"/>
      <c r="W883" s="31"/>
      <c r="X883" s="31"/>
      <c r="AD883" s="31"/>
      <c r="AE883" s="31"/>
      <c r="AF883" s="31"/>
    </row>
    <row r="884" ht="15.75" hidden="1" customHeight="1">
      <c r="H884" s="81"/>
      <c r="N884" s="85"/>
      <c r="O884" s="85"/>
      <c r="P884" s="86"/>
      <c r="V884" s="31"/>
      <c r="W884" s="31"/>
      <c r="X884" s="31"/>
      <c r="AD884" s="31"/>
      <c r="AE884" s="31"/>
      <c r="AF884" s="31"/>
    </row>
    <row r="885" ht="15.75" hidden="1" customHeight="1">
      <c r="H885" s="81"/>
      <c r="N885" s="85"/>
      <c r="O885" s="85"/>
      <c r="P885" s="86"/>
      <c r="V885" s="31"/>
      <c r="W885" s="31"/>
      <c r="X885" s="31"/>
      <c r="AD885" s="31"/>
      <c r="AE885" s="31"/>
      <c r="AF885" s="31"/>
    </row>
    <row r="886" ht="15.75" hidden="1" customHeight="1">
      <c r="H886" s="81"/>
      <c r="N886" s="85"/>
      <c r="O886" s="85"/>
      <c r="P886" s="86"/>
      <c r="V886" s="31"/>
      <c r="W886" s="31"/>
      <c r="X886" s="31"/>
      <c r="AD886" s="31"/>
      <c r="AE886" s="31"/>
      <c r="AF886" s="31"/>
    </row>
    <row r="887" ht="15.75" hidden="1" customHeight="1">
      <c r="H887" s="81"/>
      <c r="N887" s="85"/>
      <c r="O887" s="85"/>
      <c r="P887" s="86"/>
      <c r="V887" s="31"/>
      <c r="W887" s="31"/>
      <c r="X887" s="31"/>
      <c r="AD887" s="31"/>
      <c r="AE887" s="31"/>
      <c r="AF887" s="31"/>
    </row>
    <row r="888" ht="15.75" hidden="1" customHeight="1">
      <c r="H888" s="81"/>
      <c r="N888" s="85"/>
      <c r="O888" s="85"/>
      <c r="P888" s="86"/>
      <c r="V888" s="31"/>
      <c r="W888" s="31"/>
      <c r="X888" s="31"/>
      <c r="AD888" s="31"/>
      <c r="AE888" s="31"/>
      <c r="AF888" s="31"/>
    </row>
    <row r="889" ht="15.75" hidden="1" customHeight="1">
      <c r="H889" s="81"/>
      <c r="N889" s="85"/>
      <c r="O889" s="85"/>
      <c r="P889" s="86"/>
      <c r="V889" s="31"/>
      <c r="W889" s="31"/>
      <c r="X889" s="31"/>
      <c r="AD889" s="31"/>
      <c r="AE889" s="31"/>
      <c r="AF889" s="31"/>
    </row>
    <row r="890" ht="15.75" hidden="1" customHeight="1">
      <c r="H890" s="81"/>
      <c r="N890" s="85"/>
      <c r="O890" s="85"/>
      <c r="P890" s="86"/>
      <c r="V890" s="31"/>
      <c r="W890" s="31"/>
      <c r="X890" s="31"/>
      <c r="AD890" s="31"/>
      <c r="AE890" s="31"/>
      <c r="AF890" s="31"/>
    </row>
    <row r="891" ht="15.75" hidden="1" customHeight="1">
      <c r="H891" s="81"/>
      <c r="N891" s="85"/>
      <c r="O891" s="85"/>
      <c r="P891" s="86"/>
      <c r="V891" s="31"/>
      <c r="W891" s="31"/>
      <c r="X891" s="31"/>
      <c r="AD891" s="31"/>
      <c r="AE891" s="31"/>
      <c r="AF891" s="31"/>
    </row>
    <row r="892" ht="15.75" hidden="1" customHeight="1">
      <c r="H892" s="81"/>
      <c r="N892" s="85"/>
      <c r="O892" s="85"/>
      <c r="P892" s="86"/>
      <c r="V892" s="31"/>
      <c r="W892" s="31"/>
      <c r="X892" s="31"/>
      <c r="AD892" s="31"/>
      <c r="AE892" s="31"/>
      <c r="AF892" s="31"/>
    </row>
    <row r="893" ht="15.75" hidden="1" customHeight="1">
      <c r="H893" s="81"/>
      <c r="N893" s="85"/>
      <c r="O893" s="85"/>
      <c r="P893" s="86"/>
      <c r="V893" s="31"/>
      <c r="W893" s="31"/>
      <c r="X893" s="31"/>
      <c r="AD893" s="31"/>
      <c r="AE893" s="31"/>
      <c r="AF893" s="31"/>
    </row>
    <row r="894" ht="15.75" hidden="1" customHeight="1">
      <c r="H894" s="81"/>
      <c r="N894" s="85"/>
      <c r="O894" s="85"/>
      <c r="P894" s="86"/>
      <c r="V894" s="31"/>
      <c r="W894" s="31"/>
      <c r="X894" s="31"/>
      <c r="AD894" s="31"/>
      <c r="AE894" s="31"/>
      <c r="AF894" s="31"/>
    </row>
    <row r="895" ht="15.75" hidden="1" customHeight="1">
      <c r="H895" s="81"/>
      <c r="N895" s="85"/>
      <c r="O895" s="85"/>
      <c r="P895" s="86"/>
      <c r="V895" s="31"/>
      <c r="W895" s="31"/>
      <c r="X895" s="31"/>
      <c r="AD895" s="31"/>
      <c r="AE895" s="31"/>
      <c r="AF895" s="31"/>
    </row>
    <row r="896" ht="15.75" hidden="1" customHeight="1">
      <c r="H896" s="81"/>
      <c r="N896" s="85"/>
      <c r="O896" s="85"/>
      <c r="P896" s="86"/>
      <c r="V896" s="31"/>
      <c r="W896" s="31"/>
      <c r="X896" s="31"/>
      <c r="AD896" s="31"/>
      <c r="AE896" s="31"/>
      <c r="AF896" s="31"/>
    </row>
    <row r="897" ht="15.75" hidden="1" customHeight="1">
      <c r="H897" s="81"/>
      <c r="N897" s="85"/>
      <c r="O897" s="85"/>
      <c r="P897" s="86"/>
      <c r="V897" s="31"/>
      <c r="W897" s="31"/>
      <c r="X897" s="31"/>
      <c r="AD897" s="31"/>
      <c r="AE897" s="31"/>
      <c r="AF897" s="31"/>
    </row>
    <row r="898" ht="15.75" hidden="1" customHeight="1">
      <c r="H898" s="81"/>
      <c r="N898" s="85"/>
      <c r="O898" s="85"/>
      <c r="P898" s="86"/>
      <c r="V898" s="31"/>
      <c r="W898" s="31"/>
      <c r="X898" s="31"/>
      <c r="AD898" s="31"/>
      <c r="AE898" s="31"/>
      <c r="AF898" s="31"/>
    </row>
    <row r="899" ht="15.75" hidden="1" customHeight="1">
      <c r="H899" s="81"/>
      <c r="N899" s="85"/>
      <c r="O899" s="85"/>
      <c r="P899" s="86"/>
      <c r="V899" s="31"/>
      <c r="W899" s="31"/>
      <c r="X899" s="31"/>
      <c r="AD899" s="31"/>
      <c r="AE899" s="31"/>
      <c r="AF899" s="31"/>
    </row>
    <row r="900" ht="15.75" hidden="1" customHeight="1">
      <c r="H900" s="81"/>
      <c r="N900" s="85"/>
      <c r="O900" s="85"/>
      <c r="P900" s="86"/>
      <c r="V900" s="31"/>
      <c r="W900" s="31"/>
      <c r="X900" s="31"/>
      <c r="AD900" s="31"/>
      <c r="AE900" s="31"/>
      <c r="AF900" s="31"/>
    </row>
    <row r="901" ht="15.75" hidden="1" customHeight="1">
      <c r="H901" s="81"/>
      <c r="N901" s="85"/>
      <c r="O901" s="85"/>
      <c r="P901" s="86"/>
      <c r="V901" s="31"/>
      <c r="W901" s="31"/>
      <c r="X901" s="31"/>
      <c r="AD901" s="31"/>
      <c r="AE901" s="31"/>
      <c r="AF901" s="31"/>
    </row>
    <row r="902" ht="15.75" hidden="1" customHeight="1">
      <c r="H902" s="81"/>
      <c r="N902" s="85"/>
      <c r="O902" s="85"/>
      <c r="P902" s="86"/>
      <c r="V902" s="31"/>
      <c r="W902" s="31"/>
      <c r="X902" s="31"/>
      <c r="AD902" s="31"/>
      <c r="AE902" s="31"/>
      <c r="AF902" s="31"/>
    </row>
    <row r="903" ht="15.75" hidden="1" customHeight="1">
      <c r="H903" s="81"/>
      <c r="N903" s="85"/>
      <c r="O903" s="85"/>
      <c r="P903" s="86"/>
      <c r="V903" s="31"/>
      <c r="W903" s="31"/>
      <c r="X903" s="31"/>
      <c r="AD903" s="31"/>
      <c r="AE903" s="31"/>
      <c r="AF903" s="31"/>
    </row>
    <row r="904" ht="15.75" hidden="1" customHeight="1">
      <c r="H904" s="81"/>
      <c r="N904" s="85"/>
      <c r="O904" s="85"/>
      <c r="P904" s="86"/>
      <c r="V904" s="31"/>
      <c r="W904" s="31"/>
      <c r="X904" s="31"/>
      <c r="AD904" s="31"/>
      <c r="AE904" s="31"/>
      <c r="AF904" s="31"/>
    </row>
    <row r="905" ht="15.75" hidden="1" customHeight="1">
      <c r="H905" s="81"/>
      <c r="N905" s="85"/>
      <c r="O905" s="85"/>
      <c r="P905" s="86"/>
      <c r="V905" s="31"/>
      <c r="W905" s="31"/>
      <c r="X905" s="31"/>
      <c r="AD905" s="31"/>
      <c r="AE905" s="31"/>
      <c r="AF905" s="31"/>
    </row>
    <row r="906" ht="15.75" hidden="1" customHeight="1">
      <c r="H906" s="81"/>
      <c r="N906" s="85"/>
      <c r="O906" s="85"/>
      <c r="P906" s="86"/>
      <c r="V906" s="31"/>
      <c r="W906" s="31"/>
      <c r="X906" s="31"/>
      <c r="AD906" s="31"/>
      <c r="AE906" s="31"/>
      <c r="AF906" s="31"/>
    </row>
    <row r="907" ht="15.75" hidden="1" customHeight="1">
      <c r="H907" s="81"/>
      <c r="N907" s="85"/>
      <c r="O907" s="85"/>
      <c r="P907" s="86"/>
      <c r="V907" s="31"/>
      <c r="W907" s="31"/>
      <c r="X907" s="31"/>
      <c r="AD907" s="31"/>
      <c r="AE907" s="31"/>
      <c r="AF907" s="31"/>
    </row>
    <row r="908" ht="15.75" hidden="1" customHeight="1">
      <c r="H908" s="81"/>
      <c r="N908" s="85"/>
      <c r="O908" s="85"/>
      <c r="P908" s="86"/>
      <c r="V908" s="31"/>
      <c r="W908" s="31"/>
      <c r="X908" s="31"/>
      <c r="AD908" s="31"/>
      <c r="AE908" s="31"/>
      <c r="AF908" s="31"/>
    </row>
    <row r="909" ht="15.75" hidden="1" customHeight="1">
      <c r="H909" s="81"/>
      <c r="N909" s="85"/>
      <c r="O909" s="85"/>
      <c r="P909" s="86"/>
      <c r="V909" s="31"/>
      <c r="W909" s="31"/>
      <c r="X909" s="31"/>
      <c r="AD909" s="31"/>
      <c r="AE909" s="31"/>
      <c r="AF909" s="31"/>
    </row>
    <row r="910" ht="15.75" hidden="1" customHeight="1">
      <c r="H910" s="81"/>
      <c r="N910" s="85"/>
      <c r="O910" s="85"/>
      <c r="P910" s="86"/>
      <c r="V910" s="31"/>
      <c r="W910" s="31"/>
      <c r="X910" s="31"/>
      <c r="AD910" s="31"/>
      <c r="AE910" s="31"/>
      <c r="AF910" s="31"/>
    </row>
    <row r="911" ht="15.75" hidden="1" customHeight="1">
      <c r="H911" s="81"/>
      <c r="N911" s="85"/>
      <c r="O911" s="85"/>
      <c r="P911" s="86"/>
      <c r="V911" s="31"/>
      <c r="W911" s="31"/>
      <c r="X911" s="31"/>
      <c r="AD911" s="31"/>
      <c r="AE911" s="31"/>
      <c r="AF911" s="31"/>
    </row>
    <row r="912" ht="15.75" hidden="1" customHeight="1">
      <c r="H912" s="81"/>
      <c r="N912" s="85"/>
      <c r="O912" s="85"/>
      <c r="P912" s="86"/>
      <c r="V912" s="31"/>
      <c r="W912" s="31"/>
      <c r="X912" s="31"/>
      <c r="AD912" s="31"/>
      <c r="AE912" s="31"/>
      <c r="AF912" s="31"/>
    </row>
    <row r="913" ht="15.75" hidden="1" customHeight="1">
      <c r="H913" s="81"/>
      <c r="N913" s="85"/>
      <c r="O913" s="85"/>
      <c r="P913" s="86"/>
      <c r="V913" s="31"/>
      <c r="W913" s="31"/>
      <c r="X913" s="31"/>
      <c r="AD913" s="31"/>
      <c r="AE913" s="31"/>
      <c r="AF913" s="31"/>
    </row>
    <row r="914" ht="15.75" hidden="1" customHeight="1">
      <c r="H914" s="81"/>
      <c r="N914" s="85"/>
      <c r="O914" s="85"/>
      <c r="P914" s="86"/>
      <c r="V914" s="31"/>
      <c r="W914" s="31"/>
      <c r="X914" s="31"/>
      <c r="AD914" s="31"/>
      <c r="AE914" s="31"/>
      <c r="AF914" s="31"/>
    </row>
    <row r="915" ht="15.75" hidden="1" customHeight="1">
      <c r="H915" s="81"/>
      <c r="N915" s="85"/>
      <c r="O915" s="85"/>
      <c r="P915" s="86"/>
      <c r="V915" s="31"/>
      <c r="W915" s="31"/>
      <c r="X915" s="31"/>
      <c r="AD915" s="31"/>
      <c r="AE915" s="31"/>
      <c r="AF915" s="31"/>
    </row>
    <row r="916" ht="15.75" hidden="1" customHeight="1">
      <c r="H916" s="81"/>
      <c r="N916" s="85"/>
      <c r="O916" s="85"/>
      <c r="P916" s="86"/>
      <c r="V916" s="31"/>
      <c r="W916" s="31"/>
      <c r="X916" s="31"/>
      <c r="AD916" s="31"/>
      <c r="AE916" s="31"/>
      <c r="AF916" s="31"/>
    </row>
    <row r="917" ht="15.75" hidden="1" customHeight="1">
      <c r="H917" s="81"/>
      <c r="N917" s="85"/>
      <c r="O917" s="85"/>
      <c r="P917" s="86"/>
      <c r="V917" s="31"/>
      <c r="W917" s="31"/>
      <c r="X917" s="31"/>
      <c r="AD917" s="31"/>
      <c r="AE917" s="31"/>
      <c r="AF917" s="31"/>
    </row>
    <row r="918" ht="15.75" hidden="1" customHeight="1">
      <c r="H918" s="81"/>
      <c r="N918" s="85"/>
      <c r="O918" s="85"/>
      <c r="P918" s="86"/>
      <c r="V918" s="31"/>
      <c r="W918" s="31"/>
      <c r="X918" s="31"/>
      <c r="AD918" s="31"/>
      <c r="AE918" s="31"/>
      <c r="AF918" s="31"/>
    </row>
    <row r="919" ht="15.75" hidden="1" customHeight="1">
      <c r="H919" s="81"/>
      <c r="N919" s="85"/>
      <c r="O919" s="85"/>
      <c r="P919" s="86"/>
      <c r="V919" s="31"/>
      <c r="W919" s="31"/>
      <c r="X919" s="31"/>
      <c r="AD919" s="31"/>
      <c r="AE919" s="31"/>
      <c r="AF919" s="31"/>
    </row>
    <row r="920" ht="15.75" hidden="1" customHeight="1">
      <c r="H920" s="81"/>
      <c r="N920" s="85"/>
      <c r="O920" s="85"/>
      <c r="P920" s="86"/>
      <c r="V920" s="31"/>
      <c r="W920" s="31"/>
      <c r="X920" s="31"/>
      <c r="AD920" s="31"/>
      <c r="AE920" s="31"/>
      <c r="AF920" s="31"/>
    </row>
    <row r="921" ht="15.75" hidden="1" customHeight="1">
      <c r="H921" s="81"/>
      <c r="N921" s="85"/>
      <c r="O921" s="85"/>
      <c r="P921" s="86"/>
      <c r="V921" s="31"/>
      <c r="W921" s="31"/>
      <c r="X921" s="31"/>
      <c r="AD921" s="31"/>
      <c r="AE921" s="31"/>
      <c r="AF921" s="31"/>
    </row>
    <row r="922" ht="15.75" hidden="1" customHeight="1">
      <c r="H922" s="81"/>
      <c r="N922" s="85"/>
      <c r="O922" s="85"/>
      <c r="P922" s="86"/>
      <c r="V922" s="31"/>
      <c r="W922" s="31"/>
      <c r="X922" s="31"/>
      <c r="AD922" s="31"/>
      <c r="AE922" s="31"/>
      <c r="AF922" s="31"/>
    </row>
    <row r="923" ht="15.75" hidden="1" customHeight="1">
      <c r="H923" s="81"/>
      <c r="N923" s="85"/>
      <c r="O923" s="85"/>
      <c r="P923" s="86"/>
      <c r="V923" s="31"/>
      <c r="W923" s="31"/>
      <c r="X923" s="31"/>
      <c r="AD923" s="31"/>
      <c r="AE923" s="31"/>
      <c r="AF923" s="31"/>
    </row>
    <row r="924" ht="15.75" hidden="1" customHeight="1">
      <c r="H924" s="81"/>
      <c r="N924" s="85"/>
      <c r="O924" s="85"/>
      <c r="P924" s="86"/>
      <c r="V924" s="31"/>
      <c r="W924" s="31"/>
      <c r="X924" s="31"/>
      <c r="AD924" s="31"/>
      <c r="AE924" s="31"/>
      <c r="AF924" s="31"/>
    </row>
    <row r="925" ht="15.75" hidden="1" customHeight="1">
      <c r="H925" s="81"/>
      <c r="N925" s="85"/>
      <c r="O925" s="85"/>
      <c r="P925" s="86"/>
      <c r="V925" s="31"/>
      <c r="W925" s="31"/>
      <c r="X925" s="31"/>
      <c r="AD925" s="31"/>
      <c r="AE925" s="31"/>
      <c r="AF925" s="31"/>
    </row>
    <row r="926" ht="15.75" hidden="1" customHeight="1">
      <c r="H926" s="81"/>
      <c r="N926" s="85"/>
      <c r="O926" s="85"/>
      <c r="P926" s="86"/>
      <c r="V926" s="31"/>
      <c r="W926" s="31"/>
      <c r="X926" s="31"/>
      <c r="AD926" s="31"/>
      <c r="AE926" s="31"/>
      <c r="AF926" s="31"/>
    </row>
    <row r="927" ht="15.75" hidden="1" customHeight="1">
      <c r="H927" s="81"/>
      <c r="N927" s="85"/>
      <c r="O927" s="85"/>
      <c r="P927" s="86"/>
      <c r="V927" s="31"/>
      <c r="W927" s="31"/>
      <c r="X927" s="31"/>
      <c r="AD927" s="31"/>
      <c r="AE927" s="31"/>
      <c r="AF927" s="31"/>
    </row>
    <row r="928" ht="15.75" hidden="1" customHeight="1">
      <c r="H928" s="81"/>
      <c r="N928" s="85"/>
      <c r="O928" s="85"/>
      <c r="P928" s="86"/>
      <c r="V928" s="31"/>
      <c r="W928" s="31"/>
      <c r="X928" s="31"/>
      <c r="AD928" s="31"/>
      <c r="AE928" s="31"/>
      <c r="AF928" s="31"/>
    </row>
    <row r="929" ht="15.75" hidden="1" customHeight="1">
      <c r="H929" s="81"/>
      <c r="N929" s="85"/>
      <c r="O929" s="85"/>
      <c r="P929" s="86"/>
      <c r="V929" s="31"/>
      <c r="W929" s="31"/>
      <c r="X929" s="31"/>
      <c r="AD929" s="31"/>
      <c r="AE929" s="31"/>
      <c r="AF929" s="31"/>
    </row>
    <row r="930" ht="15.75" hidden="1" customHeight="1">
      <c r="H930" s="81"/>
      <c r="N930" s="85"/>
      <c r="O930" s="85"/>
      <c r="P930" s="86"/>
      <c r="V930" s="31"/>
      <c r="W930" s="31"/>
      <c r="X930" s="31"/>
      <c r="AD930" s="31"/>
      <c r="AE930" s="31"/>
      <c r="AF930" s="31"/>
    </row>
    <row r="931" ht="15.75" hidden="1" customHeight="1">
      <c r="H931" s="81"/>
      <c r="N931" s="85"/>
      <c r="O931" s="85"/>
      <c r="P931" s="86"/>
      <c r="V931" s="31"/>
      <c r="W931" s="31"/>
      <c r="X931" s="31"/>
      <c r="AD931" s="31"/>
      <c r="AE931" s="31"/>
      <c r="AF931" s="31"/>
    </row>
    <row r="932" ht="15.75" hidden="1" customHeight="1">
      <c r="H932" s="81"/>
      <c r="N932" s="85"/>
      <c r="O932" s="85"/>
      <c r="P932" s="86"/>
      <c r="V932" s="31"/>
      <c r="W932" s="31"/>
      <c r="X932" s="31"/>
      <c r="AD932" s="31"/>
      <c r="AE932" s="31"/>
      <c r="AF932" s="31"/>
    </row>
    <row r="933" ht="15.75" hidden="1" customHeight="1">
      <c r="H933" s="81"/>
      <c r="N933" s="85"/>
      <c r="O933" s="85"/>
      <c r="P933" s="86"/>
      <c r="V933" s="31"/>
      <c r="W933" s="31"/>
      <c r="X933" s="31"/>
      <c r="AD933" s="31"/>
      <c r="AE933" s="31"/>
      <c r="AF933" s="31"/>
    </row>
    <row r="934" ht="15.75" hidden="1" customHeight="1">
      <c r="H934" s="81"/>
      <c r="N934" s="85"/>
      <c r="O934" s="85"/>
      <c r="P934" s="86"/>
      <c r="V934" s="31"/>
      <c r="W934" s="31"/>
      <c r="X934" s="31"/>
      <c r="AD934" s="31"/>
      <c r="AE934" s="31"/>
      <c r="AF934" s="31"/>
    </row>
    <row r="935" ht="15.75" hidden="1" customHeight="1">
      <c r="H935" s="81"/>
      <c r="N935" s="85"/>
      <c r="O935" s="85"/>
      <c r="P935" s="86"/>
      <c r="V935" s="31"/>
      <c r="W935" s="31"/>
      <c r="X935" s="31"/>
      <c r="AD935" s="31"/>
      <c r="AE935" s="31"/>
      <c r="AF935" s="31"/>
    </row>
    <row r="936" ht="15.75" hidden="1" customHeight="1">
      <c r="H936" s="81"/>
      <c r="N936" s="85"/>
      <c r="O936" s="85"/>
      <c r="P936" s="86"/>
      <c r="V936" s="31"/>
      <c r="W936" s="31"/>
      <c r="X936" s="31"/>
      <c r="AD936" s="31"/>
      <c r="AE936" s="31"/>
      <c r="AF936" s="31"/>
    </row>
    <row r="937" ht="15.75" hidden="1" customHeight="1">
      <c r="H937" s="81"/>
      <c r="N937" s="85"/>
      <c r="O937" s="85"/>
      <c r="P937" s="86"/>
      <c r="V937" s="31"/>
      <c r="W937" s="31"/>
      <c r="X937" s="31"/>
      <c r="AD937" s="31"/>
      <c r="AE937" s="31"/>
      <c r="AF937" s="31"/>
    </row>
    <row r="938" ht="15.75" hidden="1" customHeight="1">
      <c r="H938" s="81"/>
      <c r="N938" s="85"/>
      <c r="O938" s="85"/>
      <c r="P938" s="86"/>
      <c r="V938" s="31"/>
      <c r="W938" s="31"/>
      <c r="X938" s="31"/>
      <c r="AD938" s="31"/>
      <c r="AE938" s="31"/>
      <c r="AF938" s="31"/>
    </row>
    <row r="939" ht="15.75" hidden="1" customHeight="1">
      <c r="H939" s="81"/>
      <c r="N939" s="85"/>
      <c r="O939" s="85"/>
      <c r="P939" s="86"/>
      <c r="V939" s="31"/>
      <c r="W939" s="31"/>
      <c r="X939" s="31"/>
      <c r="AD939" s="31"/>
      <c r="AE939" s="31"/>
      <c r="AF939" s="31"/>
    </row>
    <row r="940" ht="15.75" hidden="1" customHeight="1">
      <c r="H940" s="81"/>
      <c r="N940" s="85"/>
      <c r="O940" s="85"/>
      <c r="P940" s="86"/>
      <c r="V940" s="31"/>
      <c r="W940" s="31"/>
      <c r="X940" s="31"/>
      <c r="AD940" s="31"/>
      <c r="AE940" s="31"/>
      <c r="AF940" s="31"/>
    </row>
    <row r="941" ht="15.75" hidden="1" customHeight="1">
      <c r="H941" s="81"/>
      <c r="N941" s="85"/>
      <c r="O941" s="85"/>
      <c r="P941" s="86"/>
      <c r="V941" s="31"/>
      <c r="W941" s="31"/>
      <c r="X941" s="31"/>
      <c r="AD941" s="31"/>
      <c r="AE941" s="31"/>
      <c r="AF941" s="31"/>
    </row>
    <row r="942" ht="15.75" hidden="1" customHeight="1">
      <c r="H942" s="81"/>
      <c r="N942" s="85"/>
      <c r="O942" s="85"/>
      <c r="P942" s="86"/>
      <c r="V942" s="31"/>
      <c r="W942" s="31"/>
      <c r="X942" s="31"/>
      <c r="AD942" s="31"/>
      <c r="AE942" s="31"/>
      <c r="AF942" s="31"/>
    </row>
    <row r="943" ht="15.75" hidden="1" customHeight="1">
      <c r="H943" s="81"/>
      <c r="N943" s="85"/>
      <c r="O943" s="85"/>
      <c r="P943" s="86"/>
      <c r="V943" s="31"/>
      <c r="W943" s="31"/>
      <c r="X943" s="31"/>
      <c r="AD943" s="31"/>
      <c r="AE943" s="31"/>
      <c r="AF943" s="31"/>
    </row>
    <row r="944" ht="15.75" hidden="1" customHeight="1">
      <c r="H944" s="81"/>
      <c r="N944" s="85"/>
      <c r="O944" s="85"/>
      <c r="P944" s="86"/>
      <c r="V944" s="31"/>
      <c r="W944" s="31"/>
      <c r="X944" s="31"/>
      <c r="AD944" s="31"/>
      <c r="AE944" s="31"/>
      <c r="AF944" s="31"/>
    </row>
    <row r="945" ht="15.75" hidden="1" customHeight="1">
      <c r="H945" s="81"/>
      <c r="N945" s="85"/>
      <c r="O945" s="85"/>
      <c r="P945" s="86"/>
      <c r="V945" s="31"/>
      <c r="W945" s="31"/>
      <c r="X945" s="31"/>
      <c r="AD945" s="31"/>
      <c r="AE945" s="31"/>
      <c r="AF945" s="31"/>
    </row>
    <row r="946" ht="15.75" hidden="1" customHeight="1">
      <c r="H946" s="81"/>
      <c r="N946" s="85"/>
      <c r="O946" s="85"/>
      <c r="P946" s="86"/>
      <c r="V946" s="31"/>
      <c r="W946" s="31"/>
      <c r="X946" s="31"/>
      <c r="AD946" s="31"/>
      <c r="AE946" s="31"/>
      <c r="AF946" s="31"/>
    </row>
    <row r="947" ht="15.75" hidden="1" customHeight="1">
      <c r="H947" s="81"/>
      <c r="N947" s="85"/>
      <c r="O947" s="85"/>
      <c r="P947" s="86"/>
      <c r="V947" s="31"/>
      <c r="W947" s="31"/>
      <c r="X947" s="31"/>
      <c r="AD947" s="31"/>
      <c r="AE947" s="31"/>
      <c r="AF947" s="31"/>
    </row>
    <row r="948" ht="15.75" hidden="1" customHeight="1">
      <c r="H948" s="81"/>
      <c r="N948" s="85"/>
      <c r="O948" s="85"/>
      <c r="P948" s="86"/>
      <c r="V948" s="31"/>
      <c r="W948" s="31"/>
      <c r="X948" s="31"/>
      <c r="AD948" s="31"/>
      <c r="AE948" s="31"/>
      <c r="AF948" s="31"/>
    </row>
    <row r="949" ht="15.75" hidden="1" customHeight="1">
      <c r="H949" s="81"/>
      <c r="N949" s="85"/>
      <c r="O949" s="85"/>
      <c r="P949" s="86"/>
      <c r="V949" s="31"/>
      <c r="W949" s="31"/>
      <c r="X949" s="31"/>
      <c r="AD949" s="31"/>
      <c r="AE949" s="31"/>
      <c r="AF949" s="31"/>
    </row>
    <row r="950" ht="15.75" hidden="1" customHeight="1">
      <c r="H950" s="81"/>
      <c r="N950" s="85"/>
      <c r="O950" s="85"/>
      <c r="P950" s="86"/>
      <c r="V950" s="31"/>
      <c r="W950" s="31"/>
      <c r="X950" s="31"/>
      <c r="AD950" s="31"/>
      <c r="AE950" s="31"/>
      <c r="AF950" s="31"/>
    </row>
    <row r="951" ht="15.75" hidden="1" customHeight="1">
      <c r="H951" s="81"/>
      <c r="N951" s="85"/>
      <c r="O951" s="85"/>
      <c r="P951" s="86"/>
      <c r="V951" s="31"/>
      <c r="W951" s="31"/>
      <c r="X951" s="31"/>
      <c r="AD951" s="31"/>
      <c r="AE951" s="31"/>
      <c r="AF951" s="31"/>
    </row>
    <row r="952" ht="15.75" hidden="1" customHeight="1">
      <c r="H952" s="81"/>
      <c r="N952" s="85"/>
      <c r="O952" s="85"/>
      <c r="P952" s="86"/>
      <c r="V952" s="31"/>
      <c r="W952" s="31"/>
      <c r="X952" s="31"/>
      <c r="AD952" s="31"/>
      <c r="AE952" s="31"/>
      <c r="AF952" s="31"/>
    </row>
    <row r="953" ht="15.75" hidden="1" customHeight="1">
      <c r="H953" s="81"/>
      <c r="N953" s="85"/>
      <c r="O953" s="85"/>
      <c r="P953" s="86"/>
      <c r="V953" s="31"/>
      <c r="W953" s="31"/>
      <c r="X953" s="31"/>
      <c r="AD953" s="31"/>
      <c r="AE953" s="31"/>
      <c r="AF953" s="31"/>
    </row>
    <row r="954" ht="15.75" hidden="1" customHeight="1">
      <c r="H954" s="81"/>
      <c r="N954" s="85"/>
      <c r="O954" s="85"/>
      <c r="P954" s="86"/>
      <c r="V954" s="31"/>
      <c r="W954" s="31"/>
      <c r="X954" s="31"/>
      <c r="AD954" s="31"/>
      <c r="AE954" s="31"/>
      <c r="AF954" s="31"/>
    </row>
    <row r="955" ht="15.75" hidden="1" customHeight="1">
      <c r="H955" s="81"/>
      <c r="N955" s="85"/>
      <c r="O955" s="85"/>
      <c r="P955" s="86"/>
      <c r="V955" s="31"/>
      <c r="W955" s="31"/>
      <c r="X955" s="31"/>
      <c r="AD955" s="31"/>
      <c r="AE955" s="31"/>
      <c r="AF955" s="31"/>
    </row>
    <row r="956" ht="15.75" hidden="1" customHeight="1">
      <c r="H956" s="81"/>
      <c r="N956" s="85"/>
      <c r="O956" s="85"/>
      <c r="P956" s="86"/>
      <c r="V956" s="31"/>
      <c r="W956" s="31"/>
      <c r="X956" s="31"/>
      <c r="AD956" s="31"/>
      <c r="AE956" s="31"/>
      <c r="AF956" s="31"/>
    </row>
    <row r="957" ht="15.75" hidden="1" customHeight="1">
      <c r="H957" s="81"/>
      <c r="N957" s="85"/>
      <c r="O957" s="85"/>
      <c r="P957" s="86"/>
      <c r="V957" s="31"/>
      <c r="W957" s="31"/>
      <c r="X957" s="31"/>
      <c r="AD957" s="31"/>
      <c r="AE957" s="31"/>
      <c r="AF957" s="31"/>
    </row>
    <row r="958" ht="15.75" hidden="1" customHeight="1">
      <c r="H958" s="81"/>
      <c r="N958" s="85"/>
      <c r="O958" s="85"/>
      <c r="P958" s="86"/>
      <c r="V958" s="31"/>
      <c r="W958" s="31"/>
      <c r="X958" s="31"/>
      <c r="AD958" s="31"/>
      <c r="AE958" s="31"/>
      <c r="AF958" s="31"/>
    </row>
    <row r="959" ht="15.75" hidden="1" customHeight="1">
      <c r="H959" s="81"/>
      <c r="N959" s="85"/>
      <c r="O959" s="85"/>
      <c r="P959" s="86"/>
      <c r="V959" s="31"/>
      <c r="W959" s="31"/>
      <c r="X959" s="31"/>
      <c r="AD959" s="31"/>
      <c r="AE959" s="31"/>
      <c r="AF959" s="31"/>
    </row>
    <row r="960" ht="15.75" hidden="1" customHeight="1">
      <c r="H960" s="81"/>
      <c r="N960" s="85"/>
      <c r="O960" s="85"/>
      <c r="P960" s="86"/>
      <c r="V960" s="31"/>
      <c r="W960" s="31"/>
      <c r="X960" s="31"/>
      <c r="AD960" s="31"/>
      <c r="AE960" s="31"/>
      <c r="AF960" s="31"/>
    </row>
    <row r="961" ht="15.75" hidden="1" customHeight="1">
      <c r="H961" s="81"/>
      <c r="N961" s="85"/>
      <c r="O961" s="85"/>
      <c r="P961" s="86"/>
      <c r="V961" s="31"/>
      <c r="W961" s="31"/>
      <c r="X961" s="31"/>
      <c r="AD961" s="31"/>
      <c r="AE961" s="31"/>
      <c r="AF961" s="31"/>
    </row>
    <row r="962" ht="15.75" hidden="1" customHeight="1">
      <c r="H962" s="81"/>
      <c r="N962" s="85"/>
      <c r="O962" s="85"/>
      <c r="P962" s="86"/>
      <c r="V962" s="31"/>
      <c r="W962" s="31"/>
      <c r="X962" s="31"/>
      <c r="AD962" s="31"/>
      <c r="AE962" s="31"/>
      <c r="AF962" s="31"/>
    </row>
    <row r="963" ht="15.75" hidden="1" customHeight="1">
      <c r="H963" s="81"/>
      <c r="N963" s="85"/>
      <c r="O963" s="85"/>
      <c r="P963" s="86"/>
      <c r="V963" s="31"/>
      <c r="W963" s="31"/>
      <c r="X963" s="31"/>
      <c r="AD963" s="31"/>
      <c r="AE963" s="31"/>
      <c r="AF963" s="31"/>
    </row>
    <row r="964" ht="15.75" hidden="1" customHeight="1">
      <c r="H964" s="81"/>
      <c r="N964" s="85"/>
      <c r="O964" s="85"/>
      <c r="P964" s="86"/>
      <c r="V964" s="31"/>
      <c r="W964" s="31"/>
      <c r="X964" s="31"/>
      <c r="AD964" s="31"/>
      <c r="AE964" s="31"/>
      <c r="AF964" s="31"/>
    </row>
    <row r="965" ht="15.75" hidden="1" customHeight="1">
      <c r="H965" s="81"/>
      <c r="N965" s="85"/>
      <c r="O965" s="85"/>
      <c r="P965" s="86"/>
      <c r="V965" s="31"/>
      <c r="W965" s="31"/>
      <c r="X965" s="31"/>
      <c r="AD965" s="31"/>
      <c r="AE965" s="31"/>
      <c r="AF965" s="31"/>
    </row>
    <row r="966" ht="15.75" hidden="1" customHeight="1">
      <c r="H966" s="81"/>
      <c r="N966" s="85"/>
      <c r="O966" s="85"/>
      <c r="P966" s="86"/>
      <c r="V966" s="31"/>
      <c r="W966" s="31"/>
      <c r="X966" s="31"/>
      <c r="AD966" s="31"/>
      <c r="AE966" s="31"/>
      <c r="AF966" s="31"/>
    </row>
    <row r="967" ht="15.75" hidden="1" customHeight="1">
      <c r="H967" s="81"/>
      <c r="N967" s="85"/>
      <c r="O967" s="85"/>
      <c r="P967" s="86"/>
      <c r="V967" s="31"/>
      <c r="W967" s="31"/>
      <c r="X967" s="31"/>
      <c r="AD967" s="31"/>
      <c r="AE967" s="31"/>
      <c r="AF967" s="31"/>
    </row>
    <row r="968" ht="15.75" hidden="1" customHeight="1">
      <c r="H968" s="81"/>
      <c r="N968" s="85"/>
      <c r="O968" s="85"/>
      <c r="P968" s="86"/>
      <c r="V968" s="31"/>
      <c r="W968" s="31"/>
      <c r="X968" s="31"/>
      <c r="AD968" s="31"/>
      <c r="AE968" s="31"/>
      <c r="AF968" s="31"/>
    </row>
    <row r="969" ht="15.75" hidden="1" customHeight="1">
      <c r="H969" s="81"/>
      <c r="N969" s="85"/>
      <c r="O969" s="85"/>
      <c r="P969" s="86"/>
      <c r="V969" s="31"/>
      <c r="W969" s="31"/>
      <c r="X969" s="31"/>
      <c r="AD969" s="31"/>
      <c r="AE969" s="31"/>
      <c r="AF969" s="31"/>
    </row>
    <row r="970" ht="15.75" hidden="1" customHeight="1">
      <c r="H970" s="81"/>
      <c r="N970" s="85"/>
      <c r="O970" s="85"/>
      <c r="P970" s="86"/>
      <c r="V970" s="31"/>
      <c r="W970" s="31"/>
      <c r="X970" s="31"/>
      <c r="AD970" s="31"/>
      <c r="AE970" s="31"/>
      <c r="AF970" s="31"/>
    </row>
    <row r="971" ht="15.75" hidden="1" customHeight="1">
      <c r="H971" s="81"/>
      <c r="N971" s="85"/>
      <c r="O971" s="85"/>
      <c r="P971" s="86"/>
      <c r="V971" s="31"/>
      <c r="W971" s="31"/>
      <c r="X971" s="31"/>
      <c r="AD971" s="31"/>
      <c r="AE971" s="31"/>
      <c r="AF971" s="31"/>
    </row>
    <row r="972" ht="15.75" hidden="1" customHeight="1">
      <c r="H972" s="81"/>
      <c r="N972" s="85"/>
      <c r="O972" s="85"/>
      <c r="P972" s="86"/>
      <c r="V972" s="31"/>
      <c r="W972" s="31"/>
      <c r="X972" s="31"/>
      <c r="AD972" s="31"/>
      <c r="AE972" s="31"/>
      <c r="AF972" s="31"/>
    </row>
    <row r="973" ht="15.75" hidden="1" customHeight="1">
      <c r="H973" s="81"/>
      <c r="N973" s="85"/>
      <c r="O973" s="85"/>
      <c r="P973" s="86"/>
      <c r="V973" s="31"/>
      <c r="W973" s="31"/>
      <c r="X973" s="31"/>
      <c r="AD973" s="31"/>
      <c r="AE973" s="31"/>
      <c r="AF973" s="31"/>
    </row>
    <row r="974" ht="15.75" hidden="1" customHeight="1">
      <c r="H974" s="81"/>
      <c r="N974" s="85"/>
      <c r="O974" s="85"/>
      <c r="P974" s="86"/>
      <c r="V974" s="31"/>
      <c r="W974" s="31"/>
      <c r="X974" s="31"/>
      <c r="AD974" s="31"/>
      <c r="AE974" s="31"/>
      <c r="AF974" s="31"/>
    </row>
    <row r="975" ht="15.75" hidden="1" customHeight="1">
      <c r="H975" s="81"/>
      <c r="N975" s="85"/>
      <c r="O975" s="85"/>
      <c r="P975" s="86"/>
      <c r="V975" s="31"/>
      <c r="W975" s="31"/>
      <c r="X975" s="31"/>
      <c r="AD975" s="31"/>
      <c r="AE975" s="31"/>
      <c r="AF975" s="31"/>
    </row>
    <row r="976" ht="15.75" hidden="1" customHeight="1">
      <c r="H976" s="81"/>
      <c r="N976" s="85"/>
      <c r="O976" s="85"/>
      <c r="P976" s="86"/>
      <c r="V976" s="31"/>
      <c r="W976" s="31"/>
      <c r="X976" s="31"/>
      <c r="AD976" s="31"/>
      <c r="AE976" s="31"/>
      <c r="AF976" s="31"/>
    </row>
    <row r="977" ht="15.75" hidden="1" customHeight="1">
      <c r="H977" s="81"/>
      <c r="N977" s="85"/>
      <c r="O977" s="85"/>
      <c r="P977" s="86"/>
      <c r="V977" s="31"/>
      <c r="W977" s="31"/>
      <c r="X977" s="31"/>
      <c r="AD977" s="31"/>
      <c r="AE977" s="31"/>
      <c r="AF977" s="31"/>
    </row>
    <row r="978" ht="15.75" hidden="1" customHeight="1">
      <c r="H978" s="81"/>
      <c r="N978" s="85"/>
      <c r="O978" s="85"/>
      <c r="P978" s="86"/>
      <c r="V978" s="31"/>
      <c r="W978" s="31"/>
      <c r="X978" s="31"/>
      <c r="AD978" s="31"/>
      <c r="AE978" s="31"/>
      <c r="AF978" s="31"/>
    </row>
    <row r="979" ht="15.75" hidden="1" customHeight="1">
      <c r="H979" s="81"/>
      <c r="N979" s="85"/>
      <c r="O979" s="85"/>
      <c r="P979" s="86"/>
      <c r="V979" s="31"/>
      <c r="W979" s="31"/>
      <c r="X979" s="31"/>
      <c r="AD979" s="31"/>
      <c r="AE979" s="31"/>
      <c r="AF979" s="31"/>
    </row>
    <row r="980" ht="15.75" hidden="1" customHeight="1">
      <c r="H980" s="81"/>
      <c r="N980" s="85"/>
      <c r="O980" s="85"/>
      <c r="P980" s="86"/>
      <c r="V980" s="31"/>
      <c r="W980" s="31"/>
      <c r="X980" s="31"/>
      <c r="AD980" s="31"/>
      <c r="AE980" s="31"/>
      <c r="AF980" s="31"/>
    </row>
    <row r="981" ht="15.75" hidden="1" customHeight="1">
      <c r="H981" s="81"/>
      <c r="N981" s="85"/>
      <c r="O981" s="85"/>
      <c r="P981" s="86"/>
      <c r="V981" s="31"/>
      <c r="W981" s="31"/>
      <c r="X981" s="31"/>
      <c r="AD981" s="31"/>
      <c r="AE981" s="31"/>
      <c r="AF981" s="31"/>
    </row>
    <row r="982" ht="15.75" hidden="1" customHeight="1">
      <c r="H982" s="81"/>
      <c r="N982" s="85"/>
      <c r="O982" s="85"/>
      <c r="P982" s="86"/>
      <c r="V982" s="31"/>
      <c r="W982" s="31"/>
      <c r="X982" s="31"/>
      <c r="AD982" s="31"/>
      <c r="AE982" s="31"/>
      <c r="AF982" s="31"/>
    </row>
    <row r="983" ht="15.75" hidden="1" customHeight="1">
      <c r="H983" s="81"/>
      <c r="N983" s="85"/>
      <c r="O983" s="85"/>
      <c r="P983" s="86"/>
      <c r="V983" s="31"/>
      <c r="W983" s="31"/>
      <c r="X983" s="31"/>
      <c r="AD983" s="31"/>
      <c r="AE983" s="31"/>
      <c r="AF983" s="31"/>
    </row>
    <row r="984" ht="15.75" hidden="1" customHeight="1">
      <c r="H984" s="81"/>
      <c r="N984" s="85"/>
      <c r="O984" s="85"/>
      <c r="P984" s="86"/>
      <c r="V984" s="31"/>
      <c r="W984" s="31"/>
      <c r="X984" s="31"/>
      <c r="AD984" s="31"/>
      <c r="AE984" s="31"/>
      <c r="AF984" s="31"/>
    </row>
    <row r="985" ht="15.75" hidden="1" customHeight="1">
      <c r="H985" s="81"/>
      <c r="N985" s="85"/>
      <c r="O985" s="85"/>
      <c r="P985" s="86"/>
      <c r="V985" s="31"/>
      <c r="W985" s="31"/>
      <c r="X985" s="31"/>
      <c r="AD985" s="31"/>
      <c r="AE985" s="31"/>
      <c r="AF985" s="31"/>
    </row>
    <row r="986" ht="15.75" hidden="1" customHeight="1">
      <c r="H986" s="81"/>
      <c r="N986" s="85"/>
      <c r="O986" s="85"/>
      <c r="P986" s="86"/>
      <c r="V986" s="31"/>
      <c r="W986" s="31"/>
      <c r="X986" s="31"/>
      <c r="AD986" s="31"/>
      <c r="AE986" s="31"/>
      <c r="AF986" s="31"/>
    </row>
    <row r="987" ht="15.75" hidden="1" customHeight="1">
      <c r="H987" s="81"/>
      <c r="N987" s="85"/>
      <c r="O987" s="85"/>
      <c r="P987" s="86"/>
      <c r="V987" s="31"/>
      <c r="W987" s="31"/>
      <c r="X987" s="31"/>
      <c r="AD987" s="31"/>
      <c r="AE987" s="31"/>
      <c r="AF987" s="31"/>
    </row>
    <row r="988" ht="15.75" hidden="1" customHeight="1">
      <c r="H988" s="81"/>
      <c r="N988" s="85"/>
      <c r="O988" s="85"/>
      <c r="P988" s="86"/>
      <c r="V988" s="31"/>
      <c r="W988" s="31"/>
      <c r="X988" s="31"/>
      <c r="AD988" s="31"/>
      <c r="AE988" s="31"/>
      <c r="AF988" s="31"/>
    </row>
    <row r="989" ht="15.75" hidden="1" customHeight="1">
      <c r="H989" s="81"/>
      <c r="N989" s="85"/>
      <c r="O989" s="85"/>
      <c r="P989" s="86"/>
      <c r="V989" s="31"/>
      <c r="W989" s="31"/>
      <c r="X989" s="31"/>
      <c r="AD989" s="31"/>
      <c r="AE989" s="31"/>
      <c r="AF989" s="31"/>
    </row>
    <row r="990" ht="15.75" hidden="1" customHeight="1">
      <c r="H990" s="81"/>
      <c r="N990" s="85"/>
      <c r="O990" s="85"/>
      <c r="P990" s="86"/>
      <c r="V990" s="31"/>
      <c r="W990" s="31"/>
      <c r="X990" s="31"/>
      <c r="AD990" s="31"/>
      <c r="AE990" s="31"/>
      <c r="AF990" s="31"/>
    </row>
    <row r="991" ht="15.75" hidden="1" customHeight="1">
      <c r="H991" s="81"/>
      <c r="N991" s="85"/>
      <c r="O991" s="85"/>
      <c r="P991" s="86"/>
      <c r="V991" s="31"/>
      <c r="W991" s="31"/>
      <c r="X991" s="31"/>
      <c r="AD991" s="31"/>
      <c r="AE991" s="31"/>
      <c r="AF991" s="31"/>
    </row>
    <row r="992" ht="15.75" hidden="1" customHeight="1">
      <c r="H992" s="81"/>
      <c r="N992" s="85"/>
      <c r="O992" s="85"/>
      <c r="P992" s="86"/>
      <c r="V992" s="31"/>
      <c r="W992" s="31"/>
      <c r="X992" s="31"/>
      <c r="AD992" s="31"/>
      <c r="AE992" s="31"/>
      <c r="AF992" s="31"/>
    </row>
    <row r="993" ht="15.75" hidden="1" customHeight="1">
      <c r="H993" s="81"/>
      <c r="N993" s="85"/>
      <c r="O993" s="85"/>
      <c r="P993" s="86"/>
      <c r="V993" s="31"/>
      <c r="W993" s="31"/>
      <c r="X993" s="31"/>
      <c r="AD993" s="31"/>
      <c r="AE993" s="31"/>
      <c r="AF993" s="31"/>
    </row>
    <row r="994" ht="15.75" hidden="1" customHeight="1">
      <c r="H994" s="81"/>
      <c r="N994" s="85"/>
      <c r="O994" s="85"/>
      <c r="P994" s="86"/>
      <c r="V994" s="31"/>
      <c r="W994" s="31"/>
      <c r="X994" s="31"/>
      <c r="AD994" s="31"/>
      <c r="AE994" s="31"/>
      <c r="AF994" s="31"/>
    </row>
    <row r="995" ht="15.75" hidden="1" customHeight="1">
      <c r="H995" s="81"/>
      <c r="N995" s="85"/>
      <c r="O995" s="85"/>
      <c r="P995" s="86"/>
      <c r="V995" s="31"/>
      <c r="W995" s="31"/>
      <c r="X995" s="31"/>
      <c r="AD995" s="31"/>
      <c r="AE995" s="31"/>
      <c r="AF995" s="31"/>
    </row>
    <row r="996" ht="15.75" hidden="1" customHeight="1">
      <c r="H996" s="81"/>
      <c r="N996" s="85"/>
      <c r="O996" s="85"/>
      <c r="P996" s="86"/>
      <c r="V996" s="31"/>
      <c r="W996" s="31"/>
      <c r="X996" s="31"/>
      <c r="AD996" s="31"/>
      <c r="AE996" s="31"/>
      <c r="AF996" s="31"/>
    </row>
    <row r="997" ht="15.75" hidden="1" customHeight="1">
      <c r="H997" s="81"/>
      <c r="N997" s="85"/>
      <c r="O997" s="85"/>
      <c r="P997" s="86"/>
      <c r="V997" s="31"/>
      <c r="W997" s="31"/>
      <c r="X997" s="31"/>
      <c r="AD997" s="31"/>
      <c r="AE997" s="31"/>
      <c r="AF997" s="31"/>
    </row>
    <row r="998" ht="15.75" hidden="1" customHeight="1">
      <c r="H998" s="81"/>
      <c r="N998" s="85"/>
      <c r="O998" s="85"/>
      <c r="P998" s="86"/>
      <c r="V998" s="31"/>
      <c r="W998" s="31"/>
      <c r="X998" s="31"/>
      <c r="AD998" s="31"/>
      <c r="AE998" s="31"/>
      <c r="AF998" s="31"/>
    </row>
    <row r="999" ht="15.75" hidden="1" customHeight="1">
      <c r="H999" s="81"/>
      <c r="N999" s="85"/>
      <c r="O999" s="85"/>
      <c r="P999" s="86"/>
      <c r="V999" s="31"/>
      <c r="W999" s="31"/>
      <c r="X999" s="31"/>
      <c r="AD999" s="31"/>
      <c r="AE999" s="31"/>
      <c r="AF999" s="31"/>
    </row>
    <row r="1000" ht="15.75" hidden="1" customHeight="1">
      <c r="H1000" s="81"/>
      <c r="N1000" s="85"/>
      <c r="O1000" s="85"/>
      <c r="P1000" s="86"/>
      <c r="V1000" s="31"/>
      <c r="W1000" s="31"/>
      <c r="X1000" s="31"/>
      <c r="AD1000" s="31"/>
      <c r="AE1000" s="31"/>
      <c r="AF1000" s="31"/>
    </row>
  </sheetData>
  <mergeCells count="10">
    <mergeCell ref="Q2:X2"/>
    <mergeCell ref="Y2:AF2"/>
    <mergeCell ref="A1:H1"/>
    <mergeCell ref="I1:P1"/>
    <mergeCell ref="Q1:X1"/>
    <mergeCell ref="Y1:AF1"/>
    <mergeCell ref="AG1:AN1"/>
    <mergeCell ref="A2:H2"/>
    <mergeCell ref="I2:P2"/>
    <mergeCell ref="AG2:AN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38"/>
    <col customWidth="1" min="3" max="3" width="17.88"/>
    <col customWidth="1" min="4" max="18" width="11.38"/>
    <col customWidth="1" min="19" max="19" width="16.38"/>
    <col customWidth="1" min="20" max="26" width="11.38"/>
    <col customWidth="1" min="27" max="27" width="21.0"/>
    <col customWidth="1" min="28" max="34" width="11.38"/>
    <col customWidth="1" min="35" max="35" width="16.13"/>
    <col customWidth="1" min="36" max="40" width="11.38"/>
  </cols>
  <sheetData>
    <row r="1">
      <c r="A1" s="49" t="s">
        <v>21</v>
      </c>
      <c r="B1" s="2"/>
      <c r="C1" s="2"/>
      <c r="D1" s="2"/>
      <c r="E1" s="2"/>
      <c r="F1" s="2"/>
      <c r="G1" s="2"/>
      <c r="H1" s="50"/>
      <c r="I1" s="51" t="s">
        <v>22</v>
      </c>
      <c r="J1" s="2"/>
      <c r="K1" s="2"/>
      <c r="L1" s="2"/>
      <c r="M1" s="2"/>
      <c r="N1" s="2"/>
      <c r="O1" s="2"/>
      <c r="P1" s="50"/>
      <c r="Q1" s="52" t="s">
        <v>21</v>
      </c>
      <c r="R1" s="2"/>
      <c r="S1" s="2"/>
      <c r="T1" s="2"/>
      <c r="U1" s="2"/>
      <c r="V1" s="2"/>
      <c r="W1" s="2"/>
      <c r="X1" s="50"/>
      <c r="Y1" s="53" t="s">
        <v>22</v>
      </c>
      <c r="Z1" s="2"/>
      <c r="AA1" s="2"/>
      <c r="AB1" s="2"/>
      <c r="AC1" s="2"/>
      <c r="AD1" s="2"/>
      <c r="AE1" s="2"/>
      <c r="AF1" s="50"/>
      <c r="AG1" s="54" t="s">
        <v>23</v>
      </c>
      <c r="AH1" s="2"/>
      <c r="AI1" s="2"/>
      <c r="AJ1" s="2"/>
      <c r="AK1" s="2"/>
      <c r="AL1" s="2"/>
      <c r="AM1" s="2"/>
      <c r="AN1" s="50"/>
    </row>
    <row r="2">
      <c r="A2" s="55">
        <v>46144.0</v>
      </c>
      <c r="B2" s="2"/>
      <c r="C2" s="2"/>
      <c r="D2" s="2"/>
      <c r="E2" s="2"/>
      <c r="F2" s="2"/>
      <c r="G2" s="2"/>
      <c r="H2" s="50"/>
      <c r="I2" s="56">
        <v>46151.0</v>
      </c>
      <c r="J2" s="2"/>
      <c r="K2" s="2"/>
      <c r="L2" s="2"/>
      <c r="M2" s="2"/>
      <c r="N2" s="2"/>
      <c r="O2" s="2"/>
      <c r="P2" s="50"/>
      <c r="Q2" s="57">
        <v>46158.0</v>
      </c>
      <c r="R2" s="2"/>
      <c r="S2" s="2"/>
      <c r="T2" s="2"/>
      <c r="U2" s="2"/>
      <c r="V2" s="2"/>
      <c r="W2" s="2"/>
      <c r="X2" s="50"/>
      <c r="Y2" s="58">
        <v>46165.0</v>
      </c>
      <c r="Z2" s="2"/>
      <c r="AA2" s="2"/>
      <c r="AB2" s="2"/>
      <c r="AC2" s="2"/>
      <c r="AD2" s="2"/>
      <c r="AE2" s="2"/>
      <c r="AF2" s="50"/>
      <c r="AG2" s="59">
        <v>46172.0</v>
      </c>
      <c r="AH2" s="2"/>
      <c r="AI2" s="2"/>
      <c r="AJ2" s="2"/>
      <c r="AK2" s="2"/>
      <c r="AL2" s="2"/>
      <c r="AM2" s="2"/>
      <c r="AN2" s="50"/>
    </row>
    <row r="3" ht="25.5" customHeight="1">
      <c r="A3" s="60" t="str">
        <f>IFERROR(__xludf.DUMMYFUNCTION("QUERY(
 'Raw Data'!B:G,
 ""SELECT Col2,Col3,Col4,Col5,Col6
  WHERE Col1 = date '""&amp;TEXT(A2,""yyyy-MM-dd"")&amp;""'
  ORDER BY Col5 DESC
  LABEL
   Col2 'Jugador',
   Col3 'Set',
   Col4 'Arquetipo',
   Col5 'Wins',
   Col6 'Losses'"",
 1
)"),"Jugador")</f>
        <v>Jugador</v>
      </c>
      <c r="B3" s="60" t="str">
        <f>IFERROR(__xludf.DUMMYFUNCTION("""COMPUTED_VALUE"""),"Set")</f>
        <v>Set</v>
      </c>
      <c r="C3" s="60" t="str">
        <f>IFERROR(__xludf.DUMMYFUNCTION("""COMPUTED_VALUE"""),"Arquetipo")</f>
        <v>Arquetipo</v>
      </c>
      <c r="D3" s="60" t="str">
        <f>IFERROR(__xludf.DUMMYFUNCTION("""COMPUTED_VALUE"""),"Wins")</f>
        <v>Wins</v>
      </c>
      <c r="E3" s="60" t="str">
        <f>IFERROR(__xludf.DUMMYFUNCTION("""COMPUTED_VALUE"""),"Losses")</f>
        <v>Losses</v>
      </c>
      <c r="F3" s="60" t="s">
        <v>24</v>
      </c>
      <c r="G3" s="60" t="s">
        <v>24</v>
      </c>
      <c r="H3" s="61" t="s">
        <v>24</v>
      </c>
      <c r="I3" s="62" t="str">
        <f>IFERROR(__xludf.DUMMYFUNCTION("QUERY(
 'Raw Data'!B:G,
 ""SELECT Col2,Col3,Col4,Col5,Col6
  WHERE Col1 = date '""&amp;TEXT(I2,""yyyy-MM-dd"")&amp;""'
  ORDER BY Col5 DESC
  LABEL
   Col2 'Jugador',
   Col3 'Set',
   Col4 'Arquetipo',
   Col5 'Wins',
   Col6 'Losses'"",
 1
)"),"Jugador")</f>
        <v>Jugador</v>
      </c>
      <c r="J3" s="60" t="str">
        <f>IFERROR(__xludf.DUMMYFUNCTION("""COMPUTED_VALUE"""),"Set")</f>
        <v>Set</v>
      </c>
      <c r="K3" s="60" t="str">
        <f>IFERROR(__xludf.DUMMYFUNCTION("""COMPUTED_VALUE"""),"Arquetipo")</f>
        <v>Arquetipo</v>
      </c>
      <c r="L3" s="60" t="str">
        <f>IFERROR(__xludf.DUMMYFUNCTION("""COMPUTED_VALUE"""),"Wins")</f>
        <v>Wins</v>
      </c>
      <c r="M3" s="60" t="str">
        <f>IFERROR(__xludf.DUMMYFUNCTION("""COMPUTED_VALUE"""),"Losses")</f>
        <v>Losses</v>
      </c>
      <c r="N3" s="60" t="s">
        <v>24</v>
      </c>
      <c r="O3" s="60" t="s">
        <v>24</v>
      </c>
      <c r="P3" s="61" t="s">
        <v>24</v>
      </c>
      <c r="Q3" s="63" t="str">
        <f>IFERROR(__xludf.DUMMYFUNCTION("QUERY(
 'Raw Data'!B:G,
 ""SELECT Col2,Col3,Col4,Col5,Col6
  WHERE Col1 = date '""&amp;TEXT(Q2,""yyyy-MM-dd"")&amp;""'
  ORDER BY Col5 DESC
  LABEL
   Col2 'Jugador',
   Col3 'Set',
   Col4 'Arquetipo',
   Col5 'Wins',
   Col6 'Losses'"",
 1
)"),"Jugador")</f>
        <v>Jugador</v>
      </c>
      <c r="R3" s="64" t="str">
        <f>IFERROR(__xludf.DUMMYFUNCTION("""COMPUTED_VALUE"""),"Set")</f>
        <v>Set</v>
      </c>
      <c r="S3" s="64" t="str">
        <f>IFERROR(__xludf.DUMMYFUNCTION("""COMPUTED_VALUE"""),"Arquetipo")</f>
        <v>Arquetipo</v>
      </c>
      <c r="T3" s="64" t="str">
        <f>IFERROR(__xludf.DUMMYFUNCTION("""COMPUTED_VALUE"""),"Wins")</f>
        <v>Wins</v>
      </c>
      <c r="U3" s="64" t="str">
        <f>IFERROR(__xludf.DUMMYFUNCTION("""COMPUTED_VALUE"""),"Losses")</f>
        <v>Losses</v>
      </c>
      <c r="V3" s="64" t="s">
        <v>24</v>
      </c>
      <c r="W3" s="64" t="s">
        <v>24</v>
      </c>
      <c r="X3" s="65" t="s">
        <v>24</v>
      </c>
      <c r="Y3" s="66" t="str">
        <f>IFERROR(__xludf.DUMMYFUNCTION("QUERY(
 'Raw Data'!B:G,
 ""SELECT Col2,Col3,Col4,Col5,Col6
  WHERE Col1 = date '""&amp;TEXT(Y2,""yyyy-MM-dd"")&amp;""'
  ORDER BY Col5 DESC
  LABEL
   Col2 'Jugador',
   Col3 'Set',
   Col4 'Arquetipo',
   Col5 'Wins',
   Col6 'Losses'"",
 1
)"),"Jugador")</f>
        <v>Jugador</v>
      </c>
      <c r="Z3" s="67" t="str">
        <f>IFERROR(__xludf.DUMMYFUNCTION("""COMPUTED_VALUE"""),"Set")</f>
        <v>Set</v>
      </c>
      <c r="AA3" s="67" t="str">
        <f>IFERROR(__xludf.DUMMYFUNCTION("""COMPUTED_VALUE"""),"Arquetipo")</f>
        <v>Arquetipo</v>
      </c>
      <c r="AB3" s="67" t="str">
        <f>IFERROR(__xludf.DUMMYFUNCTION("""COMPUTED_VALUE"""),"Wins")</f>
        <v>Wins</v>
      </c>
      <c r="AC3" s="67" t="str">
        <f>IFERROR(__xludf.DUMMYFUNCTION("""COMPUTED_VALUE"""),"Losses")</f>
        <v>Losses</v>
      </c>
      <c r="AD3" s="67" t="s">
        <v>24</v>
      </c>
      <c r="AE3" s="67" t="s">
        <v>24</v>
      </c>
      <c r="AF3" s="68" t="s">
        <v>24</v>
      </c>
      <c r="AG3" s="69" t="str">
        <f>IFERROR(__xludf.DUMMYFUNCTION("QUERY(
 'Raw Data'!B:G,
 ""SELECT Col2,Col3,Col4,Col5,Col6
  WHERE Col1 = date '""&amp;TEXT(AG2,""yyyy-MM-dd"")&amp;""'
  ORDER BY Col5 DESC
  LABEL
   Col2 'Jugador',
   Col3 'Set',
   Col4 'Arquetipo',
   Col5 'Wins',
   Col6 'Losses'"",
 1
)"),"Jugador")</f>
        <v>Jugador</v>
      </c>
      <c r="AH3" s="70" t="str">
        <f>IFERROR(__xludf.DUMMYFUNCTION("""COMPUTED_VALUE"""),"Set")</f>
        <v>Set</v>
      </c>
      <c r="AI3" s="70" t="str">
        <f>IFERROR(__xludf.DUMMYFUNCTION("""COMPUTED_VALUE"""),"Arquetipo")</f>
        <v>Arquetipo</v>
      </c>
      <c r="AJ3" s="70" t="str">
        <f>IFERROR(__xludf.DUMMYFUNCTION("""COMPUTED_VALUE"""),"Wins")</f>
        <v>Wins</v>
      </c>
      <c r="AK3" s="70" t="str">
        <f>IFERROR(__xludf.DUMMYFUNCTION("""COMPUTED_VALUE"""),"Losses")</f>
        <v>Losses</v>
      </c>
      <c r="AL3" s="70" t="s">
        <v>24</v>
      </c>
      <c r="AM3" s="70" t="s">
        <v>24</v>
      </c>
      <c r="AN3" s="71" t="s">
        <v>24</v>
      </c>
    </row>
    <row r="4" ht="75.0" customHeight="1">
      <c r="A4" s="72" t="str">
        <f>IFERROR(__xludf.DUMMYFUNCTION("""COMPUTED_VALUE"""),"YoniTheRobot")</f>
        <v>YoniTheRobot</v>
      </c>
      <c r="B4" s="73" t="str">
        <f>IFERROR(__xludf.DUMMYFUNCTION("""COMPUTED_VALUE"""),"AYT")</f>
        <v>AYT</v>
      </c>
      <c r="C4" s="74" t="str">
        <f>IFERROR(__xludf.DUMMYFUNCTION("""COMPUTED_VALUE"""),"8 Pants")</f>
        <v>8 Pants</v>
      </c>
      <c r="D4" s="73">
        <f>IFERROR(__xludf.DUMMYFUNCTION("""COMPUTED_VALUE"""),4.0)</f>
        <v>4</v>
      </c>
      <c r="E4" s="73">
        <f>IFERROR(__xludf.DUMMYFUNCTION("""COMPUTED_VALUE"""),0.0)</f>
        <v>0</v>
      </c>
      <c r="F4" s="35" t="str">
        <f>IFERROR(__xludf.DUMMYFUNCTION("IF(A4="""","""",IMAGE(QUERY('Deck Info'!A:F,""SELECT D WHERE A = '""&amp;B4&amp;""' AND B = '""&amp;C4&amp;""'"")))"),"")</f>
        <v/>
      </c>
      <c r="G4" s="35" t="str">
        <f>IFERROR(__xludf.DUMMYFUNCTION("IF(A4="""","""",IMAGE(QUERY('Deck Info'!A:F,""SELECT E WHERE A = '""&amp;B4&amp;""' AND B = '""&amp;C4&amp;""'"")))"),"")</f>
        <v/>
      </c>
      <c r="H4" s="75" t="str">
        <f>IFERROR(__xludf.DUMMYFUNCTION("IF(A4="""","""",IMAGE(QUERY('Deck Info'!A:F,""SELECT F WHERE A = '""&amp;B4&amp;""' AND B = '""&amp;C4&amp;""'"")))"),"")</f>
        <v/>
      </c>
      <c r="I4" s="76" t="str">
        <f>IFERROR(__xludf.DUMMYFUNCTION("""COMPUTED_VALUE"""),"YoniTheRobot")</f>
        <v>YoniTheRobot</v>
      </c>
      <c r="J4" s="73" t="str">
        <f>IFERROR(__xludf.DUMMYFUNCTION("""COMPUTED_VALUE"""),"NIK")</f>
        <v>NIK</v>
      </c>
      <c r="K4" s="74" t="str">
        <f>IFERROR(__xludf.DUMMYFUNCTION("""COMPUTED_VALUE"""),"Door Standby")</f>
        <v>Door Standby</v>
      </c>
      <c r="L4" s="73">
        <f>IFERROR(__xludf.DUMMYFUNCTION("""COMPUTED_VALUE"""),5.0)</f>
        <v>5</v>
      </c>
      <c r="M4" s="73">
        <f>IFERROR(__xludf.DUMMYFUNCTION("""COMPUTED_VALUE"""),0.0)</f>
        <v>0</v>
      </c>
      <c r="N4" s="77" t="str">
        <f>IFERROR(__xludf.DUMMYFUNCTION("IF(I4="""","""",IMAGE(QUERY('Deck Info'!A:F,""SELECT D WHERE A = '""&amp;J4&amp;""' AND B = '""&amp;K4&amp;""'"")))"),"")</f>
        <v/>
      </c>
      <c r="O4" s="77" t="str">
        <f>IFERROR(__xludf.DUMMYFUNCTION("IF(I4="""","""",IMAGE(QUERY('Deck Info'!A:F,""SELECT E WHERE A = '""&amp;J4&amp;""' AND B = '""&amp;K4&amp;""'"")))"),"")</f>
        <v/>
      </c>
      <c r="P4" s="78" t="str">
        <f>IFERROR(__xludf.DUMMYFUNCTION("IF(I4="""","""",IMAGE(QUERY('Deck Info'!A:F,""SELECT F WHERE A = '""&amp;J4&amp;""' AND B = '""&amp;K4&amp;""'"")))"),"")</f>
        <v/>
      </c>
      <c r="Q4" s="76" t="str">
        <f>IFERROR(__xludf.DUMMYFUNCTION("""COMPUTED_VALUE"""),"Sp3ctrum")</f>
        <v>Sp3ctrum</v>
      </c>
      <c r="R4" s="73" t="str">
        <f>IFERROR(__xludf.DUMMYFUNCTION("""COMPUTED_VALUE"""),"OSK")</f>
        <v>OSK</v>
      </c>
      <c r="S4" s="74" t="str">
        <f>IFERROR(__xludf.DUMMYFUNCTION("""COMPUTED_VALUE"""),"Door Pants")</f>
        <v>Door Pants</v>
      </c>
      <c r="T4" s="73">
        <f>IFERROR(__xludf.DUMMYFUNCTION("""COMPUTED_VALUE"""),4.0)</f>
        <v>4</v>
      </c>
      <c r="U4" s="73">
        <f>IFERROR(__xludf.DUMMYFUNCTION("""COMPUTED_VALUE"""),0.0)</f>
        <v>0</v>
      </c>
      <c r="V4" s="35" t="str">
        <f>IFERROR(__xludf.DUMMYFUNCTION("IF(Q4="""","""",IMAGE(QUERY('Deck Info'!A:F,""SELECT D WHERE A = '""&amp;R4&amp;""' AND B = '""&amp;S4&amp;""'"")))"),"")</f>
        <v/>
      </c>
      <c r="W4" s="35" t="str">
        <f>IFERROR(__xludf.DUMMYFUNCTION("IF(Q4="""","""",IMAGE(QUERY('Deck Info'!A:F,""SELECT E WHERE A = '""&amp;R4&amp;""' AND B = '""&amp;S4&amp;""'"")))"),"")</f>
        <v/>
      </c>
      <c r="X4" s="75" t="str">
        <f>IFERROR(__xludf.DUMMYFUNCTION("IF(Q4="""","""",IMAGE(QUERY('Deck Info'!A:F,""SELECT F WHERE A = '""&amp;R4&amp;""' AND B = '""&amp;S4&amp;""'"")))"),"")</f>
        <v/>
      </c>
      <c r="Y4" s="76" t="str">
        <f>IFERROR(__xludf.DUMMYFUNCTION("""COMPUTED_VALUE"""),"Seyer")</f>
        <v>Seyer</v>
      </c>
      <c r="Z4" s="73" t="str">
        <f>IFERROR(__xludf.DUMMYFUNCTION("""COMPUTED_VALUE"""),"LRC")</f>
        <v>LRC</v>
      </c>
      <c r="AA4" s="74" t="str">
        <f>IFERROR(__xludf.DUMMYFUNCTION("""COMPUTED_VALUE"""),"8 Door")</f>
        <v>8 Door</v>
      </c>
      <c r="AB4" s="73">
        <f>IFERROR(__xludf.DUMMYFUNCTION("""COMPUTED_VALUE"""),4.0)</f>
        <v>4</v>
      </c>
      <c r="AC4" s="73">
        <f>IFERROR(__xludf.DUMMYFUNCTION("""COMPUTED_VALUE"""),1.0)</f>
        <v>1</v>
      </c>
      <c r="AD4" s="35" t="str">
        <f>IFERROR(__xludf.DUMMYFUNCTION("IF(Y4="""","""",IMAGE(QUERY('Deck Info'!A:F,""SELECT D WHERE A = '""&amp;Z4&amp;""' AND B = '""&amp;AA4&amp;""'"")))"),"")</f>
        <v/>
      </c>
      <c r="AE4" s="35" t="str">
        <f>IFERROR(__xludf.DUMMYFUNCTION("IF(Y4="""","""",IMAGE(QUERY('Deck Info'!A:F,""SELECT E WHERE A = '""&amp;Z4&amp;""' AND B = '""&amp;AA4&amp;""'"")))"),"")</f>
        <v/>
      </c>
      <c r="AF4" s="75" t="str">
        <f>IFERROR(__xludf.DUMMYFUNCTION("IF(Y4="""","""",IMAGE(QUERY('Deck Info'!A:F,""SELECT F WHERE A = '""&amp;Z4&amp;""' AND B = '""&amp;AA4&amp;""'"")))"),"")</f>
        <v/>
      </c>
      <c r="AG4" s="76" t="str">
        <f>IFERROR(__xludf.DUMMYFUNCTION("""COMPUTED_VALUE"""),"Will")</f>
        <v>Will</v>
      </c>
      <c r="AH4" s="73" t="str">
        <f>IFERROR(__xludf.DUMMYFUNCTION("""COMPUTED_VALUE"""),"NIK")</f>
        <v>NIK</v>
      </c>
      <c r="AI4" s="74" t="str">
        <f>IFERROR(__xludf.DUMMYFUNCTION("""COMPUTED_VALUE"""),"Door Standby")</f>
        <v>Door Standby</v>
      </c>
      <c r="AJ4" s="73">
        <f>IFERROR(__xludf.DUMMYFUNCTION("""COMPUTED_VALUE"""),4.0)</f>
        <v>4</v>
      </c>
      <c r="AK4" s="73">
        <f>IFERROR(__xludf.DUMMYFUNCTION("""COMPUTED_VALUE"""),0.0)</f>
        <v>0</v>
      </c>
      <c r="AL4" s="35" t="str">
        <f>IFERROR(__xludf.DUMMYFUNCTION("IF(AG4="""","""",IMAGE(QUERY('Deck Info'!A:F,""SELECT D WHERE A = '""&amp;AH4&amp;""' AND B = '""&amp;AI4&amp;""'"")))"),"")</f>
        <v/>
      </c>
      <c r="AM4" s="35" t="str">
        <f>IFERROR(__xludf.DUMMYFUNCTION("IF(AG4="""","""",IMAGE(QUERY('Deck Info'!A:F,""SELECT E WHERE A = '""&amp;AH4&amp;""' AND B = '""&amp;AI4&amp;""'"")))"),"")</f>
        <v/>
      </c>
      <c r="AN4" s="75" t="str">
        <f>IFERROR(__xludf.DUMMYFUNCTION("IF(AG4="""","""",IMAGE(QUERY('Deck Info'!A:F,""SELECT F WHERE A = '""&amp;AH4&amp;""' AND B = '""&amp;AI4&amp;""'"")))"),"")</f>
        <v/>
      </c>
    </row>
    <row r="5" ht="75.0" customHeight="1">
      <c r="A5" s="72" t="str">
        <f>IFERROR(__xludf.DUMMYFUNCTION("""COMPUTED_VALUE"""),"STARK")</f>
        <v>STARK</v>
      </c>
      <c r="B5" s="73" t="str">
        <f>IFERROR(__xludf.DUMMYFUNCTION("""COMPUTED_VALUE"""),"EIS")</f>
        <v>EIS</v>
      </c>
      <c r="C5" s="74" t="str">
        <f>IFERROR(__xludf.DUMMYFUNCTION("""COMPUTED_VALUE"""),"8 Door TD")</f>
        <v>8 Door TD</v>
      </c>
      <c r="D5" s="73">
        <f>IFERROR(__xludf.DUMMYFUNCTION("""COMPUTED_VALUE"""),3.0)</f>
        <v>3</v>
      </c>
      <c r="E5" s="73">
        <f>IFERROR(__xludf.DUMMYFUNCTION("""COMPUTED_VALUE"""),1.0)</f>
        <v>1</v>
      </c>
      <c r="F5" s="35" t="str">
        <f>IFERROR(__xludf.DUMMYFUNCTION("IF(A5="""","""",IMAGE(QUERY('Deck Info'!A:F,""SELECT D WHERE A = '""&amp;B5&amp;""' AND B = '""&amp;C5&amp;""'"")))"),"")</f>
        <v/>
      </c>
      <c r="G5" s="35" t="str">
        <f>IFERROR(__xludf.DUMMYFUNCTION("IF(A5="""","""",IMAGE(QUERY('Deck Info'!A:F,""SELECT E WHERE A = '""&amp;B5&amp;""' AND B = '""&amp;C5&amp;""'"")))"),"")</f>
        <v/>
      </c>
      <c r="H5" s="75" t="str">
        <f>IFERROR(__xludf.DUMMYFUNCTION("IF(A5="""","""",IMAGE(QUERY('Deck Info'!A:F,""SELECT F WHERE A = '""&amp;B5&amp;""' AND B = '""&amp;C5&amp;""'"")))"),"")</f>
        <v/>
      </c>
      <c r="I5" s="79" t="str">
        <f>IFERROR(__xludf.DUMMYFUNCTION("""COMPUTED_VALUE"""),"Ostrovsky15")</f>
        <v>Ostrovsky15</v>
      </c>
      <c r="J5" s="73" t="str">
        <f>IFERROR(__xludf.DUMMYFUNCTION("""COMPUTED_VALUE"""),"OSK")</f>
        <v>OSK</v>
      </c>
      <c r="K5" s="74" t="str">
        <f>IFERROR(__xludf.DUMMYFUNCTION("""COMPUTED_VALUE"""),"Door Pants")</f>
        <v>Door Pants</v>
      </c>
      <c r="L5" s="73">
        <f>IFERROR(__xludf.DUMMYFUNCTION("""COMPUTED_VALUE"""),4.0)</f>
        <v>4</v>
      </c>
      <c r="M5" s="73">
        <f>IFERROR(__xludf.DUMMYFUNCTION("""COMPUTED_VALUE"""),1.0)</f>
        <v>1</v>
      </c>
      <c r="N5" s="77" t="str">
        <f>IFERROR(__xludf.DUMMYFUNCTION("IF(I5="""","""",IMAGE(QUERY('Deck Info'!A:F,""SELECT D WHERE A = '""&amp;J5&amp;""' AND B = '""&amp;K5&amp;""'"")))"),"")</f>
        <v/>
      </c>
      <c r="O5" s="77" t="str">
        <f>IFERROR(__xludf.DUMMYFUNCTION("IF(I5="""","""",IMAGE(QUERY('Deck Info'!A:F,""SELECT E WHERE A = '""&amp;J5&amp;""' AND B = '""&amp;K5&amp;""'"")))"),"")</f>
        <v/>
      </c>
      <c r="P5" s="78" t="str">
        <f>IFERROR(__xludf.DUMMYFUNCTION("IF(I5="""","""",IMAGE(QUERY('Deck Info'!A:F,""SELECT F WHERE A = '""&amp;J5&amp;""' AND B = '""&amp;K5&amp;""'"")))"),"")</f>
        <v/>
      </c>
      <c r="Q5" s="79" t="str">
        <f>IFERROR(__xludf.DUMMYFUNCTION("""COMPUTED_VALUE"""),"Will")</f>
        <v>Will</v>
      </c>
      <c r="R5" s="73" t="str">
        <f>IFERROR(__xludf.DUMMYFUNCTION("""COMPUTED_VALUE"""),"HOL")</f>
        <v>HOL</v>
      </c>
      <c r="S5" s="74" t="str">
        <f>IFERROR(__xludf.DUMMYFUNCTION("""COMPUTED_VALUE"""),"Polka Choco")</f>
        <v>Polka Choco</v>
      </c>
      <c r="T5" s="73">
        <f>IFERROR(__xludf.DUMMYFUNCTION("""COMPUTED_VALUE"""),3.0)</f>
        <v>3</v>
      </c>
      <c r="U5" s="73">
        <f>IFERROR(__xludf.DUMMYFUNCTION("""COMPUTED_VALUE"""),1.0)</f>
        <v>1</v>
      </c>
      <c r="V5" s="35" t="str">
        <f>IFERROR(__xludf.DUMMYFUNCTION("IF(Q5="""","""",IMAGE(QUERY('Deck Info'!A:F,""SELECT D WHERE A = '""&amp;R5&amp;""' AND B = '""&amp;S5&amp;""'"")))"),"")</f>
        <v/>
      </c>
      <c r="W5" s="35" t="str">
        <f>IFERROR(__xludf.DUMMYFUNCTION("IF(Q5="""","""",IMAGE(QUERY('Deck Info'!A:F,""SELECT E WHERE A = '""&amp;R5&amp;""' AND B = '""&amp;S5&amp;""'"")))"),"")</f>
        <v/>
      </c>
      <c r="X5" s="75" t="str">
        <f>IFERROR(__xludf.DUMMYFUNCTION("IF(Q5="""","""",IMAGE(QUERY('Deck Info'!A:F,""SELECT F WHERE A = '""&amp;R5&amp;""' AND B = '""&amp;S5&amp;""'"")))"),"")</f>
        <v/>
      </c>
      <c r="Y5" s="79" t="str">
        <f>IFERROR(__xludf.DUMMYFUNCTION("""COMPUTED_VALUE"""),"Kartoffel")</f>
        <v>Kartoffel</v>
      </c>
      <c r="Z5" s="73" t="str">
        <f>IFERROR(__xludf.DUMMYFUNCTION("""COMPUTED_VALUE"""),"MKI")</f>
        <v>MKI</v>
      </c>
      <c r="AA5" s="74" t="str">
        <f>IFERROR(__xludf.DUMMYFUNCTION("""COMPUTED_VALUE"""),"8 Door")</f>
        <v>8 Door</v>
      </c>
      <c r="AB5" s="73">
        <f>IFERROR(__xludf.DUMMYFUNCTION("""COMPUTED_VALUE"""),4.0)</f>
        <v>4</v>
      </c>
      <c r="AC5" s="73">
        <f>IFERROR(__xludf.DUMMYFUNCTION("""COMPUTED_VALUE"""),1.0)</f>
        <v>1</v>
      </c>
      <c r="AD5" s="35" t="str">
        <f>IFERROR(__xludf.DUMMYFUNCTION("IF(Y5="""","""",IMAGE(QUERY('Deck Info'!A:F,""SELECT D WHERE A = '""&amp;Z5&amp;""' AND B = '""&amp;AA5&amp;""'"")))"),"")</f>
        <v/>
      </c>
      <c r="AE5" s="35" t="str">
        <f>IFERROR(__xludf.DUMMYFUNCTION("IF(Y5="""","""",IMAGE(QUERY('Deck Info'!A:F,""SELECT E WHERE A = '""&amp;Z5&amp;""' AND B = '""&amp;AA5&amp;""'"")))"),"")</f>
        <v/>
      </c>
      <c r="AF5" s="75" t="str">
        <f>IFERROR(__xludf.DUMMYFUNCTION("IF(Y5="""","""",IMAGE(QUERY('Deck Info'!A:F,""SELECT F WHERE A = '""&amp;Z5&amp;""' AND B = '""&amp;AA5&amp;""'"")))"),"")</f>
        <v/>
      </c>
      <c r="AG5" s="79" t="str">
        <f>IFERROR(__xludf.DUMMYFUNCTION("""COMPUTED_VALUE"""),"Kartoffel")</f>
        <v>Kartoffel</v>
      </c>
      <c r="AH5" s="73" t="str">
        <f>IFERROR(__xludf.DUMMYFUNCTION("""COMPUTED_VALUE"""),"CSM")</f>
        <v>CSM</v>
      </c>
      <c r="AI5" s="74" t="str">
        <f>IFERROR(__xludf.DUMMYFUNCTION("""COMPUTED_VALUE"""),"StockSoul Bar")</f>
        <v>StockSoul Bar</v>
      </c>
      <c r="AJ5" s="73">
        <f>IFERROR(__xludf.DUMMYFUNCTION("""COMPUTED_VALUE"""),3.0)</f>
        <v>3</v>
      </c>
      <c r="AK5" s="73">
        <f>IFERROR(__xludf.DUMMYFUNCTION("""COMPUTED_VALUE"""),1.0)</f>
        <v>1</v>
      </c>
      <c r="AL5" s="35" t="str">
        <f>IFERROR(__xludf.DUMMYFUNCTION("IF(AG5="""","""",IMAGE(QUERY('Deck Info'!A:F,""SELECT D WHERE A = '""&amp;AH5&amp;""' AND B = '""&amp;AI5&amp;""'"")))"),"")</f>
        <v/>
      </c>
      <c r="AM5" s="35" t="str">
        <f>IFERROR(__xludf.DUMMYFUNCTION("IF(AG5="""","""",IMAGE(QUERY('Deck Info'!A:F,""SELECT E WHERE A = '""&amp;AH5&amp;""' AND B = '""&amp;AI5&amp;""'"")))"),"")</f>
        <v/>
      </c>
      <c r="AN5" s="75" t="str">
        <f>IFERROR(__xludf.DUMMYFUNCTION("IF(AG5="""","""",IMAGE(QUERY('Deck Info'!A:F,""SELECT F WHERE A = '""&amp;AH5&amp;""' AND B = '""&amp;AI5&amp;""'"")))"),"")</f>
        <v/>
      </c>
    </row>
    <row r="6" ht="75.0" customHeight="1">
      <c r="A6" s="72" t="str">
        <f>IFERROR(__xludf.DUMMYFUNCTION("""COMPUTED_VALUE"""),"JustFluffy")</f>
        <v>JustFluffy</v>
      </c>
      <c r="B6" s="73" t="str">
        <f>IFERROR(__xludf.DUMMYFUNCTION("""COMPUTED_VALUE"""),"EIS")</f>
        <v>EIS</v>
      </c>
      <c r="C6" s="74" t="str">
        <f>IFERROR(__xludf.DUMMYFUNCTION("""COMPUTED_VALUE"""),"8 Pants Atomic 1+3")</f>
        <v>8 Pants Atomic 1+3</v>
      </c>
      <c r="D6" s="73">
        <f>IFERROR(__xludf.DUMMYFUNCTION("""COMPUTED_VALUE"""),3.0)</f>
        <v>3</v>
      </c>
      <c r="E6" s="73">
        <f>IFERROR(__xludf.DUMMYFUNCTION("""COMPUTED_VALUE"""),1.0)</f>
        <v>1</v>
      </c>
      <c r="F6" s="35" t="str">
        <f>IFERROR(__xludf.DUMMYFUNCTION("IF(A6="""","""",IMAGE(QUERY('Deck Info'!A:F,""SELECT D WHERE A = '""&amp;B6&amp;""' AND B = '""&amp;C6&amp;""'"")))"),"")</f>
        <v/>
      </c>
      <c r="G6" s="35" t="str">
        <f>IFERROR(__xludf.DUMMYFUNCTION("IF(A6="""","""",IMAGE(QUERY('Deck Info'!A:F,""SELECT E WHERE A = '""&amp;B6&amp;""' AND B = '""&amp;C6&amp;""'"")))"),"")</f>
        <v/>
      </c>
      <c r="H6" s="75" t="str">
        <f>IFERROR(__xludf.DUMMYFUNCTION("IF(A6="""","""",IMAGE(QUERY('Deck Info'!A:F,""SELECT F WHERE A = '""&amp;B6&amp;""' AND B = '""&amp;C6&amp;""'"")))"),"")</f>
        <v/>
      </c>
      <c r="I6" s="79" t="str">
        <f>IFERROR(__xludf.DUMMYFUNCTION("""COMPUTED_VALUE"""),"Will")</f>
        <v>Will</v>
      </c>
      <c r="J6" s="73" t="str">
        <f>IFERROR(__xludf.DUMMYFUNCTION("""COMPUTED_VALUE"""),"EIS")</f>
        <v>EIS</v>
      </c>
      <c r="K6" s="74" t="str">
        <f>IFERROR(__xludf.DUMMYFUNCTION("""COMPUTED_VALUE"""),"8 Standby")</f>
        <v>8 Standby</v>
      </c>
      <c r="L6" s="73">
        <f>IFERROR(__xludf.DUMMYFUNCTION("""COMPUTED_VALUE"""),4.0)</f>
        <v>4</v>
      </c>
      <c r="M6" s="73">
        <f>IFERROR(__xludf.DUMMYFUNCTION("""COMPUTED_VALUE"""),1.0)</f>
        <v>1</v>
      </c>
      <c r="N6" s="77" t="str">
        <f>IFERROR(__xludf.DUMMYFUNCTION("IF(I6="""","""",IMAGE(QUERY('Deck Info'!A:F,""SELECT D WHERE A = '""&amp;J6&amp;""' AND B = '""&amp;K6&amp;""'"")))"),"")</f>
        <v/>
      </c>
      <c r="O6" s="77" t="str">
        <f>IFERROR(__xludf.DUMMYFUNCTION("IF(I6="""","""",IMAGE(QUERY('Deck Info'!A:F,""SELECT E WHERE A = '""&amp;J6&amp;""' AND B = '""&amp;K6&amp;""'"")))"),"")</f>
        <v/>
      </c>
      <c r="P6" s="78" t="str">
        <f>IFERROR(__xludf.DUMMYFUNCTION("IF(I6="""","""",IMAGE(QUERY('Deck Info'!A:F,""SELECT F WHERE A = '""&amp;J6&amp;""' AND B = '""&amp;K6&amp;""'"")))"),"")</f>
        <v/>
      </c>
      <c r="Q6" s="79" t="str">
        <f>IFERROR(__xludf.DUMMYFUNCTION("""COMPUTED_VALUE"""),"Seyer")</f>
        <v>Seyer</v>
      </c>
      <c r="R6" s="73" t="str">
        <f>IFERROR(__xludf.DUMMYFUNCTION("""COMPUTED_VALUE"""),"DDD")</f>
        <v>DDD</v>
      </c>
      <c r="S6" s="74" t="str">
        <f>IFERROR(__xludf.DUMMYFUNCTION("""COMPUTED_VALUE"""),"8 Bar")</f>
        <v>8 Bar</v>
      </c>
      <c r="T6" s="73">
        <f>IFERROR(__xludf.DUMMYFUNCTION("""COMPUTED_VALUE"""),3.0)</f>
        <v>3</v>
      </c>
      <c r="U6" s="73">
        <f>IFERROR(__xludf.DUMMYFUNCTION("""COMPUTED_VALUE"""),1.0)</f>
        <v>1</v>
      </c>
      <c r="V6" s="35" t="str">
        <f>IFERROR(__xludf.DUMMYFUNCTION("IF(Q6="""","""",IMAGE(QUERY('Deck Info'!A:F,""SELECT D WHERE A = '""&amp;R6&amp;""' AND B = '""&amp;S6&amp;""'"")))"),"")</f>
        <v/>
      </c>
      <c r="W6" s="35" t="str">
        <f>IFERROR(__xludf.DUMMYFUNCTION("IF(Q6="""","""",IMAGE(QUERY('Deck Info'!A:F,""SELECT E WHERE A = '""&amp;R6&amp;""' AND B = '""&amp;S6&amp;""'"")))"),"")</f>
        <v/>
      </c>
      <c r="X6" s="75" t="str">
        <f>IFERROR(__xludf.DUMMYFUNCTION("IF(Q6="""","""",IMAGE(QUERY('Deck Info'!A:F,""SELECT F WHERE A = '""&amp;R6&amp;""' AND B = '""&amp;S6&amp;""'"")))"),"")</f>
        <v/>
      </c>
      <c r="Y6" s="79" t="str">
        <f>IFERROR(__xludf.DUMMYFUNCTION("""COMPUTED_VALUE"""),"Angladita")</f>
        <v>Angladita</v>
      </c>
      <c r="Z6" s="73" t="str">
        <f>IFERROR(__xludf.DUMMYFUNCTION("""COMPUTED_VALUE"""),"OSK")</f>
        <v>OSK</v>
      </c>
      <c r="AA6" s="74" t="str">
        <f>IFERROR(__xludf.DUMMYFUNCTION("""COMPUTED_VALUE"""),"Door Pants")</f>
        <v>Door Pants</v>
      </c>
      <c r="AB6" s="73">
        <f>IFERROR(__xludf.DUMMYFUNCTION("""COMPUTED_VALUE"""),4.0)</f>
        <v>4</v>
      </c>
      <c r="AC6" s="73">
        <f>IFERROR(__xludf.DUMMYFUNCTION("""COMPUTED_VALUE"""),1.0)</f>
        <v>1</v>
      </c>
      <c r="AD6" s="35" t="str">
        <f>IFERROR(__xludf.DUMMYFUNCTION("IF(Y6="""","""",IMAGE(QUERY('Deck Info'!A:F,""SELECT D WHERE A = '""&amp;Z6&amp;""' AND B = '""&amp;AA6&amp;""'"")))"),"")</f>
        <v/>
      </c>
      <c r="AE6" s="35" t="str">
        <f>IFERROR(__xludf.DUMMYFUNCTION("IF(Y6="""","""",IMAGE(QUERY('Deck Info'!A:F,""SELECT E WHERE A = '""&amp;Z6&amp;""' AND B = '""&amp;AA6&amp;""'"")))"),"")</f>
        <v/>
      </c>
      <c r="AF6" s="75" t="str">
        <f>IFERROR(__xludf.DUMMYFUNCTION("IF(Y6="""","""",IMAGE(QUERY('Deck Info'!A:F,""SELECT F WHERE A = '""&amp;Z6&amp;""' AND B = '""&amp;AA6&amp;""'"")))"),"")</f>
        <v/>
      </c>
      <c r="AG6" s="79" t="str">
        <f>IFERROR(__xludf.DUMMYFUNCTION("""COMPUTED_VALUE"""),"Pinya")</f>
        <v>Pinya</v>
      </c>
      <c r="AH6" s="73" t="str">
        <f>IFERROR(__xludf.DUMMYFUNCTION("""COMPUTED_VALUE"""),"EIS")</f>
        <v>EIS</v>
      </c>
      <c r="AI6" s="74" t="str">
        <f>IFERROR(__xludf.DUMMYFUNCTION("""COMPUTED_VALUE"""),"6 Standby 2 Door")</f>
        <v>6 Standby 2 Door</v>
      </c>
      <c r="AJ6" s="73">
        <f>IFERROR(__xludf.DUMMYFUNCTION("""COMPUTED_VALUE"""),3.0)</f>
        <v>3</v>
      </c>
      <c r="AK6" s="73">
        <f>IFERROR(__xludf.DUMMYFUNCTION("""COMPUTED_VALUE"""),1.0)</f>
        <v>1</v>
      </c>
      <c r="AL6" s="35" t="str">
        <f>IFERROR(__xludf.DUMMYFUNCTION("IF(AG6="""","""",IMAGE(QUERY('Deck Info'!A:F,""SELECT D WHERE A = '""&amp;AH6&amp;""' AND B = '""&amp;AI6&amp;""'"")))"),"")</f>
        <v/>
      </c>
      <c r="AM6" s="35" t="str">
        <f>IFERROR(__xludf.DUMMYFUNCTION("IF(AG6="""","""",IMAGE(QUERY('Deck Info'!A:F,""SELECT E WHERE A = '""&amp;AH6&amp;""' AND B = '""&amp;AI6&amp;""'"")))"),"")</f>
        <v/>
      </c>
      <c r="AN6" s="75" t="str">
        <f>IFERROR(__xludf.DUMMYFUNCTION("IF(AG6="""","""",IMAGE(QUERY('Deck Info'!A:F,""SELECT F WHERE A = '""&amp;AH6&amp;""' AND B = '""&amp;AI6&amp;""'"")))"),"")</f>
        <v/>
      </c>
    </row>
    <row r="7" ht="75.0" customHeight="1">
      <c r="A7" s="72" t="str">
        <f>IFERROR(__xludf.DUMMYFUNCTION("""COMPUTED_VALUE"""),"Will")</f>
        <v>Will</v>
      </c>
      <c r="B7" s="73" t="str">
        <f>IFERROR(__xludf.DUMMYFUNCTION("""COMPUTED_VALUE"""),"EIS")</f>
        <v>EIS</v>
      </c>
      <c r="C7" s="74" t="str">
        <f>IFERROR(__xludf.DUMMYFUNCTION("""COMPUTED_VALUE"""),"8 Standby")</f>
        <v>8 Standby</v>
      </c>
      <c r="D7" s="73">
        <f>IFERROR(__xludf.DUMMYFUNCTION("""COMPUTED_VALUE"""),3.0)</f>
        <v>3</v>
      </c>
      <c r="E7" s="73">
        <f>IFERROR(__xludf.DUMMYFUNCTION("""COMPUTED_VALUE"""),1.0)</f>
        <v>1</v>
      </c>
      <c r="F7" s="35" t="str">
        <f>IFERROR(__xludf.DUMMYFUNCTION("IF(A7="""","""",IMAGE(QUERY('Deck Info'!A:F,""SELECT D WHERE A = '""&amp;B7&amp;""' AND B = '""&amp;C7&amp;""'"")))"),"")</f>
        <v/>
      </c>
      <c r="G7" s="35" t="str">
        <f>IFERROR(__xludf.DUMMYFUNCTION("IF(A7="""","""",IMAGE(QUERY('Deck Info'!A:F,""SELECT E WHERE A = '""&amp;B7&amp;""' AND B = '""&amp;C7&amp;""'"")))"),"")</f>
        <v/>
      </c>
      <c r="H7" s="75" t="str">
        <f>IFERROR(__xludf.DUMMYFUNCTION("IF(A7="""","""",IMAGE(QUERY('Deck Info'!A:F,""SELECT F WHERE A = '""&amp;B7&amp;""' AND B = '""&amp;C7&amp;""'"")))"),"")</f>
        <v/>
      </c>
      <c r="I7" s="79" t="str">
        <f>IFERROR(__xludf.DUMMYFUNCTION("""COMPUTED_VALUE"""),"Calvo Tieso")</f>
        <v>Calvo Tieso</v>
      </c>
      <c r="J7" s="73" t="str">
        <f>IFERROR(__xludf.DUMMYFUNCTION("""COMPUTED_VALUE"""),"AZL")</f>
        <v>AZL</v>
      </c>
      <c r="K7" s="74" t="str">
        <f>IFERROR(__xludf.DUMMYFUNCTION("""COMPUTED_VALUE"""),"8 Standby")</f>
        <v>8 Standby</v>
      </c>
      <c r="L7" s="73">
        <f>IFERROR(__xludf.DUMMYFUNCTION("""COMPUTED_VALUE"""),4.0)</f>
        <v>4</v>
      </c>
      <c r="M7" s="73">
        <f>IFERROR(__xludf.DUMMYFUNCTION("""COMPUTED_VALUE"""),1.0)</f>
        <v>1</v>
      </c>
      <c r="N7" s="77" t="str">
        <f>IFERROR(__xludf.DUMMYFUNCTION("IF(I7="""","""",IMAGE(QUERY('Deck Info'!A:F,""SELECT D WHERE A = '""&amp;J7&amp;""' AND B = '""&amp;K7&amp;""'"")))"),"")</f>
        <v/>
      </c>
      <c r="O7" s="77" t="str">
        <f>IFERROR(__xludf.DUMMYFUNCTION("IF(I7="""","""",IMAGE(QUERY('Deck Info'!A:F,""SELECT E WHERE A = '""&amp;J7&amp;""' AND B = '""&amp;K7&amp;""'"")))"),"")</f>
        <v/>
      </c>
      <c r="P7" s="78" t="str">
        <f>IFERROR(__xludf.DUMMYFUNCTION("IF(I7="""","""",IMAGE(QUERY('Deck Info'!A:F,""SELECT F WHERE A = '""&amp;J7&amp;""' AND B = '""&amp;K7&amp;""'"")))"),"")</f>
        <v/>
      </c>
      <c r="Q7" s="79" t="str">
        <f>IFERROR(__xludf.DUMMYFUNCTION("""COMPUTED_VALUE"""),"Zeno")</f>
        <v>Zeno</v>
      </c>
      <c r="R7" s="73" t="str">
        <f>IFERROR(__xludf.DUMMYFUNCTION("""COMPUTED_VALUE"""),"5HY")</f>
        <v>5HY</v>
      </c>
      <c r="S7" s="74" t="str">
        <f>IFERROR(__xludf.DUMMYFUNCTION("""COMPUTED_VALUE"""),"Nino")</f>
        <v>Nino</v>
      </c>
      <c r="T7" s="73">
        <f>IFERROR(__xludf.DUMMYFUNCTION("""COMPUTED_VALUE"""),3.0)</f>
        <v>3</v>
      </c>
      <c r="U7" s="73">
        <f>IFERROR(__xludf.DUMMYFUNCTION("""COMPUTED_VALUE"""),1.0)</f>
        <v>1</v>
      </c>
      <c r="V7" s="35" t="str">
        <f>IFERROR(__xludf.DUMMYFUNCTION("IF(Q7="""","""",IMAGE(QUERY('Deck Info'!A:F,""SELECT D WHERE A = '""&amp;R7&amp;""' AND B = '""&amp;S7&amp;""'"")))"),"")</f>
        <v/>
      </c>
      <c r="W7" s="35" t="str">
        <f>IFERROR(__xludf.DUMMYFUNCTION("IF(Q7="""","""",IMAGE(QUERY('Deck Info'!A:F,""SELECT E WHERE A = '""&amp;R7&amp;""' AND B = '""&amp;S7&amp;""'"")))"),"")</f>
        <v/>
      </c>
      <c r="X7" s="75" t="str">
        <f>IFERROR(__xludf.DUMMYFUNCTION("IF(Q7="""","""",IMAGE(QUERY('Deck Info'!A:F,""SELECT F WHERE A = '""&amp;R7&amp;""' AND B = '""&amp;S7&amp;""'"")))"),"")</f>
        <v/>
      </c>
      <c r="Y7" s="79" t="str">
        <f>IFERROR(__xludf.DUMMYFUNCTION("""COMPUTED_VALUE"""),"Agus")</f>
        <v>Agus</v>
      </c>
      <c r="Z7" s="73" t="str">
        <f>IFERROR(__xludf.DUMMYFUNCTION("""COMPUTED_VALUE"""),"DAL")</f>
        <v>DAL</v>
      </c>
      <c r="AA7" s="74" t="str">
        <f>IFERROR(__xludf.DUMMYFUNCTION("""COMPUTED_VALUE"""),"8 Standby")</f>
        <v>8 Standby</v>
      </c>
      <c r="AB7" s="73">
        <f>IFERROR(__xludf.DUMMYFUNCTION("""COMPUTED_VALUE"""),4.0)</f>
        <v>4</v>
      </c>
      <c r="AC7" s="73">
        <f>IFERROR(__xludf.DUMMYFUNCTION("""COMPUTED_VALUE"""),1.0)</f>
        <v>1</v>
      </c>
      <c r="AD7" s="35" t="str">
        <f>IFERROR(__xludf.DUMMYFUNCTION("IF(Y7="""","""",IMAGE(QUERY('Deck Info'!A:F,""SELECT D WHERE A = '""&amp;Z7&amp;""' AND B = '""&amp;AA7&amp;""'"")))"),"")</f>
        <v/>
      </c>
      <c r="AE7" s="35" t="str">
        <f>IFERROR(__xludf.DUMMYFUNCTION("IF(Y7="""","""",IMAGE(QUERY('Deck Info'!A:F,""SELECT E WHERE A = '""&amp;Z7&amp;""' AND B = '""&amp;AA7&amp;""'"")))"),"")</f>
        <v/>
      </c>
      <c r="AF7" s="75" t="str">
        <f>IFERROR(__xludf.DUMMYFUNCTION("IF(Y7="""","""",IMAGE(QUERY('Deck Info'!A:F,""SELECT F WHERE A = '""&amp;Z7&amp;""' AND B = '""&amp;AA7&amp;""'"")))"),"")</f>
        <v/>
      </c>
      <c r="AG7" s="79" t="str">
        <f>IFERROR(__xludf.DUMMYFUNCTION("""COMPUTED_VALUE"""),"JustFluffy")</f>
        <v>JustFluffy</v>
      </c>
      <c r="AH7" s="73" t="str">
        <f>IFERROR(__xludf.DUMMYFUNCTION("""COMPUTED_VALUE"""),"BAV")</f>
        <v>BAV</v>
      </c>
      <c r="AI7" s="74" t="str">
        <f>IFERROR(__xludf.DUMMYFUNCTION("""COMPUTED_VALUE"""),"Pants Choice")</f>
        <v>Pants Choice</v>
      </c>
      <c r="AJ7" s="73">
        <f>IFERROR(__xludf.DUMMYFUNCTION("""COMPUTED_VALUE"""),3.0)</f>
        <v>3</v>
      </c>
      <c r="AK7" s="73">
        <f>IFERROR(__xludf.DUMMYFUNCTION("""COMPUTED_VALUE"""),1.0)</f>
        <v>1</v>
      </c>
      <c r="AL7" s="35" t="str">
        <f>IFERROR(__xludf.DUMMYFUNCTION("IF(AG7="""","""",IMAGE(QUERY('Deck Info'!A:F,""SELECT D WHERE A = '""&amp;AH7&amp;""' AND B = '""&amp;AI7&amp;""'"")))"),"")</f>
        <v/>
      </c>
      <c r="AM7" s="35" t="str">
        <f>IFERROR(__xludf.DUMMYFUNCTION("IF(AG7="""","""",IMAGE(QUERY('Deck Info'!A:F,""SELECT E WHERE A = '""&amp;AH7&amp;""' AND B = '""&amp;AI7&amp;""'"")))"),"")</f>
        <v/>
      </c>
      <c r="AN7" s="75" t="str">
        <f>IFERROR(__xludf.DUMMYFUNCTION("IF(AG7="""","""",IMAGE(QUERY('Deck Info'!A:F,""SELECT F WHERE A = '""&amp;AH7&amp;""' AND B = '""&amp;AI7&amp;""'"")))"),"")</f>
        <v/>
      </c>
    </row>
    <row r="8" ht="75.0" customHeight="1">
      <c r="A8" s="72" t="str">
        <f>IFERROR(__xludf.DUMMYFUNCTION("""COMPUTED_VALUE"""),"Lecna")</f>
        <v>Lecna</v>
      </c>
      <c r="B8" s="73" t="str">
        <f>IFERROR(__xludf.DUMMYFUNCTION("""COMPUTED_VALUE"""),"GRI")</f>
        <v>GRI</v>
      </c>
      <c r="C8" s="74" t="str">
        <f>IFERROR(__xludf.DUMMYFUNCTION("""COMPUTED_VALUE"""),"Door Pants ")</f>
        <v>Door Pants </v>
      </c>
      <c r="D8" s="73">
        <f>IFERROR(__xludf.DUMMYFUNCTION("""COMPUTED_VALUE"""),3.0)</f>
        <v>3</v>
      </c>
      <c r="E8" s="73">
        <f>IFERROR(__xludf.DUMMYFUNCTION("""COMPUTED_VALUE"""),1.0)</f>
        <v>1</v>
      </c>
      <c r="F8" s="35" t="str">
        <f>IFERROR(__xludf.DUMMYFUNCTION("IF(A8="""","""",IMAGE(QUERY('Deck Info'!A:F,""SELECT D WHERE A = '""&amp;B8&amp;""' AND B = '""&amp;C8&amp;""'"")))"),"#N/A")</f>
        <v>#N/A</v>
      </c>
      <c r="G8" s="35" t="str">
        <f>IFERROR(__xludf.DUMMYFUNCTION("IF(A8="""","""",IMAGE(QUERY('Deck Info'!A:F,""SELECT E WHERE A = '""&amp;B8&amp;""' AND B = '""&amp;C8&amp;""'"")))"),"#N/A")</f>
        <v>#N/A</v>
      </c>
      <c r="H8" s="75" t="str">
        <f>IFERROR(__xludf.DUMMYFUNCTION("IF(A8="""","""",IMAGE(QUERY('Deck Info'!A:F,""SELECT F WHERE A = '""&amp;B8&amp;""' AND B = '""&amp;C8&amp;""'"")))"),"#N/A")</f>
        <v>#N/A</v>
      </c>
      <c r="I8" s="79" t="str">
        <f>IFERROR(__xludf.DUMMYFUNCTION("""COMPUTED_VALUE"""),"byrondeltcg")</f>
        <v>byrondeltcg</v>
      </c>
      <c r="J8" s="73" t="str">
        <f>IFERROR(__xludf.DUMMYFUNCTION("""COMPUTED_VALUE"""),"DDD")</f>
        <v>DDD</v>
      </c>
      <c r="K8" s="74" t="str">
        <f>IFERROR(__xludf.DUMMYFUNCTION("""COMPUTED_VALUE"""),"8 Choice")</f>
        <v>8 Choice</v>
      </c>
      <c r="L8" s="73">
        <f>IFERROR(__xludf.DUMMYFUNCTION("""COMPUTED_VALUE"""),3.0)</f>
        <v>3</v>
      </c>
      <c r="M8" s="73">
        <f>IFERROR(__xludf.DUMMYFUNCTION("""COMPUTED_VALUE"""),2.0)</f>
        <v>2</v>
      </c>
      <c r="N8" s="77" t="str">
        <f>IFERROR(__xludf.DUMMYFUNCTION("IF(I8="""","""",IMAGE(QUERY('Deck Info'!A:F,""SELECT D WHERE A = '""&amp;J8&amp;""' AND B = '""&amp;K8&amp;""'"")))"),"")</f>
        <v/>
      </c>
      <c r="O8" s="77" t="str">
        <f>IFERROR(__xludf.DUMMYFUNCTION("IF(I8="""","""",IMAGE(QUERY('Deck Info'!A:F,""SELECT E WHERE A = '""&amp;J8&amp;""' AND B = '""&amp;K8&amp;""'"")))"),"")</f>
        <v/>
      </c>
      <c r="P8" s="78" t="str">
        <f>IFERROR(__xludf.DUMMYFUNCTION("IF(I8="""","""",IMAGE(QUERY('Deck Info'!A:F,""SELECT F WHERE A = '""&amp;J8&amp;""' AND B = '""&amp;K8&amp;""'"")))"),"")</f>
        <v/>
      </c>
      <c r="Q8" s="79" t="str">
        <f>IFERROR(__xludf.DUMMYFUNCTION("""COMPUTED_VALUE"""),"Kartoffel")</f>
        <v>Kartoffel</v>
      </c>
      <c r="R8" s="73" t="str">
        <f>IFERROR(__xludf.DUMMYFUNCTION("""COMPUTED_VALUE"""),"MKI")</f>
        <v>MKI</v>
      </c>
      <c r="S8" s="74" t="str">
        <f>IFERROR(__xludf.DUMMYFUNCTION("""COMPUTED_VALUE"""),"8 Door")</f>
        <v>8 Door</v>
      </c>
      <c r="T8" s="73">
        <f>IFERROR(__xludf.DUMMYFUNCTION("""COMPUTED_VALUE"""),2.0)</f>
        <v>2</v>
      </c>
      <c r="U8" s="73">
        <f>IFERROR(__xludf.DUMMYFUNCTION("""COMPUTED_VALUE"""),2.0)</f>
        <v>2</v>
      </c>
      <c r="V8" s="35" t="str">
        <f>IFERROR(__xludf.DUMMYFUNCTION("IF(Q8="""","""",IMAGE(QUERY('Deck Info'!A:F,""SELECT D WHERE A = '""&amp;R8&amp;""' AND B = '""&amp;S8&amp;""'"")))"),"")</f>
        <v/>
      </c>
      <c r="W8" s="35" t="str">
        <f>IFERROR(__xludf.DUMMYFUNCTION("IF(Q8="""","""",IMAGE(QUERY('Deck Info'!A:F,""SELECT E WHERE A = '""&amp;R8&amp;""' AND B = '""&amp;S8&amp;""'"")))"),"")</f>
        <v/>
      </c>
      <c r="X8" s="75" t="str">
        <f>IFERROR(__xludf.DUMMYFUNCTION("IF(Q8="""","""",IMAGE(QUERY('Deck Info'!A:F,""SELECT F WHERE A = '""&amp;R8&amp;""' AND B = '""&amp;S8&amp;""'"")))"),"")</f>
        <v/>
      </c>
      <c r="Y8" s="79" t="str">
        <f>IFERROR(__xludf.DUMMYFUNCTION("""COMPUTED_VALUE"""),"byrondeltcg")</f>
        <v>byrondeltcg</v>
      </c>
      <c r="Z8" s="73" t="str">
        <f>IFERROR(__xludf.DUMMYFUNCTION("""COMPUTED_VALUE"""),"DDD")</f>
        <v>DDD</v>
      </c>
      <c r="AA8" s="74" t="str">
        <f>IFERROR(__xludf.DUMMYFUNCTION("""COMPUTED_VALUE"""),"8 Choice")</f>
        <v>8 Choice</v>
      </c>
      <c r="AB8" s="73">
        <f>IFERROR(__xludf.DUMMYFUNCTION("""COMPUTED_VALUE"""),3.0)</f>
        <v>3</v>
      </c>
      <c r="AC8" s="73">
        <f>IFERROR(__xludf.DUMMYFUNCTION("""COMPUTED_VALUE"""),2.0)</f>
        <v>2</v>
      </c>
      <c r="AD8" s="35" t="str">
        <f>IFERROR(__xludf.DUMMYFUNCTION("IF(Y8="""","""",IMAGE(QUERY('Deck Info'!A:F,""SELECT D WHERE A = '""&amp;Z8&amp;""' AND B = '""&amp;AA8&amp;""'"")))"),"")</f>
        <v/>
      </c>
      <c r="AE8" s="35" t="str">
        <f>IFERROR(__xludf.DUMMYFUNCTION("IF(Y8="""","""",IMAGE(QUERY('Deck Info'!A:F,""SELECT E WHERE A = '""&amp;Z8&amp;""' AND B = '""&amp;AA8&amp;""'"")))"),"")</f>
        <v/>
      </c>
      <c r="AF8" s="75" t="str">
        <f>IFERROR(__xludf.DUMMYFUNCTION("IF(Y8="""","""",IMAGE(QUERY('Deck Info'!A:F,""SELECT F WHERE A = '""&amp;Z8&amp;""' AND B = '""&amp;AA8&amp;""'"")))"),"")</f>
        <v/>
      </c>
      <c r="AG8" s="79" t="str">
        <f>IFERROR(__xludf.DUMMYFUNCTION("""COMPUTED_VALUE"""),"Calvo Tieso")</f>
        <v>Calvo Tieso</v>
      </c>
      <c r="AH8" s="73" t="str">
        <f>IFERROR(__xludf.DUMMYFUNCTION("""COMPUTED_VALUE"""),"AZL")</f>
        <v>AZL</v>
      </c>
      <c r="AI8" s="74" t="str">
        <f>IFERROR(__xludf.DUMMYFUNCTION("""COMPUTED_VALUE"""),"8 Door")</f>
        <v>8 Door</v>
      </c>
      <c r="AJ8" s="73">
        <f>IFERROR(__xludf.DUMMYFUNCTION("""COMPUTED_VALUE"""),2.0)</f>
        <v>2</v>
      </c>
      <c r="AK8" s="73">
        <f>IFERROR(__xludf.DUMMYFUNCTION("""COMPUTED_VALUE"""),2.0)</f>
        <v>2</v>
      </c>
      <c r="AL8" s="35" t="str">
        <f>IFERROR(__xludf.DUMMYFUNCTION("IF(AG8="""","""",IMAGE(QUERY('Deck Info'!A:F,""SELECT D WHERE A = '""&amp;AH8&amp;""' AND B = '""&amp;AI8&amp;""'"")))"),"")</f>
        <v/>
      </c>
      <c r="AM8" s="35" t="str">
        <f>IFERROR(__xludf.DUMMYFUNCTION("IF(AG8="""","""",IMAGE(QUERY('Deck Info'!A:F,""SELECT E WHERE A = '""&amp;AH8&amp;""' AND B = '""&amp;AI8&amp;""'"")))"),"")</f>
        <v/>
      </c>
      <c r="AN8" s="75" t="str">
        <f>IFERROR(__xludf.DUMMYFUNCTION("IF(AG8="""","""",IMAGE(QUERY('Deck Info'!A:F,""SELECT F WHERE A = '""&amp;AH8&amp;""' AND B = '""&amp;AI8&amp;""'"")))"),"")</f>
        <v/>
      </c>
    </row>
    <row r="9" ht="75.0" customHeight="1">
      <c r="A9" s="72" t="str">
        <f>IFERROR(__xludf.DUMMYFUNCTION("""COMPUTED_VALUE"""),"Kartoffel")</f>
        <v>Kartoffel</v>
      </c>
      <c r="B9" s="73" t="str">
        <f>IFERROR(__xludf.DUMMYFUNCTION("""COMPUTED_VALUE"""),"GCR")</f>
        <v>GCR</v>
      </c>
      <c r="C9" s="74" t="str">
        <f>IFERROR(__xludf.DUMMYFUNCTION("""COMPUTED_VALUE"""),"8 Door")</f>
        <v>8 Door</v>
      </c>
      <c r="D9" s="73">
        <f>IFERROR(__xludf.DUMMYFUNCTION("""COMPUTED_VALUE"""),2.0)</f>
        <v>2</v>
      </c>
      <c r="E9" s="73">
        <f>IFERROR(__xludf.DUMMYFUNCTION("""COMPUTED_VALUE"""),2.0)</f>
        <v>2</v>
      </c>
      <c r="F9" s="35" t="str">
        <f>IFERROR(__xludf.DUMMYFUNCTION("IF(A9="""","""",IMAGE(QUERY('Deck Info'!A:F,""SELECT D WHERE A = '""&amp;B9&amp;""' AND B = '""&amp;C9&amp;""'"")))"),"")</f>
        <v/>
      </c>
      <c r="G9" s="35" t="str">
        <f>IFERROR(__xludf.DUMMYFUNCTION("IF(A9="""","""",IMAGE(QUERY('Deck Info'!A:F,""SELECT E WHERE A = '""&amp;B9&amp;""' AND B = '""&amp;C9&amp;""'"")))"),"")</f>
        <v/>
      </c>
      <c r="H9" s="75" t="str">
        <f>IFERROR(__xludf.DUMMYFUNCTION("IF(A9="""","""",IMAGE(QUERY('Deck Info'!A:F,""SELECT F WHERE A = '""&amp;B9&amp;""' AND B = '""&amp;C9&amp;""'"")))"),"")</f>
        <v/>
      </c>
      <c r="I9" s="79" t="str">
        <f>IFERROR(__xludf.DUMMYFUNCTION("""COMPUTED_VALUE"""),"Angladita")</f>
        <v>Angladita</v>
      </c>
      <c r="J9" s="73" t="str">
        <f>IFERROR(__xludf.DUMMYFUNCTION("""COMPUTED_VALUE"""),"OSK")</f>
        <v>OSK</v>
      </c>
      <c r="K9" s="74" t="str">
        <f>IFERROR(__xludf.DUMMYFUNCTION("""COMPUTED_VALUE"""),"Door Pants")</f>
        <v>Door Pants</v>
      </c>
      <c r="L9" s="73">
        <f>IFERROR(__xludf.DUMMYFUNCTION("""COMPUTED_VALUE"""),3.0)</f>
        <v>3</v>
      </c>
      <c r="M9" s="73">
        <f>IFERROR(__xludf.DUMMYFUNCTION("""COMPUTED_VALUE"""),2.0)</f>
        <v>2</v>
      </c>
      <c r="N9" s="77" t="str">
        <f>IFERROR(__xludf.DUMMYFUNCTION("IF(I9="""","""",IMAGE(QUERY('Deck Info'!A:F,""SELECT D WHERE A = '""&amp;J9&amp;""' AND B = '""&amp;K9&amp;""'"")))"),"")</f>
        <v/>
      </c>
      <c r="O9" s="77" t="str">
        <f>IFERROR(__xludf.DUMMYFUNCTION("IF(I9="""","""",IMAGE(QUERY('Deck Info'!A:F,""SELECT E WHERE A = '""&amp;J9&amp;""' AND B = '""&amp;K9&amp;""'"")))"),"")</f>
        <v/>
      </c>
      <c r="P9" s="78" t="str">
        <f>IFERROR(__xludf.DUMMYFUNCTION("IF(I9="""","""",IMAGE(QUERY('Deck Info'!A:F,""SELECT F WHERE A = '""&amp;J9&amp;""' AND B = '""&amp;K9&amp;""'"")))"),"")</f>
        <v/>
      </c>
      <c r="Q9" s="79" t="str">
        <f>IFERROR(__xludf.DUMMYFUNCTION("""COMPUTED_VALUE"""),"Angladita")</f>
        <v>Angladita</v>
      </c>
      <c r="R9" s="73" t="str">
        <f>IFERROR(__xludf.DUMMYFUNCTION("""COMPUTED_VALUE"""),"NIK")</f>
        <v>NIK</v>
      </c>
      <c r="S9" s="74" t="str">
        <f>IFERROR(__xludf.DUMMYFUNCTION("""COMPUTED_VALUE"""),"Door Standby")</f>
        <v>Door Standby</v>
      </c>
      <c r="T9" s="73">
        <f>IFERROR(__xludf.DUMMYFUNCTION("""COMPUTED_VALUE"""),2.0)</f>
        <v>2</v>
      </c>
      <c r="U9" s="73">
        <f>IFERROR(__xludf.DUMMYFUNCTION("""COMPUTED_VALUE"""),2.0)</f>
        <v>2</v>
      </c>
      <c r="V9" s="35" t="str">
        <f>IFERROR(__xludf.DUMMYFUNCTION("IF(Q9="""","""",IMAGE(QUERY('Deck Info'!A:F,""SELECT D WHERE A = '""&amp;R9&amp;""' AND B = '""&amp;S9&amp;""'"")))"),"")</f>
        <v/>
      </c>
      <c r="W9" s="35" t="str">
        <f>IFERROR(__xludf.DUMMYFUNCTION("IF(Q9="""","""",IMAGE(QUERY('Deck Info'!A:F,""SELECT E WHERE A = '""&amp;R9&amp;""' AND B = '""&amp;S9&amp;""'"")))"),"")</f>
        <v/>
      </c>
      <c r="X9" s="75" t="str">
        <f>IFERROR(__xludf.DUMMYFUNCTION("IF(Q9="""","""",IMAGE(QUERY('Deck Info'!A:F,""SELECT F WHERE A = '""&amp;R9&amp;""' AND B = '""&amp;S9&amp;""'"")))"),"")</f>
        <v/>
      </c>
      <c r="Y9" s="79" t="str">
        <f>IFERROR(__xludf.DUMMYFUNCTION("""COMPUTED_VALUE"""),"YoniTheRobot")</f>
        <v>YoniTheRobot</v>
      </c>
      <c r="Z9" s="73" t="str">
        <f>IFERROR(__xludf.DUMMYFUNCTION("""COMPUTED_VALUE"""),"Fxx")</f>
        <v>Fxx</v>
      </c>
      <c r="AA9" s="74" t="str">
        <f>IFERROR(__xludf.DUMMYFUNCTION("""COMPUTED_VALUE"""),"StockSoul Bar")</f>
        <v>StockSoul Bar</v>
      </c>
      <c r="AB9" s="73">
        <f>IFERROR(__xludf.DUMMYFUNCTION("""COMPUTED_VALUE"""),3.0)</f>
        <v>3</v>
      </c>
      <c r="AC9" s="73">
        <f>IFERROR(__xludf.DUMMYFUNCTION("""COMPUTED_VALUE"""),2.0)</f>
        <v>2</v>
      </c>
      <c r="AD9" s="35" t="str">
        <f>IFERROR(__xludf.DUMMYFUNCTION("IF(Y9="""","""",IMAGE(QUERY('Deck Info'!A:F,""SELECT D WHERE A = '""&amp;Z9&amp;""' AND B = '""&amp;AA9&amp;""'"")))"),"")</f>
        <v/>
      </c>
      <c r="AE9" s="35" t="str">
        <f>IFERROR(__xludf.DUMMYFUNCTION("IF(Y9="""","""",IMAGE(QUERY('Deck Info'!A:F,""SELECT E WHERE A = '""&amp;Z9&amp;""' AND B = '""&amp;AA9&amp;""'"")))"),"")</f>
        <v/>
      </c>
      <c r="AF9" s="75" t="str">
        <f>IFERROR(__xludf.DUMMYFUNCTION("IF(Y9="""","""",IMAGE(QUERY('Deck Info'!A:F,""SELECT F WHERE A = '""&amp;Z9&amp;""' AND B = '""&amp;AA9&amp;""'"")))"),"")</f>
        <v/>
      </c>
      <c r="AG9" s="79" t="str">
        <f>IFERROR(__xludf.DUMMYFUNCTION("""COMPUTED_VALUE"""),"Mualco")</f>
        <v>Mualco</v>
      </c>
      <c r="AH9" s="73" t="str">
        <f>IFERROR(__xludf.DUMMYFUNCTION("""COMPUTED_VALUE"""),"GCR")</f>
        <v>GCR</v>
      </c>
      <c r="AI9" s="74" t="str">
        <f>IFERROR(__xludf.DUMMYFUNCTION("""COMPUTED_VALUE"""),"8 Door")</f>
        <v>8 Door</v>
      </c>
      <c r="AJ9" s="73">
        <f>IFERROR(__xludf.DUMMYFUNCTION("""COMPUTED_VALUE"""),2.0)</f>
        <v>2</v>
      </c>
      <c r="AK9" s="73">
        <f>IFERROR(__xludf.DUMMYFUNCTION("""COMPUTED_VALUE"""),2.0)</f>
        <v>2</v>
      </c>
      <c r="AL9" s="35" t="str">
        <f>IFERROR(__xludf.DUMMYFUNCTION("IF(AG9="""","""",IMAGE(QUERY('Deck Info'!A:F,""SELECT D WHERE A = '""&amp;AH9&amp;""' AND B = '""&amp;AI9&amp;""'"")))"),"")</f>
        <v/>
      </c>
      <c r="AM9" s="35" t="str">
        <f>IFERROR(__xludf.DUMMYFUNCTION("IF(AG9="""","""",IMAGE(QUERY('Deck Info'!A:F,""SELECT E WHERE A = '""&amp;AH9&amp;""' AND B = '""&amp;AI9&amp;""'"")))"),"")</f>
        <v/>
      </c>
      <c r="AN9" s="75" t="str">
        <f>IFERROR(__xludf.DUMMYFUNCTION("IF(AG9="""","""",IMAGE(QUERY('Deck Info'!A:F,""SELECT F WHERE A = '""&amp;AH9&amp;""' AND B = '""&amp;AI9&amp;""'"")))"),"")</f>
        <v/>
      </c>
    </row>
    <row r="10" ht="75.0" customHeight="1">
      <c r="A10" s="72" t="str">
        <f>IFERROR(__xludf.DUMMYFUNCTION("""COMPUTED_VALUE"""),"Ruto")</f>
        <v>Ruto</v>
      </c>
      <c r="B10" s="73" t="str">
        <f>IFERROR(__xludf.DUMMYFUNCTION("""COMPUTED_VALUE"""),"?")</f>
        <v>?</v>
      </c>
      <c r="C10" s="74" t="str">
        <f>IFERROR(__xludf.DUMMYFUNCTION("""COMPUTED_VALUE"""),"?")</f>
        <v>?</v>
      </c>
      <c r="D10" s="73">
        <f>IFERROR(__xludf.DUMMYFUNCTION("""COMPUTED_VALUE"""),2.0)</f>
        <v>2</v>
      </c>
      <c r="E10" s="73">
        <f>IFERROR(__xludf.DUMMYFUNCTION("""COMPUTED_VALUE"""),2.0)</f>
        <v>2</v>
      </c>
      <c r="F10" s="35" t="str">
        <f>IFERROR(__xludf.DUMMYFUNCTION("IF(A10="""","""",IMAGE(QUERY('Deck Info'!A:F,""SELECT D WHERE A = '""&amp;B10&amp;""' AND B = '""&amp;C10&amp;""'"")))"),"")</f>
        <v/>
      </c>
      <c r="G10" s="35" t="str">
        <f>IFERROR(__xludf.DUMMYFUNCTION("IF(A10="""","""",IMAGE(QUERY('Deck Info'!A:F,""SELECT E WHERE A = '""&amp;B10&amp;""' AND B = '""&amp;C10&amp;""'"")))"),"")</f>
        <v/>
      </c>
      <c r="H10" s="75" t="str">
        <f>IFERROR(__xludf.DUMMYFUNCTION("IF(A10="""","""",IMAGE(QUERY('Deck Info'!A:F,""SELECT F WHERE A = '""&amp;B10&amp;""' AND B = '""&amp;C10&amp;""'"")))"),"")</f>
        <v/>
      </c>
      <c r="I10" s="79" t="str">
        <f>IFERROR(__xludf.DUMMYFUNCTION("""COMPUTED_VALUE"""),"Charlie")</f>
        <v>Charlie</v>
      </c>
      <c r="J10" s="73" t="str">
        <f>IFERROR(__xludf.DUMMYFUNCTION("""COMPUTED_VALUE"""),"?")</f>
        <v>?</v>
      </c>
      <c r="K10" s="74" t="str">
        <f>IFERROR(__xludf.DUMMYFUNCTION("""COMPUTED_VALUE"""),"?")</f>
        <v>?</v>
      </c>
      <c r="L10" s="73">
        <f>IFERROR(__xludf.DUMMYFUNCTION("""COMPUTED_VALUE"""),3.0)</f>
        <v>3</v>
      </c>
      <c r="M10" s="73">
        <f>IFERROR(__xludf.DUMMYFUNCTION("""COMPUTED_VALUE"""),2.0)</f>
        <v>2</v>
      </c>
      <c r="N10" s="77" t="str">
        <f>IFERROR(__xludf.DUMMYFUNCTION("IF(I10="""","""",IMAGE(QUERY('Deck Info'!A:F,""SELECT D WHERE A = '""&amp;J10&amp;""' AND B = '""&amp;K10&amp;""'"")))"),"")</f>
        <v/>
      </c>
      <c r="O10" s="77" t="str">
        <f>IFERROR(__xludf.DUMMYFUNCTION("IF(I10="""","""",IMAGE(QUERY('Deck Info'!A:F,""SELECT E WHERE A = '""&amp;J10&amp;""' AND B = '""&amp;K10&amp;""'"")))"),"")</f>
        <v/>
      </c>
      <c r="P10" s="78" t="str">
        <f>IFERROR(__xludf.DUMMYFUNCTION("IF(I10="""","""",IMAGE(QUERY('Deck Info'!A:F,""SELECT F WHERE A = '""&amp;J10&amp;""' AND B = '""&amp;K10&amp;""'"")))"),"")</f>
        <v/>
      </c>
      <c r="Q10" s="79" t="str">
        <f>IFERROR(__xludf.DUMMYFUNCTION("""COMPUTED_VALUE"""),"SoulQualia")</f>
        <v>SoulQualia</v>
      </c>
      <c r="R10" s="73" t="str">
        <f>IFERROR(__xludf.DUMMYFUNCTION("""COMPUTED_VALUE"""),"EIS")</f>
        <v>EIS</v>
      </c>
      <c r="S10" s="74" t="str">
        <f>IFERROR(__xludf.DUMMYFUNCTION("""COMPUTED_VALUE"""),"8 Standby")</f>
        <v>8 Standby</v>
      </c>
      <c r="T10" s="73">
        <f>IFERROR(__xludf.DUMMYFUNCTION("""COMPUTED_VALUE"""),2.0)</f>
        <v>2</v>
      </c>
      <c r="U10" s="73">
        <f>IFERROR(__xludf.DUMMYFUNCTION("""COMPUTED_VALUE"""),2.0)</f>
        <v>2</v>
      </c>
      <c r="V10" s="35" t="str">
        <f>IFERROR(__xludf.DUMMYFUNCTION("IF(Q10="""","""",IMAGE(QUERY('Deck Info'!A:F,""SELECT D WHERE A = '""&amp;R10&amp;""' AND B = '""&amp;S10&amp;""'"")))"),"")</f>
        <v/>
      </c>
      <c r="W10" s="35" t="str">
        <f>IFERROR(__xludf.DUMMYFUNCTION("IF(Q10="""","""",IMAGE(QUERY('Deck Info'!A:F,""SELECT E WHERE A = '""&amp;R10&amp;""' AND B = '""&amp;S10&amp;""'"")))"),"")</f>
        <v/>
      </c>
      <c r="X10" s="75" t="str">
        <f>IFERROR(__xludf.DUMMYFUNCTION("IF(Q10="""","""",IMAGE(QUERY('Deck Info'!A:F,""SELECT F WHERE A = '""&amp;R10&amp;""' AND B = '""&amp;S10&amp;""'"")))"),"")</f>
        <v/>
      </c>
      <c r="Y10" s="79" t="str">
        <f>IFERROR(__xludf.DUMMYFUNCTION("""COMPUTED_VALUE"""),"Will")</f>
        <v>Will</v>
      </c>
      <c r="Z10" s="73" t="str">
        <f>IFERROR(__xludf.DUMMYFUNCTION("""COMPUTED_VALUE"""),"HOL")</f>
        <v>HOL</v>
      </c>
      <c r="AA10" s="74" t="str">
        <f>IFERROR(__xludf.DUMMYFUNCTION("""COMPUTED_VALUE"""),"Polka Choco")</f>
        <v>Polka Choco</v>
      </c>
      <c r="AB10" s="73">
        <f>IFERROR(__xludf.DUMMYFUNCTION("""COMPUTED_VALUE"""),3.0)</f>
        <v>3</v>
      </c>
      <c r="AC10" s="73">
        <f>IFERROR(__xludf.DUMMYFUNCTION("""COMPUTED_VALUE"""),2.0)</f>
        <v>2</v>
      </c>
      <c r="AD10" s="35" t="str">
        <f>IFERROR(__xludf.DUMMYFUNCTION("IF(Y10="""","""",IMAGE(QUERY('Deck Info'!A:F,""SELECT D WHERE A = '""&amp;Z10&amp;""' AND B = '""&amp;AA10&amp;""'"")))"),"")</f>
        <v/>
      </c>
      <c r="AE10" s="35" t="str">
        <f>IFERROR(__xludf.DUMMYFUNCTION("IF(Y10="""","""",IMAGE(QUERY('Deck Info'!A:F,""SELECT E WHERE A = '""&amp;Z10&amp;""' AND B = '""&amp;AA10&amp;""'"")))"),"")</f>
        <v/>
      </c>
      <c r="AF10" s="75" t="str">
        <f>IFERROR(__xludf.DUMMYFUNCTION("IF(Y10="""","""",IMAGE(QUERY('Deck Info'!A:F,""SELECT F WHERE A = '""&amp;Z10&amp;""' AND B = '""&amp;AA10&amp;""'"")))"),"")</f>
        <v/>
      </c>
      <c r="AG10" s="79" t="str">
        <f>IFERROR(__xludf.DUMMYFUNCTION("""COMPUTED_VALUE"""),"SoulQualia")</f>
        <v>SoulQualia</v>
      </c>
      <c r="AH10" s="73" t="str">
        <f>IFERROR(__xludf.DUMMYFUNCTION("""COMPUTED_VALUE"""),"EIS")</f>
        <v>EIS</v>
      </c>
      <c r="AI10" s="74" t="str">
        <f>IFERROR(__xludf.DUMMYFUNCTION("""COMPUTED_VALUE"""),"8 Standby")</f>
        <v>8 Standby</v>
      </c>
      <c r="AJ10" s="73">
        <f>IFERROR(__xludf.DUMMYFUNCTION("""COMPUTED_VALUE"""),2.0)</f>
        <v>2</v>
      </c>
      <c r="AK10" s="73">
        <f>IFERROR(__xludf.DUMMYFUNCTION("""COMPUTED_VALUE"""),2.0)</f>
        <v>2</v>
      </c>
      <c r="AL10" s="35" t="str">
        <f>IFERROR(__xludf.DUMMYFUNCTION("IF(AG10="""","""",IMAGE(QUERY('Deck Info'!A:F,""SELECT D WHERE A = '""&amp;AH10&amp;""' AND B = '""&amp;AI10&amp;""'"")))"),"")</f>
        <v/>
      </c>
      <c r="AM10" s="35" t="str">
        <f>IFERROR(__xludf.DUMMYFUNCTION("IF(AG10="""","""",IMAGE(QUERY('Deck Info'!A:F,""SELECT E WHERE A = '""&amp;AH10&amp;""' AND B = '""&amp;AI10&amp;""'"")))"),"")</f>
        <v/>
      </c>
      <c r="AN10" s="75" t="str">
        <f>IFERROR(__xludf.DUMMYFUNCTION("IF(AG10="""","""",IMAGE(QUERY('Deck Info'!A:F,""SELECT F WHERE A = '""&amp;AH10&amp;""' AND B = '""&amp;AI10&amp;""'"")))"),"")</f>
        <v/>
      </c>
    </row>
    <row r="11" ht="75.0" customHeight="1">
      <c r="A11" s="72" t="str">
        <f>IFERROR(__xludf.DUMMYFUNCTION("""COMPUTED_VALUE"""),"Doris")</f>
        <v>Doris</v>
      </c>
      <c r="B11" s="73" t="str">
        <f>IFERROR(__xludf.DUMMYFUNCTION("""COMPUTED_VALUE"""),"?")</f>
        <v>?</v>
      </c>
      <c r="C11" s="74" t="str">
        <f>IFERROR(__xludf.DUMMYFUNCTION("""COMPUTED_VALUE"""),"?")</f>
        <v>?</v>
      </c>
      <c r="D11" s="73">
        <f>IFERROR(__xludf.DUMMYFUNCTION("""COMPUTED_VALUE"""),2.0)</f>
        <v>2</v>
      </c>
      <c r="E11" s="73">
        <f>IFERROR(__xludf.DUMMYFUNCTION("""COMPUTED_VALUE"""),2.0)</f>
        <v>2</v>
      </c>
      <c r="F11" s="35" t="str">
        <f>IFERROR(__xludf.DUMMYFUNCTION("IF(A11="""","""",IMAGE(QUERY('Deck Info'!A:F,""SELECT D WHERE A = '""&amp;B11&amp;""' AND B = '""&amp;C11&amp;""'"")))"),"")</f>
        <v/>
      </c>
      <c r="G11" s="35" t="str">
        <f>IFERROR(__xludf.DUMMYFUNCTION("IF(A11="""","""",IMAGE(QUERY('Deck Info'!A:F,""SELECT E WHERE A = '""&amp;B11&amp;""' AND B = '""&amp;C11&amp;""'"")))"),"")</f>
        <v/>
      </c>
      <c r="H11" s="75" t="str">
        <f>IFERROR(__xludf.DUMMYFUNCTION("IF(A11="""","""",IMAGE(QUERY('Deck Info'!A:F,""SELECT F WHERE A = '""&amp;B11&amp;""' AND B = '""&amp;C11&amp;""'"")))"),"")</f>
        <v/>
      </c>
      <c r="I11" s="79" t="str">
        <f>IFERROR(__xludf.DUMMYFUNCTION("""COMPUTED_VALUE"""),"Rehmius")</f>
        <v>Rehmius</v>
      </c>
      <c r="J11" s="73" t="str">
        <f>IFERROR(__xludf.DUMMYFUNCTION("""COMPUTED_VALUE"""),"EIS")</f>
        <v>EIS</v>
      </c>
      <c r="K11" s="74" t="str">
        <f>IFERROR(__xludf.DUMMYFUNCTION("""COMPUTED_VALUE"""),"8 Standby")</f>
        <v>8 Standby</v>
      </c>
      <c r="L11" s="73">
        <f>IFERROR(__xludf.DUMMYFUNCTION("""COMPUTED_VALUE"""),3.0)</f>
        <v>3</v>
      </c>
      <c r="M11" s="73">
        <f>IFERROR(__xludf.DUMMYFUNCTION("""COMPUTED_VALUE"""),2.0)</f>
        <v>2</v>
      </c>
      <c r="N11" s="77" t="str">
        <f>IFERROR(__xludf.DUMMYFUNCTION("IF(I11="""","""",IMAGE(QUERY('Deck Info'!A:F,""SELECT D WHERE A = '""&amp;J11&amp;""' AND B = '""&amp;K11&amp;""'"")))"),"")</f>
        <v/>
      </c>
      <c r="O11" s="77" t="str">
        <f>IFERROR(__xludf.DUMMYFUNCTION("IF(I11="""","""",IMAGE(QUERY('Deck Info'!A:F,""SELECT E WHERE A = '""&amp;J11&amp;""' AND B = '""&amp;K11&amp;""'"")))"),"")</f>
        <v/>
      </c>
      <c r="P11" s="78" t="str">
        <f>IFERROR(__xludf.DUMMYFUNCTION("IF(I11="""","""",IMAGE(QUERY('Deck Info'!A:F,""SELECT F WHERE A = '""&amp;J11&amp;""' AND B = '""&amp;K11&amp;""'"")))"),"")</f>
        <v/>
      </c>
      <c r="Q11" s="79" t="str">
        <f>IFERROR(__xludf.DUMMYFUNCTION("""COMPUTED_VALUE"""),"Rehmius")</f>
        <v>Rehmius</v>
      </c>
      <c r="R11" s="73" t="str">
        <f>IFERROR(__xludf.DUMMYFUNCTION("""COMPUTED_VALUE"""),"EIS")</f>
        <v>EIS</v>
      </c>
      <c r="S11" s="74" t="str">
        <f>IFERROR(__xludf.DUMMYFUNCTION("""COMPUTED_VALUE"""),"8 Standby")</f>
        <v>8 Standby</v>
      </c>
      <c r="T11" s="73">
        <f>IFERROR(__xludf.DUMMYFUNCTION("""COMPUTED_VALUE"""),2.0)</f>
        <v>2</v>
      </c>
      <c r="U11" s="73">
        <f>IFERROR(__xludf.DUMMYFUNCTION("""COMPUTED_VALUE"""),2.0)</f>
        <v>2</v>
      </c>
      <c r="V11" s="35" t="str">
        <f>IFERROR(__xludf.DUMMYFUNCTION("IF(Q11="""","""",IMAGE(QUERY('Deck Info'!A:F,""SELECT D WHERE A = '""&amp;R11&amp;""' AND B = '""&amp;S11&amp;""'"")))"),"")</f>
        <v/>
      </c>
      <c r="W11" s="35" t="str">
        <f>IFERROR(__xludf.DUMMYFUNCTION("IF(Q11="""","""",IMAGE(QUERY('Deck Info'!A:F,""SELECT E WHERE A = '""&amp;R11&amp;""' AND B = '""&amp;S11&amp;""'"")))"),"")</f>
        <v/>
      </c>
      <c r="X11" s="75" t="str">
        <f>IFERROR(__xludf.DUMMYFUNCTION("IF(Q11="""","""",IMAGE(QUERY('Deck Info'!A:F,""SELECT F WHERE A = '""&amp;R11&amp;""' AND B = '""&amp;S11&amp;""'"")))"),"")</f>
        <v/>
      </c>
      <c r="Y11" s="79" t="str">
        <f>IFERROR(__xludf.DUMMYFUNCTION("""COMPUTED_VALUE"""),"Kururu")</f>
        <v>Kururu</v>
      </c>
      <c r="Z11" s="73" t="str">
        <f>IFERROR(__xludf.DUMMYFUNCTION("""COMPUTED_VALUE"""),"NIK")</f>
        <v>NIK</v>
      </c>
      <c r="AA11" s="74" t="str">
        <f>IFERROR(__xludf.DUMMYFUNCTION("""COMPUTED_VALUE"""),"Door Standby")</f>
        <v>Door Standby</v>
      </c>
      <c r="AB11" s="73">
        <f>IFERROR(__xludf.DUMMYFUNCTION("""COMPUTED_VALUE"""),3.0)</f>
        <v>3</v>
      </c>
      <c r="AC11" s="73">
        <f>IFERROR(__xludf.DUMMYFUNCTION("""COMPUTED_VALUE"""),2.0)</f>
        <v>2</v>
      </c>
      <c r="AD11" s="35" t="str">
        <f>IFERROR(__xludf.DUMMYFUNCTION("IF(Y11="""","""",IMAGE(QUERY('Deck Info'!A:F,""SELECT D WHERE A = '""&amp;Z11&amp;""' AND B = '""&amp;AA11&amp;""'"")))"),"")</f>
        <v/>
      </c>
      <c r="AE11" s="35" t="str">
        <f>IFERROR(__xludf.DUMMYFUNCTION("IF(Y11="""","""",IMAGE(QUERY('Deck Info'!A:F,""SELECT E WHERE A = '""&amp;Z11&amp;""' AND B = '""&amp;AA11&amp;""'"")))"),"")</f>
        <v/>
      </c>
      <c r="AF11" s="75" t="str">
        <f>IFERROR(__xludf.DUMMYFUNCTION("IF(Y11="""","""",IMAGE(QUERY('Deck Info'!A:F,""SELECT F WHERE A = '""&amp;Z11&amp;""' AND B = '""&amp;AA11&amp;""'"")))"),"")</f>
        <v/>
      </c>
      <c r="AG11" s="79" t="str">
        <f>IFERROR(__xludf.DUMMYFUNCTION("""COMPUTED_VALUE"""),"Rehmius")</f>
        <v>Rehmius</v>
      </c>
      <c r="AH11" s="73" t="str">
        <f>IFERROR(__xludf.DUMMYFUNCTION("""COMPUTED_VALUE"""),"EIS")</f>
        <v>EIS</v>
      </c>
      <c r="AI11" s="74" t="str">
        <f>IFERROR(__xludf.DUMMYFUNCTION("""COMPUTED_VALUE"""),"8 Standby")</f>
        <v>8 Standby</v>
      </c>
      <c r="AJ11" s="73">
        <f>IFERROR(__xludf.DUMMYFUNCTION("""COMPUTED_VALUE"""),2.0)</f>
        <v>2</v>
      </c>
      <c r="AK11" s="73">
        <f>IFERROR(__xludf.DUMMYFUNCTION("""COMPUTED_VALUE"""),2.0)</f>
        <v>2</v>
      </c>
      <c r="AL11" s="35" t="str">
        <f>IFERROR(__xludf.DUMMYFUNCTION("IF(AG11="""","""",IMAGE(QUERY('Deck Info'!A:F,""SELECT D WHERE A = '""&amp;AH11&amp;""' AND B = '""&amp;AI11&amp;""'"")))"),"")</f>
        <v/>
      </c>
      <c r="AM11" s="35" t="str">
        <f>IFERROR(__xludf.DUMMYFUNCTION("IF(AG11="""","""",IMAGE(QUERY('Deck Info'!A:F,""SELECT E WHERE A = '""&amp;AH11&amp;""' AND B = '""&amp;AI11&amp;""'"")))"),"")</f>
        <v/>
      </c>
      <c r="AN11" s="75" t="str">
        <f>IFERROR(__xludf.DUMMYFUNCTION("IF(AG11="""","""",IMAGE(QUERY('Deck Info'!A:F,""SELECT F WHERE A = '""&amp;AH11&amp;""' AND B = '""&amp;AI11&amp;""'"")))"),"")</f>
        <v/>
      </c>
    </row>
    <row r="12" ht="75.0" customHeight="1">
      <c r="A12" s="72" t="str">
        <f>IFERROR(__xludf.DUMMYFUNCTION("""COMPUTED_VALUE"""),"Kururu")</f>
        <v>Kururu</v>
      </c>
      <c r="B12" s="73" t="str">
        <f>IFERROR(__xludf.DUMMYFUNCTION("""COMPUTED_VALUE"""),"?")</f>
        <v>?</v>
      </c>
      <c r="C12" s="74" t="str">
        <f>IFERROR(__xludf.DUMMYFUNCTION("""COMPUTED_VALUE"""),"?")</f>
        <v>?</v>
      </c>
      <c r="D12" s="73">
        <f>IFERROR(__xludf.DUMMYFUNCTION("""COMPUTED_VALUE"""),2.0)</f>
        <v>2</v>
      </c>
      <c r="E12" s="73">
        <f>IFERROR(__xludf.DUMMYFUNCTION("""COMPUTED_VALUE"""),2.0)</f>
        <v>2</v>
      </c>
      <c r="F12" s="35" t="str">
        <f>IFERROR(__xludf.DUMMYFUNCTION("IF(A12="""","""",IMAGE(QUERY('Deck Info'!A:F,""SELECT D WHERE A = '""&amp;B12&amp;""' AND B = '""&amp;C12&amp;""'"")))"),"")</f>
        <v/>
      </c>
      <c r="G12" s="35" t="str">
        <f>IFERROR(__xludf.DUMMYFUNCTION("IF(A12="""","""",IMAGE(QUERY('Deck Info'!A:F,""SELECT E WHERE A = '""&amp;B12&amp;""' AND B = '""&amp;C12&amp;""'"")))"),"")</f>
        <v/>
      </c>
      <c r="H12" s="75" t="str">
        <f>IFERROR(__xludf.DUMMYFUNCTION("IF(A12="""","""",IMAGE(QUERY('Deck Info'!A:F,""SELECT F WHERE A = '""&amp;B12&amp;""' AND B = '""&amp;C12&amp;""'"")))"),"")</f>
        <v/>
      </c>
      <c r="I12" s="79" t="str">
        <f>IFERROR(__xludf.DUMMYFUNCTION("""COMPUTED_VALUE"""),"Sp3ctrum")</f>
        <v>Sp3ctrum</v>
      </c>
      <c r="J12" s="73" t="str">
        <f>IFERROR(__xludf.DUMMYFUNCTION("""COMPUTED_VALUE"""),"OSK")</f>
        <v>OSK</v>
      </c>
      <c r="K12" s="74" t="str">
        <f>IFERROR(__xludf.DUMMYFUNCTION("""COMPUTED_VALUE"""),"Door Pants")</f>
        <v>Door Pants</v>
      </c>
      <c r="L12" s="73">
        <f>IFERROR(__xludf.DUMMYFUNCTION("""COMPUTED_VALUE"""),3.0)</f>
        <v>3</v>
      </c>
      <c r="M12" s="73">
        <f>IFERROR(__xludf.DUMMYFUNCTION("""COMPUTED_VALUE"""),2.0)</f>
        <v>2</v>
      </c>
      <c r="N12" s="77" t="str">
        <f>IFERROR(__xludf.DUMMYFUNCTION("IF(I12="""","""",IMAGE(QUERY('Deck Info'!A:F,""SELECT D WHERE A = '""&amp;J12&amp;""' AND B = '""&amp;K12&amp;""'"")))"),"")</f>
        <v/>
      </c>
      <c r="O12" s="77" t="str">
        <f>IFERROR(__xludf.DUMMYFUNCTION("IF(I12="""","""",IMAGE(QUERY('Deck Info'!A:F,""SELECT E WHERE A = '""&amp;J12&amp;""' AND B = '""&amp;K12&amp;""'"")))"),"")</f>
        <v/>
      </c>
      <c r="P12" s="78" t="str">
        <f>IFERROR(__xludf.DUMMYFUNCTION("IF(I12="""","""",IMAGE(QUERY('Deck Info'!A:F,""SELECT F WHERE A = '""&amp;J12&amp;""' AND B = '""&amp;K12&amp;""'"")))"),"")</f>
        <v/>
      </c>
      <c r="Q12" s="79" t="str">
        <f>IFERROR(__xludf.DUMMYFUNCTION("""COMPUTED_VALUE"""),"Nomar")</f>
        <v>Nomar</v>
      </c>
      <c r="R12" s="73" t="str">
        <f>IFERROR(__xludf.DUMMYFUNCTION("""COMPUTED_VALUE"""),"ARI")</f>
        <v>ARI</v>
      </c>
      <c r="S12" s="74" t="str">
        <f>IFERROR(__xludf.DUMMYFUNCTION("""COMPUTED_VALUE"""),"2Soul Bar")</f>
        <v>2Soul Bar</v>
      </c>
      <c r="T12" s="73">
        <f>IFERROR(__xludf.DUMMYFUNCTION("""COMPUTED_VALUE"""),2.0)</f>
        <v>2</v>
      </c>
      <c r="U12" s="73">
        <f>IFERROR(__xludf.DUMMYFUNCTION("""COMPUTED_VALUE"""),2.0)</f>
        <v>2</v>
      </c>
      <c r="V12" s="35" t="str">
        <f>IFERROR(__xludf.DUMMYFUNCTION("IF(Q12="""","""",IMAGE(QUERY('Deck Info'!A:F,""SELECT D WHERE A = '""&amp;R12&amp;""' AND B = '""&amp;S12&amp;""'"")))"),"")</f>
        <v/>
      </c>
      <c r="W12" s="35" t="str">
        <f>IFERROR(__xludf.DUMMYFUNCTION("IF(Q12="""","""",IMAGE(QUERY('Deck Info'!A:F,""SELECT E WHERE A = '""&amp;R12&amp;""' AND B = '""&amp;S12&amp;""'"")))"),"")</f>
        <v/>
      </c>
      <c r="X12" s="75" t="str">
        <f>IFERROR(__xludf.DUMMYFUNCTION("IF(Q12="""","""",IMAGE(QUERY('Deck Info'!A:F,""SELECT F WHERE A = '""&amp;R12&amp;""' AND B = '""&amp;S12&amp;""'"")))"),"")</f>
        <v/>
      </c>
      <c r="Y12" s="79" t="str">
        <f>IFERROR(__xludf.DUMMYFUNCTION("""COMPUTED_VALUE"""),"Rehmius")</f>
        <v>Rehmius</v>
      </c>
      <c r="Z12" s="73" t="str">
        <f>IFERROR(__xludf.DUMMYFUNCTION("""COMPUTED_VALUE"""),"OSK")</f>
        <v>OSK</v>
      </c>
      <c r="AA12" s="74" t="str">
        <f>IFERROR(__xludf.DUMMYFUNCTION("""COMPUTED_VALUE"""),"Door Pants")</f>
        <v>Door Pants</v>
      </c>
      <c r="AB12" s="73">
        <f>IFERROR(__xludf.DUMMYFUNCTION("""COMPUTED_VALUE"""),3.0)</f>
        <v>3</v>
      </c>
      <c r="AC12" s="73">
        <f>IFERROR(__xludf.DUMMYFUNCTION("""COMPUTED_VALUE"""),2.0)</f>
        <v>2</v>
      </c>
      <c r="AD12" s="35" t="str">
        <f>IFERROR(__xludf.DUMMYFUNCTION("IF(Y12="""","""",IMAGE(QUERY('Deck Info'!A:F,""SELECT D WHERE A = '""&amp;Z12&amp;""' AND B = '""&amp;AA12&amp;""'"")))"),"")</f>
        <v/>
      </c>
      <c r="AE12" s="35" t="str">
        <f>IFERROR(__xludf.DUMMYFUNCTION("IF(Y12="""","""",IMAGE(QUERY('Deck Info'!A:F,""SELECT E WHERE A = '""&amp;Z12&amp;""' AND B = '""&amp;AA12&amp;""'"")))"),"")</f>
        <v/>
      </c>
      <c r="AF12" s="75" t="str">
        <f>IFERROR(__xludf.DUMMYFUNCTION("IF(Y12="""","""",IMAGE(QUERY('Deck Info'!A:F,""SELECT F WHERE A = '""&amp;Z12&amp;""' AND B = '""&amp;AA12&amp;""'"")))"),"")</f>
        <v/>
      </c>
      <c r="AG12" s="79" t="str">
        <f>IFERROR(__xludf.DUMMYFUNCTION("""COMPUTED_VALUE"""),"Nomar")</f>
        <v>Nomar</v>
      </c>
      <c r="AH12" s="73" t="str">
        <f>IFERROR(__xludf.DUMMYFUNCTION("""COMPUTED_VALUE"""),"NIK")</f>
        <v>NIK</v>
      </c>
      <c r="AI12" s="74" t="str">
        <f>IFERROR(__xludf.DUMMYFUNCTION("""COMPUTED_VALUE"""),"Door Standby")</f>
        <v>Door Standby</v>
      </c>
      <c r="AJ12" s="73">
        <f>IFERROR(__xludf.DUMMYFUNCTION("""COMPUTED_VALUE"""),1.0)</f>
        <v>1</v>
      </c>
      <c r="AK12" s="73">
        <f>IFERROR(__xludf.DUMMYFUNCTION("""COMPUTED_VALUE"""),3.0)</f>
        <v>3</v>
      </c>
      <c r="AL12" s="35" t="str">
        <f>IFERROR(__xludf.DUMMYFUNCTION("IF(AG12="""","""",IMAGE(QUERY('Deck Info'!A:F,""SELECT D WHERE A = '""&amp;AH12&amp;""' AND B = '""&amp;AI12&amp;""'"")))"),"")</f>
        <v/>
      </c>
      <c r="AM12" s="35" t="str">
        <f>IFERROR(__xludf.DUMMYFUNCTION("IF(AG12="""","""",IMAGE(QUERY('Deck Info'!A:F,""SELECT E WHERE A = '""&amp;AH12&amp;""' AND B = '""&amp;AI12&amp;""'"")))"),"")</f>
        <v/>
      </c>
      <c r="AN12" s="75" t="str">
        <f>IFERROR(__xludf.DUMMYFUNCTION("IF(AG12="""","""",IMAGE(QUERY('Deck Info'!A:F,""SELECT F WHERE A = '""&amp;AH12&amp;""' AND B = '""&amp;AI12&amp;""'"")))"),"")</f>
        <v/>
      </c>
    </row>
    <row r="13" ht="75.0" customHeight="1">
      <c r="A13" s="72" t="str">
        <f>IFERROR(__xludf.DUMMYFUNCTION("""COMPUTED_VALUE"""),"PavonShinigami")</f>
        <v>PavonShinigami</v>
      </c>
      <c r="B13" s="73" t="str">
        <f>IFERROR(__xludf.DUMMYFUNCTION("""COMPUTED_VALUE"""),"FT")</f>
        <v>FT</v>
      </c>
      <c r="C13" s="74" t="str">
        <f>IFERROR(__xludf.DUMMYFUNCTION("""COMPUTED_VALUE"""),"Bar Choice")</f>
        <v>Bar Choice</v>
      </c>
      <c r="D13" s="73">
        <f>IFERROR(__xludf.DUMMYFUNCTION("""COMPUTED_VALUE"""),2.0)</f>
        <v>2</v>
      </c>
      <c r="E13" s="73">
        <f>IFERROR(__xludf.DUMMYFUNCTION("""COMPUTED_VALUE"""),2.0)</f>
        <v>2</v>
      </c>
      <c r="F13" s="35" t="str">
        <f>IFERROR(__xludf.DUMMYFUNCTION("IF(A13="""","""",IMAGE(QUERY('Deck Info'!A:F,""SELECT D WHERE A = '""&amp;B13&amp;""' AND B = '""&amp;C13&amp;""'"")))"),"")</f>
        <v/>
      </c>
      <c r="G13" s="35" t="str">
        <f>IFERROR(__xludf.DUMMYFUNCTION("IF(A13="""","""",IMAGE(QUERY('Deck Info'!A:F,""SELECT E WHERE A = '""&amp;B13&amp;""' AND B = '""&amp;C13&amp;""'"")))"),"")</f>
        <v/>
      </c>
      <c r="H13" s="75" t="str">
        <f>IFERROR(__xludf.DUMMYFUNCTION("IF(A13="""","""",IMAGE(QUERY('Deck Info'!A:F,""SELECT F WHERE A = '""&amp;B13&amp;""' AND B = '""&amp;C13&amp;""'"")))"),"")</f>
        <v/>
      </c>
      <c r="I13" s="79" t="str">
        <f>IFERROR(__xludf.DUMMYFUNCTION("""COMPUTED_VALUE"""),"Mualco")</f>
        <v>Mualco</v>
      </c>
      <c r="J13" s="73" t="str">
        <f>IFERROR(__xludf.DUMMYFUNCTION("""COMPUTED_VALUE"""),"?")</f>
        <v>?</v>
      </c>
      <c r="K13" s="74" t="str">
        <f>IFERROR(__xludf.DUMMYFUNCTION("""COMPUTED_VALUE"""),"?")</f>
        <v>?</v>
      </c>
      <c r="L13" s="73">
        <f>IFERROR(__xludf.DUMMYFUNCTION("""COMPUTED_VALUE"""),3.0)</f>
        <v>3</v>
      </c>
      <c r="M13" s="73">
        <f>IFERROR(__xludf.DUMMYFUNCTION("""COMPUTED_VALUE"""),2.0)</f>
        <v>2</v>
      </c>
      <c r="N13" s="77" t="str">
        <f>IFERROR(__xludf.DUMMYFUNCTION("IF(I13="""","""",IMAGE(QUERY('Deck Info'!A:F,""SELECT D WHERE A = '""&amp;J13&amp;""' AND B = '""&amp;K13&amp;""'"")))"),"")</f>
        <v/>
      </c>
      <c r="O13" s="77" t="str">
        <f>IFERROR(__xludf.DUMMYFUNCTION("IF(I13="""","""",IMAGE(QUERY('Deck Info'!A:F,""SELECT E WHERE A = '""&amp;J13&amp;""' AND B = '""&amp;K13&amp;""'"")))"),"")</f>
        <v/>
      </c>
      <c r="P13" s="78" t="str">
        <f>IFERROR(__xludf.DUMMYFUNCTION("IF(I13="""","""",IMAGE(QUERY('Deck Info'!A:F,""SELECT F WHERE A = '""&amp;J13&amp;""' AND B = '""&amp;K13&amp;""'"")))"),"")</f>
        <v/>
      </c>
      <c r="Q13" s="79" t="str">
        <f>IFERROR(__xludf.DUMMYFUNCTION("""COMPUTED_VALUE"""),"Agus")</f>
        <v>Agus</v>
      </c>
      <c r="R13" s="73" t="str">
        <f>IFERROR(__xludf.DUMMYFUNCTION("""COMPUTED_VALUE"""),"DAL")</f>
        <v>DAL</v>
      </c>
      <c r="S13" s="74" t="str">
        <f>IFERROR(__xludf.DUMMYFUNCTION("""COMPUTED_VALUE"""),"8 Standby")</f>
        <v>8 Standby</v>
      </c>
      <c r="T13" s="73">
        <f>IFERROR(__xludf.DUMMYFUNCTION("""COMPUTED_VALUE"""),2.0)</f>
        <v>2</v>
      </c>
      <c r="U13" s="73">
        <f>IFERROR(__xludf.DUMMYFUNCTION("""COMPUTED_VALUE"""),2.0)</f>
        <v>2</v>
      </c>
      <c r="V13" s="35" t="str">
        <f>IFERROR(__xludf.DUMMYFUNCTION("IF(Q13="""","""",IMAGE(QUERY('Deck Info'!A:F,""SELECT D WHERE A = '""&amp;R13&amp;""' AND B = '""&amp;S13&amp;""'"")))"),"")</f>
        <v/>
      </c>
      <c r="W13" s="35" t="str">
        <f>IFERROR(__xludf.DUMMYFUNCTION("IF(Q13="""","""",IMAGE(QUERY('Deck Info'!A:F,""SELECT E WHERE A = '""&amp;R13&amp;""' AND B = '""&amp;S13&amp;""'"")))"),"")</f>
        <v/>
      </c>
      <c r="X13" s="75" t="str">
        <f>IFERROR(__xludf.DUMMYFUNCTION("IF(Q13="""","""",IMAGE(QUERY('Deck Info'!A:F,""SELECT F WHERE A = '""&amp;R13&amp;""' AND B = '""&amp;S13&amp;""'"")))"),"")</f>
        <v/>
      </c>
      <c r="Y13" s="79" t="str">
        <f>IFERROR(__xludf.DUMMYFUNCTION("""COMPUTED_VALUE"""),"Charlie")</f>
        <v>Charlie</v>
      </c>
      <c r="Z13" s="73" t="str">
        <f>IFERROR(__xludf.DUMMYFUNCTION("""COMPUTED_VALUE"""),"?")</f>
        <v>?</v>
      </c>
      <c r="AA13" s="74" t="str">
        <f>IFERROR(__xludf.DUMMYFUNCTION("""COMPUTED_VALUE"""),"?")</f>
        <v>?</v>
      </c>
      <c r="AB13" s="73">
        <f>IFERROR(__xludf.DUMMYFUNCTION("""COMPUTED_VALUE"""),3.0)</f>
        <v>3</v>
      </c>
      <c r="AC13" s="73">
        <f>IFERROR(__xludf.DUMMYFUNCTION("""COMPUTED_VALUE"""),2.0)</f>
        <v>2</v>
      </c>
      <c r="AD13" s="35" t="str">
        <f>IFERROR(__xludf.DUMMYFUNCTION("IF(Y13="""","""",IMAGE(QUERY('Deck Info'!A:F,""SELECT D WHERE A = '""&amp;Z13&amp;""' AND B = '""&amp;AA13&amp;""'"")))"),"")</f>
        <v/>
      </c>
      <c r="AE13" s="35" t="str">
        <f>IFERROR(__xludf.DUMMYFUNCTION("IF(Y13="""","""",IMAGE(QUERY('Deck Info'!A:F,""SELECT E WHERE A = '""&amp;Z13&amp;""' AND B = '""&amp;AA13&amp;""'"")))"),"")</f>
        <v/>
      </c>
      <c r="AF13" s="75" t="str">
        <f>IFERROR(__xludf.DUMMYFUNCTION("IF(Y13="""","""",IMAGE(QUERY('Deck Info'!A:F,""SELECT F WHERE A = '""&amp;Z13&amp;""' AND B = '""&amp;AA13&amp;""'"")))"),"")</f>
        <v/>
      </c>
      <c r="AG13" s="79" t="str">
        <f>IFERROR(__xludf.DUMMYFUNCTION("""COMPUTED_VALUE"""),"Kururu")</f>
        <v>Kururu</v>
      </c>
      <c r="AH13" s="73" t="str">
        <f>IFERROR(__xludf.DUMMYFUNCTION("""COMPUTED_VALUE"""),"NIK")</f>
        <v>NIK</v>
      </c>
      <c r="AI13" s="74" t="str">
        <f>IFERROR(__xludf.DUMMYFUNCTION("""COMPUTED_VALUE"""),"Door Standby")</f>
        <v>Door Standby</v>
      </c>
      <c r="AJ13" s="73">
        <f>IFERROR(__xludf.DUMMYFUNCTION("""COMPUTED_VALUE"""),1.0)</f>
        <v>1</v>
      </c>
      <c r="AK13" s="73">
        <f>IFERROR(__xludf.DUMMYFUNCTION("""COMPUTED_VALUE"""),3.0)</f>
        <v>3</v>
      </c>
      <c r="AL13" s="35" t="str">
        <f>IFERROR(__xludf.DUMMYFUNCTION("IF(AG13="""","""",IMAGE(QUERY('Deck Info'!A:F,""SELECT D WHERE A = '""&amp;AH13&amp;""' AND B = '""&amp;AI13&amp;""'"")))"),"")</f>
        <v/>
      </c>
      <c r="AM13" s="35" t="str">
        <f>IFERROR(__xludf.DUMMYFUNCTION("IF(AG13="""","""",IMAGE(QUERY('Deck Info'!A:F,""SELECT E WHERE A = '""&amp;AH13&amp;""' AND B = '""&amp;AI13&amp;""'"")))"),"")</f>
        <v/>
      </c>
      <c r="AN13" s="75" t="str">
        <f>IFERROR(__xludf.DUMMYFUNCTION("IF(AG13="""","""",IMAGE(QUERY('Deck Info'!A:F,""SELECT F WHERE A = '""&amp;AH13&amp;""' AND B = '""&amp;AI13&amp;""'"")))"),"")</f>
        <v/>
      </c>
    </row>
    <row r="14" ht="75.0" customHeight="1">
      <c r="A14" s="72" t="str">
        <f>IFERROR(__xludf.DUMMYFUNCTION("""COMPUTED_VALUE"""),"Seyer")</f>
        <v>Seyer</v>
      </c>
      <c r="B14" s="73" t="str">
        <f>IFERROR(__xludf.DUMMYFUNCTION("""COMPUTED_VALUE"""),"?")</f>
        <v>?</v>
      </c>
      <c r="C14" s="74" t="str">
        <f>IFERROR(__xludf.DUMMYFUNCTION("""COMPUTED_VALUE"""),"?")</f>
        <v>?</v>
      </c>
      <c r="D14" s="73">
        <f>IFERROR(__xludf.DUMMYFUNCTION("""COMPUTED_VALUE"""),2.0)</f>
        <v>2</v>
      </c>
      <c r="E14" s="73">
        <f>IFERROR(__xludf.DUMMYFUNCTION("""COMPUTED_VALUE"""),2.0)</f>
        <v>2</v>
      </c>
      <c r="F14" s="35" t="str">
        <f>IFERROR(__xludf.DUMMYFUNCTION("IF(A14="""","""",IMAGE(QUERY('Deck Info'!A:F,""SELECT D WHERE A = '""&amp;B14&amp;""' AND B = '""&amp;C14&amp;""'"")))"),"")</f>
        <v/>
      </c>
      <c r="G14" s="35" t="str">
        <f>IFERROR(__xludf.DUMMYFUNCTION("IF(A14="""","""",IMAGE(QUERY('Deck Info'!A:F,""SELECT E WHERE A = '""&amp;B14&amp;""' AND B = '""&amp;C14&amp;""'"")))"),"")</f>
        <v/>
      </c>
      <c r="H14" s="75" t="str">
        <f>IFERROR(__xludf.DUMMYFUNCTION("IF(A14="""","""",IMAGE(QUERY('Deck Info'!A:F,""SELECT F WHERE A = '""&amp;B14&amp;""' AND B = '""&amp;C14&amp;""'"")))"),"")</f>
        <v/>
      </c>
      <c r="I14" s="79" t="str">
        <f>IFERROR(__xludf.DUMMYFUNCTION("""COMPUTED_VALUE"""),"Kururu")</f>
        <v>Kururu</v>
      </c>
      <c r="J14" s="73" t="str">
        <f>IFERROR(__xludf.DUMMYFUNCTION("""COMPUTED_VALUE"""),"?")</f>
        <v>?</v>
      </c>
      <c r="K14" s="74" t="str">
        <f>IFERROR(__xludf.DUMMYFUNCTION("""COMPUTED_VALUE"""),"?")</f>
        <v>?</v>
      </c>
      <c r="L14" s="73">
        <f>IFERROR(__xludf.DUMMYFUNCTION("""COMPUTED_VALUE"""),3.0)</f>
        <v>3</v>
      </c>
      <c r="M14" s="73">
        <f>IFERROR(__xludf.DUMMYFUNCTION("""COMPUTED_VALUE"""),2.0)</f>
        <v>2</v>
      </c>
      <c r="N14" s="77" t="str">
        <f>IFERROR(__xludf.DUMMYFUNCTION("IF(I14="""","""",IMAGE(QUERY('Deck Info'!A:F,""SELECT D WHERE A = '""&amp;J14&amp;""' AND B = '""&amp;K14&amp;""'"")))"),"")</f>
        <v/>
      </c>
      <c r="O14" s="77" t="str">
        <f>IFERROR(__xludf.DUMMYFUNCTION("IF(I14="""","""",IMAGE(QUERY('Deck Info'!A:F,""SELECT E WHERE A = '""&amp;J14&amp;""' AND B = '""&amp;K14&amp;""'"")))"),"")</f>
        <v/>
      </c>
      <c r="P14" s="78" t="str">
        <f>IFERROR(__xludf.DUMMYFUNCTION("IF(I14="""","""",IMAGE(QUERY('Deck Info'!A:F,""SELECT F WHERE A = '""&amp;J14&amp;""' AND B = '""&amp;K14&amp;""'"")))"),"")</f>
        <v/>
      </c>
      <c r="Q14" s="79" t="str">
        <f>IFERROR(__xludf.DUMMYFUNCTION("""COMPUTED_VALUE"""),"Doris")</f>
        <v>Doris</v>
      </c>
      <c r="R14" s="73" t="str">
        <f>IFERROR(__xludf.DUMMYFUNCTION("""COMPUTED_VALUE"""),"SFN")</f>
        <v>SFN</v>
      </c>
      <c r="S14" s="74" t="str">
        <f>IFERROR(__xludf.DUMMYFUNCTION("""COMPUTED_VALUE"""),"Modified TD")</f>
        <v>Modified TD</v>
      </c>
      <c r="T14" s="73">
        <f>IFERROR(__xludf.DUMMYFUNCTION("""COMPUTED_VALUE"""),2.0)</f>
        <v>2</v>
      </c>
      <c r="U14" s="73">
        <f>IFERROR(__xludf.DUMMYFUNCTION("""COMPUTED_VALUE"""),2.0)</f>
        <v>2</v>
      </c>
      <c r="V14" s="35" t="str">
        <f>IFERROR(__xludf.DUMMYFUNCTION("IF(Q14="""","""",IMAGE(QUERY('Deck Info'!A:F,""SELECT D WHERE A = '""&amp;R14&amp;""' AND B = '""&amp;S14&amp;""'"")))"),"")</f>
        <v/>
      </c>
      <c r="W14" s="35" t="str">
        <f>IFERROR(__xludf.DUMMYFUNCTION("IF(Q14="""","""",IMAGE(QUERY('Deck Info'!A:F,""SELECT E WHERE A = '""&amp;R14&amp;""' AND B = '""&amp;S14&amp;""'"")))"),"")</f>
        <v/>
      </c>
      <c r="X14" s="75" t="str">
        <f>IFERROR(__xludf.DUMMYFUNCTION("IF(Q14="""","""",IMAGE(QUERY('Deck Info'!A:F,""SELECT F WHERE A = '""&amp;R14&amp;""' AND B = '""&amp;S14&amp;""'"")))"),"")</f>
        <v/>
      </c>
      <c r="Y14" s="79" t="str">
        <f>IFERROR(__xludf.DUMMYFUNCTION("""COMPUTED_VALUE"""),"Zeno")</f>
        <v>Zeno</v>
      </c>
      <c r="Z14" s="73" t="str">
        <f>IFERROR(__xludf.DUMMYFUNCTION("""COMPUTED_VALUE"""),"5HY")</f>
        <v>5HY</v>
      </c>
      <c r="AA14" s="74" t="str">
        <f>IFERROR(__xludf.DUMMYFUNCTION("""COMPUTED_VALUE"""),"Nino")</f>
        <v>Nino</v>
      </c>
      <c r="AB14" s="73">
        <f>IFERROR(__xludf.DUMMYFUNCTION("""COMPUTED_VALUE"""),2.0)</f>
        <v>2</v>
      </c>
      <c r="AC14" s="73">
        <f>IFERROR(__xludf.DUMMYFUNCTION("""COMPUTED_VALUE"""),3.0)</f>
        <v>3</v>
      </c>
      <c r="AD14" s="35" t="str">
        <f>IFERROR(__xludf.DUMMYFUNCTION("IF(Y14="""","""",IMAGE(QUERY('Deck Info'!A:F,""SELECT D WHERE A = '""&amp;Z14&amp;""' AND B = '""&amp;AA14&amp;""'"")))"),"")</f>
        <v/>
      </c>
      <c r="AE14" s="35" t="str">
        <f>IFERROR(__xludf.DUMMYFUNCTION("IF(Y14="""","""",IMAGE(QUERY('Deck Info'!A:F,""SELECT E WHERE A = '""&amp;Z14&amp;""' AND B = '""&amp;AA14&amp;""'"")))"),"")</f>
        <v/>
      </c>
      <c r="AF14" s="75" t="str">
        <f>IFERROR(__xludf.DUMMYFUNCTION("IF(Y14="""","""",IMAGE(QUERY('Deck Info'!A:F,""SELECT F WHERE A = '""&amp;Z14&amp;""' AND B = '""&amp;AA14&amp;""'"")))"),"")</f>
        <v/>
      </c>
      <c r="AG14" s="79" t="str">
        <f>IFERROR(__xludf.DUMMYFUNCTION("""COMPUTED_VALUE"""),"AC5")</f>
        <v>AC5</v>
      </c>
      <c r="AH14" s="73" t="str">
        <f>IFERROR(__xludf.DUMMYFUNCTION("""COMPUTED_VALUE"""),"NIK")</f>
        <v>NIK</v>
      </c>
      <c r="AI14" s="74" t="str">
        <f>IFERROR(__xludf.DUMMYFUNCTION("""COMPUTED_VALUE"""),"Door Standby")</f>
        <v>Door Standby</v>
      </c>
      <c r="AJ14" s="73">
        <f>IFERROR(__xludf.DUMMYFUNCTION("""COMPUTED_VALUE"""),1.0)</f>
        <v>1</v>
      </c>
      <c r="AK14" s="73">
        <f>IFERROR(__xludf.DUMMYFUNCTION("""COMPUTED_VALUE"""),3.0)</f>
        <v>3</v>
      </c>
      <c r="AL14" s="35" t="str">
        <f>IFERROR(__xludf.DUMMYFUNCTION("IF(AG14="""","""",IMAGE(QUERY('Deck Info'!A:F,""SELECT D WHERE A = '""&amp;AH14&amp;""' AND B = '""&amp;AI14&amp;""'"")))"),"")</f>
        <v/>
      </c>
      <c r="AM14" s="35" t="str">
        <f>IFERROR(__xludf.DUMMYFUNCTION("IF(AG14="""","""",IMAGE(QUERY('Deck Info'!A:F,""SELECT E WHERE A = '""&amp;AH14&amp;""' AND B = '""&amp;AI14&amp;""'"")))"),"")</f>
        <v/>
      </c>
      <c r="AN14" s="75" t="str">
        <f>IFERROR(__xludf.DUMMYFUNCTION("IF(AG14="""","""",IMAGE(QUERY('Deck Info'!A:F,""SELECT F WHERE A = '""&amp;AH14&amp;""' AND B = '""&amp;AI14&amp;""'"")))"),"")</f>
        <v/>
      </c>
    </row>
    <row r="15" ht="75.0" customHeight="1">
      <c r="A15" s="72" t="str">
        <f>IFERROR(__xludf.DUMMYFUNCTION("""COMPUTED_VALUE"""),"Rehmius")</f>
        <v>Rehmius</v>
      </c>
      <c r="B15" s="73" t="str">
        <f>IFERROR(__xludf.DUMMYFUNCTION("""COMPUTED_VALUE"""),"?")</f>
        <v>?</v>
      </c>
      <c r="C15" s="74" t="str">
        <f>IFERROR(__xludf.DUMMYFUNCTION("""COMPUTED_VALUE"""),"?")</f>
        <v>?</v>
      </c>
      <c r="D15" s="73">
        <f>IFERROR(__xludf.DUMMYFUNCTION("""COMPUTED_VALUE"""),1.0)</f>
        <v>1</v>
      </c>
      <c r="E15" s="73">
        <f>IFERROR(__xludf.DUMMYFUNCTION("""COMPUTED_VALUE"""),3.0)</f>
        <v>3</v>
      </c>
      <c r="F15" s="35" t="str">
        <f>IFERROR(__xludf.DUMMYFUNCTION("IF(A15="""","""",IMAGE(QUERY('Deck Info'!A:F,""SELECT D WHERE A = '""&amp;B15&amp;""' AND B = '""&amp;C15&amp;""'"")))"),"")</f>
        <v/>
      </c>
      <c r="G15" s="35" t="str">
        <f>IFERROR(__xludf.DUMMYFUNCTION("IF(A15="""","""",IMAGE(QUERY('Deck Info'!A:F,""SELECT E WHERE A = '""&amp;B15&amp;""' AND B = '""&amp;C15&amp;""'"")))"),"")</f>
        <v/>
      </c>
      <c r="H15" s="75" t="str">
        <f>IFERROR(__xludf.DUMMYFUNCTION("IF(A15="""","""",IMAGE(QUERY('Deck Info'!A:F,""SELECT F WHERE A = '""&amp;B15&amp;""' AND B = '""&amp;C15&amp;""'"")))"),"")</f>
        <v/>
      </c>
      <c r="I15" s="79" t="str">
        <f>IFERROR(__xludf.DUMMYFUNCTION("""COMPUTED_VALUE"""),"Nomar")</f>
        <v>Nomar</v>
      </c>
      <c r="J15" s="73" t="str">
        <f>IFERROR(__xludf.DUMMYFUNCTION("""COMPUTED_VALUE"""),"?")</f>
        <v>?</v>
      </c>
      <c r="K15" s="74" t="str">
        <f>IFERROR(__xludf.DUMMYFUNCTION("""COMPUTED_VALUE"""),"?")</f>
        <v>?</v>
      </c>
      <c r="L15" s="73">
        <f>IFERROR(__xludf.DUMMYFUNCTION("""COMPUTED_VALUE"""),2.0)</f>
        <v>2</v>
      </c>
      <c r="M15" s="73">
        <f>IFERROR(__xludf.DUMMYFUNCTION("""COMPUTED_VALUE"""),3.0)</f>
        <v>3</v>
      </c>
      <c r="N15" s="77" t="str">
        <f>IFERROR(__xludf.DUMMYFUNCTION("IF(I15="""","""",IMAGE(QUERY('Deck Info'!A:F,""SELECT D WHERE A = '""&amp;J15&amp;""' AND B = '""&amp;K15&amp;""'"")))"),"")</f>
        <v/>
      </c>
      <c r="O15" s="77" t="str">
        <f>IFERROR(__xludf.DUMMYFUNCTION("IF(I15="""","""",IMAGE(QUERY('Deck Info'!A:F,""SELECT E WHERE A = '""&amp;J15&amp;""' AND B = '""&amp;K15&amp;""'"")))"),"")</f>
        <v/>
      </c>
      <c r="P15" s="78" t="str">
        <f>IFERROR(__xludf.DUMMYFUNCTION("IF(I15="""","""",IMAGE(QUERY('Deck Info'!A:F,""SELECT F WHERE A = '""&amp;J15&amp;""' AND B = '""&amp;K15&amp;""'"")))"),"")</f>
        <v/>
      </c>
      <c r="Q15" s="79" t="str">
        <f>IFERROR(__xludf.DUMMYFUNCTION("""COMPUTED_VALUE"""),"Lecna")</f>
        <v>Lecna</v>
      </c>
      <c r="R15" s="73" t="str">
        <f>IFERROR(__xludf.DUMMYFUNCTION("""COMPUTED_VALUE"""),"AYT")</f>
        <v>AYT</v>
      </c>
      <c r="S15" s="74" t="str">
        <f>IFERROR(__xludf.DUMMYFUNCTION("""COMPUTED_VALUE"""),"8 Pants")</f>
        <v>8 Pants</v>
      </c>
      <c r="T15" s="73">
        <f>IFERROR(__xludf.DUMMYFUNCTION("""COMPUTED_VALUE"""),2.0)</f>
        <v>2</v>
      </c>
      <c r="U15" s="73">
        <f>IFERROR(__xludf.DUMMYFUNCTION("""COMPUTED_VALUE"""),2.0)</f>
        <v>2</v>
      </c>
      <c r="V15" s="35" t="str">
        <f>IFERROR(__xludf.DUMMYFUNCTION("IF(Q15="""","""",IMAGE(QUERY('Deck Info'!A:F,""SELECT D WHERE A = '""&amp;R15&amp;""' AND B = '""&amp;S15&amp;""'"")))"),"")</f>
        <v/>
      </c>
      <c r="W15" s="35" t="str">
        <f>IFERROR(__xludf.DUMMYFUNCTION("IF(Q15="""","""",IMAGE(QUERY('Deck Info'!A:F,""SELECT E WHERE A = '""&amp;R15&amp;""' AND B = '""&amp;S15&amp;""'"")))"),"")</f>
        <v/>
      </c>
      <c r="X15" s="75" t="str">
        <f>IFERROR(__xludf.DUMMYFUNCTION("IF(Q15="""","""",IMAGE(QUERY('Deck Info'!A:F,""SELECT F WHERE A = '""&amp;R15&amp;""' AND B = '""&amp;S15&amp;""'"")))"),"")</f>
        <v/>
      </c>
      <c r="Y15" s="79" t="str">
        <f>IFERROR(__xludf.DUMMYFUNCTION("""COMPUTED_VALUE"""),"Jose Sev")</f>
        <v>Jose Sev</v>
      </c>
      <c r="Z15" s="73" t="str">
        <f>IFERROR(__xludf.DUMMYFUNCTION("""COMPUTED_VALUE"""),"EIS")</f>
        <v>EIS</v>
      </c>
      <c r="AA15" s="74" t="str">
        <f>IFERROR(__xludf.DUMMYFUNCTION("""COMPUTED_VALUE"""),"8 Bar")</f>
        <v>8 Bar</v>
      </c>
      <c r="AB15" s="73">
        <f>IFERROR(__xludf.DUMMYFUNCTION("""COMPUTED_VALUE"""),2.0)</f>
        <v>2</v>
      </c>
      <c r="AC15" s="73">
        <f>IFERROR(__xludf.DUMMYFUNCTION("""COMPUTED_VALUE"""),3.0)</f>
        <v>3</v>
      </c>
      <c r="AD15" s="35" t="str">
        <f>IFERROR(__xludf.DUMMYFUNCTION("IF(Y15="""","""",IMAGE(QUERY('Deck Info'!A:F,""SELECT D WHERE A = '""&amp;Z15&amp;""' AND B = '""&amp;AA15&amp;""'"")))"),"#N/A")</f>
        <v>#N/A</v>
      </c>
      <c r="AE15" s="35" t="str">
        <f>IFERROR(__xludf.DUMMYFUNCTION("IF(Y15="""","""",IMAGE(QUERY('Deck Info'!A:F,""SELECT E WHERE A = '""&amp;Z15&amp;""' AND B = '""&amp;AA15&amp;""'"")))"),"#N/A")</f>
        <v>#N/A</v>
      </c>
      <c r="AF15" s="75" t="str">
        <f>IFERROR(__xludf.DUMMYFUNCTION("IF(Y15="""","""",IMAGE(QUERY('Deck Info'!A:F,""SELECT F WHERE A = '""&amp;Z15&amp;""' AND B = '""&amp;AA15&amp;""'"")))"),"#N/A")</f>
        <v>#N/A</v>
      </c>
      <c r="AG15" s="79"/>
      <c r="AH15" s="73"/>
      <c r="AI15" s="74"/>
      <c r="AJ15" s="73"/>
      <c r="AK15" s="73"/>
      <c r="AL15" s="35" t="str">
        <f>IFERROR(__xludf.DUMMYFUNCTION("IF(AG15="""","""",IMAGE(QUERY('Deck Info'!I:N,""SELECT D WHERE A = '""&amp;AH15&amp;""' AND B = '""&amp;AI15&amp;""'"")))"),"")</f>
        <v/>
      </c>
      <c r="AM15" s="35" t="str">
        <f>IFERROR(__xludf.DUMMYFUNCTION("IF(AG15="""","""",IMAGE(QUERY('Deck Info'!I:N,""SELECT E WHERE A = '""&amp;AH15&amp;""' AND B = '""&amp;AI15&amp;""'"")))"),"")</f>
        <v/>
      </c>
      <c r="AN15" s="75" t="str">
        <f>IFERROR(__xludf.DUMMYFUNCTION("IF(AG15="""","""",IMAGE(QUERY('Deck Info'!I:N,""SELECT F WHERE A = '""&amp;AH15&amp;""' AND B = '""&amp;AI15&amp;""'"")))"),"")</f>
        <v/>
      </c>
    </row>
    <row r="16" ht="75.0" customHeight="1">
      <c r="A16" s="72" t="str">
        <f>IFERROR(__xludf.DUMMYFUNCTION("""COMPUTED_VALUE"""),"Kydan")</f>
        <v>Kydan</v>
      </c>
      <c r="B16" s="73" t="str">
        <f>IFERROR(__xludf.DUMMYFUNCTION("""COMPUTED_VALUE"""),"?")</f>
        <v>?</v>
      </c>
      <c r="C16" s="74" t="str">
        <f>IFERROR(__xludf.DUMMYFUNCTION("""COMPUTED_VALUE"""),"?")</f>
        <v>?</v>
      </c>
      <c r="D16" s="73">
        <f>IFERROR(__xludf.DUMMYFUNCTION("""COMPUTED_VALUE"""),1.0)</f>
        <v>1</v>
      </c>
      <c r="E16" s="73">
        <f>IFERROR(__xludf.DUMMYFUNCTION("""COMPUTED_VALUE"""),3.0)</f>
        <v>3</v>
      </c>
      <c r="F16" s="35" t="str">
        <f>IFERROR(__xludf.DUMMYFUNCTION("IF(A16="""","""",IMAGE(QUERY('Deck Info'!A:F,""SELECT D WHERE A = '""&amp;B16&amp;""' AND B = '""&amp;C16&amp;""'"")))"),"")</f>
        <v/>
      </c>
      <c r="G16" s="35" t="str">
        <f>IFERROR(__xludf.DUMMYFUNCTION("IF(A16="""","""",IMAGE(QUERY('Deck Info'!A:F,""SELECT E WHERE A = '""&amp;B16&amp;""' AND B = '""&amp;C16&amp;""'"")))"),"")</f>
        <v/>
      </c>
      <c r="H16" s="75" t="str">
        <f>IFERROR(__xludf.DUMMYFUNCTION("IF(A16="""","""",IMAGE(QUERY('Deck Info'!A:F,""SELECT F WHERE A = '""&amp;B16&amp;""' AND B = '""&amp;C16&amp;""'"")))"),"")</f>
        <v/>
      </c>
      <c r="I16" s="79" t="str">
        <f>IFERROR(__xludf.DUMMYFUNCTION("""COMPUTED_VALUE"""),"Pinya")</f>
        <v>Pinya</v>
      </c>
      <c r="J16" s="73" t="str">
        <f>IFERROR(__xludf.DUMMYFUNCTION("""COMPUTED_VALUE"""),"?")</f>
        <v>?</v>
      </c>
      <c r="K16" s="74" t="str">
        <f>IFERROR(__xludf.DUMMYFUNCTION("""COMPUTED_VALUE"""),"?")</f>
        <v>?</v>
      </c>
      <c r="L16" s="73">
        <f>IFERROR(__xludf.DUMMYFUNCTION("""COMPUTED_VALUE"""),2.0)</f>
        <v>2</v>
      </c>
      <c r="M16" s="73">
        <f>IFERROR(__xludf.DUMMYFUNCTION("""COMPUTED_VALUE"""),3.0)</f>
        <v>3</v>
      </c>
      <c r="N16" s="77" t="str">
        <f>IFERROR(__xludf.DUMMYFUNCTION("IF(I16="""","""",IMAGE(QUERY('Deck Info'!A:F,""SELECT D WHERE A = '""&amp;J16&amp;""' AND B = '""&amp;K16&amp;""'"")))"),"")</f>
        <v/>
      </c>
      <c r="O16" s="77" t="str">
        <f>IFERROR(__xludf.DUMMYFUNCTION("IF(I16="""","""",IMAGE(QUERY('Deck Info'!A:F,""SELECT E WHERE A = '""&amp;J16&amp;""' AND B = '""&amp;K16&amp;""'"")))"),"")</f>
        <v/>
      </c>
      <c r="P16" s="78" t="str">
        <f>IFERROR(__xludf.DUMMYFUNCTION("IF(I16="""","""",IMAGE(QUERY('Deck Info'!A:F,""SELECT F WHERE A = '""&amp;J16&amp;""' AND B = '""&amp;K16&amp;""'"")))"),"")</f>
        <v/>
      </c>
      <c r="Q16" s="79" t="str">
        <f>IFERROR(__xludf.DUMMYFUNCTION("""COMPUTED_VALUE"""),"JustFluffy")</f>
        <v>JustFluffy</v>
      </c>
      <c r="R16" s="73" t="str">
        <f>IFERROR(__xludf.DUMMYFUNCTION("""COMPUTED_VALUE"""),"EIS")</f>
        <v>EIS</v>
      </c>
      <c r="S16" s="74" t="str">
        <f>IFERROR(__xludf.DUMMYFUNCTION("""COMPUTED_VALUE"""),"8 Pants Atomic 1+3")</f>
        <v>8 Pants Atomic 1+3</v>
      </c>
      <c r="T16" s="73">
        <f>IFERROR(__xludf.DUMMYFUNCTION("""COMPUTED_VALUE"""),1.0)</f>
        <v>1</v>
      </c>
      <c r="U16" s="73">
        <f>IFERROR(__xludf.DUMMYFUNCTION("""COMPUTED_VALUE"""),3.0)</f>
        <v>3</v>
      </c>
      <c r="V16" s="35" t="str">
        <f>IFERROR(__xludf.DUMMYFUNCTION("IF(Q16="""","""",IMAGE(QUERY('Deck Info'!A:F,""SELECT D WHERE A = '""&amp;R16&amp;""' AND B = '""&amp;S16&amp;""'"")))"),"")</f>
        <v/>
      </c>
      <c r="W16" s="35" t="str">
        <f>IFERROR(__xludf.DUMMYFUNCTION("IF(Q16="""","""",IMAGE(QUERY('Deck Info'!A:F,""SELECT E WHERE A = '""&amp;R16&amp;""' AND B = '""&amp;S16&amp;""'"")))"),"")</f>
        <v/>
      </c>
      <c r="X16" s="75" t="str">
        <f>IFERROR(__xludf.DUMMYFUNCTION("IF(Q16="""","""",IMAGE(QUERY('Deck Info'!A:F,""SELECT F WHERE A = '""&amp;R16&amp;""' AND B = '""&amp;S16&amp;""'"")))"),"")</f>
        <v/>
      </c>
      <c r="Y16" s="79" t="str">
        <f>IFERROR(__xludf.DUMMYFUNCTION("""COMPUTED_VALUE"""),"STARK")</f>
        <v>STARK</v>
      </c>
      <c r="Z16" s="73" t="str">
        <f>IFERROR(__xludf.DUMMYFUNCTION("""COMPUTED_VALUE"""),"Fxx")</f>
        <v>Fxx</v>
      </c>
      <c r="AA16" s="74" t="str">
        <f>IFERROR(__xludf.DUMMYFUNCTION("""COMPUTED_VALUE"""),"8 Standby")</f>
        <v>8 Standby</v>
      </c>
      <c r="AB16" s="73">
        <f>IFERROR(__xludf.DUMMYFUNCTION("""COMPUTED_VALUE"""),2.0)</f>
        <v>2</v>
      </c>
      <c r="AC16" s="73">
        <f>IFERROR(__xludf.DUMMYFUNCTION("""COMPUTED_VALUE"""),3.0)</f>
        <v>3</v>
      </c>
      <c r="AD16" s="35" t="str">
        <f>IFERROR(__xludf.DUMMYFUNCTION("IF(Y16="""","""",IMAGE(QUERY('Deck Info'!A:F,""SELECT D WHERE A = '""&amp;Z16&amp;""' AND B = '""&amp;AA16&amp;""'"")))"),"")</f>
        <v/>
      </c>
      <c r="AE16" s="35" t="str">
        <f>IFERROR(__xludf.DUMMYFUNCTION("IF(Y16="""","""",IMAGE(QUERY('Deck Info'!A:F,""SELECT E WHERE A = '""&amp;Z16&amp;""' AND B = '""&amp;AA16&amp;""'"")))"),"")</f>
        <v/>
      </c>
      <c r="AF16" s="75" t="str">
        <f>IFERROR(__xludf.DUMMYFUNCTION("IF(Y16="""","""",IMAGE(QUERY('Deck Info'!A:F,""SELECT F WHERE A = '""&amp;Z16&amp;""' AND B = '""&amp;AA16&amp;""'"")))"),"")</f>
        <v/>
      </c>
      <c r="AG16" s="79"/>
      <c r="AH16" s="73"/>
      <c r="AI16" s="74"/>
      <c r="AJ16" s="73"/>
      <c r="AK16" s="73"/>
      <c r="AL16" s="35" t="str">
        <f>IFERROR(__xludf.DUMMYFUNCTION("IF(AG16="""","""",IMAGE(QUERY('Deck Info'!I:N,""SELECT D WHERE A = '""&amp;AH16&amp;""' AND B = '""&amp;AI16&amp;""'"")))"),"")</f>
        <v/>
      </c>
      <c r="AM16" s="35" t="str">
        <f>IFERROR(__xludf.DUMMYFUNCTION("IF(AG16="""","""",IMAGE(QUERY('Deck Info'!I:N,""SELECT E WHERE A = '""&amp;AH16&amp;""' AND B = '""&amp;AI16&amp;""'"")))"),"")</f>
        <v/>
      </c>
      <c r="AN16" s="75" t="str">
        <f>IFERROR(__xludf.DUMMYFUNCTION("IF(AG16="""","""",IMAGE(QUERY('Deck Info'!I:N,""SELECT F WHERE A = '""&amp;AH16&amp;""' AND B = '""&amp;AI16&amp;""'"")))"),"")</f>
        <v/>
      </c>
    </row>
    <row r="17" ht="75.0" customHeight="1">
      <c r="A17" s="72" t="str">
        <f>IFERROR(__xludf.DUMMYFUNCTION("""COMPUTED_VALUE"""),"Agus")</f>
        <v>Agus</v>
      </c>
      <c r="B17" s="73" t="str">
        <f>IFERROR(__xludf.DUMMYFUNCTION("""COMPUTED_VALUE"""),"?")</f>
        <v>?</v>
      </c>
      <c r="C17" s="74" t="str">
        <f>IFERROR(__xludf.DUMMYFUNCTION("""COMPUTED_VALUE"""),"?")</f>
        <v>?</v>
      </c>
      <c r="D17" s="73">
        <f>IFERROR(__xludf.DUMMYFUNCTION("""COMPUTED_VALUE"""),1.0)</f>
        <v>1</v>
      </c>
      <c r="E17" s="73">
        <f>IFERROR(__xludf.DUMMYFUNCTION("""COMPUTED_VALUE"""),3.0)</f>
        <v>3</v>
      </c>
      <c r="F17" s="35" t="str">
        <f>IFERROR(__xludf.DUMMYFUNCTION("IF(A17="""","""",IMAGE(QUERY('Deck Info'!A:F,""SELECT D WHERE A = '""&amp;B17&amp;""' AND B = '""&amp;C17&amp;""'"")))"),"")</f>
        <v/>
      </c>
      <c r="G17" s="35" t="str">
        <f>IFERROR(__xludf.DUMMYFUNCTION("IF(A17="""","""",IMAGE(QUERY('Deck Info'!A:F,""SELECT E WHERE A = '""&amp;B17&amp;""' AND B = '""&amp;C17&amp;""'"")))"),"")</f>
        <v/>
      </c>
      <c r="H17" s="75" t="str">
        <f>IFERROR(__xludf.DUMMYFUNCTION("IF(A17="""","""",IMAGE(QUERY('Deck Info'!A:F,""SELECT F WHERE A = '""&amp;B17&amp;""' AND B = '""&amp;C17&amp;""'"")))"),"")</f>
        <v/>
      </c>
      <c r="I17" s="79" t="str">
        <f>IFERROR(__xludf.DUMMYFUNCTION("""COMPUTED_VALUE"""),"Carsol")</f>
        <v>Carsol</v>
      </c>
      <c r="J17" s="73" t="str">
        <f>IFERROR(__xludf.DUMMYFUNCTION("""COMPUTED_VALUE"""),"?")</f>
        <v>?</v>
      </c>
      <c r="K17" s="74" t="str">
        <f>IFERROR(__xludf.DUMMYFUNCTION("""COMPUTED_VALUE"""),"?")</f>
        <v>?</v>
      </c>
      <c r="L17" s="73">
        <f>IFERROR(__xludf.DUMMYFUNCTION("""COMPUTED_VALUE"""),2.0)</f>
        <v>2</v>
      </c>
      <c r="M17" s="73">
        <f>IFERROR(__xludf.DUMMYFUNCTION("""COMPUTED_VALUE"""),3.0)</f>
        <v>3</v>
      </c>
      <c r="N17" s="77" t="str">
        <f>IFERROR(__xludf.DUMMYFUNCTION("IF(I17="""","""",IMAGE(QUERY('Deck Info'!A:F,""SELECT D WHERE A = '""&amp;J17&amp;""' AND B = '""&amp;K17&amp;""'"")))"),"")</f>
        <v/>
      </c>
      <c r="O17" s="77" t="str">
        <f>IFERROR(__xludf.DUMMYFUNCTION("IF(I17="""","""",IMAGE(QUERY('Deck Info'!A:F,""SELECT E WHERE A = '""&amp;J17&amp;""' AND B = '""&amp;K17&amp;""'"")))"),"")</f>
        <v/>
      </c>
      <c r="P17" s="78" t="str">
        <f>IFERROR(__xludf.DUMMYFUNCTION("IF(I17="""","""",IMAGE(QUERY('Deck Info'!A:F,""SELECT F WHERE A = '""&amp;J17&amp;""' AND B = '""&amp;K17&amp;""'"")))"),"")</f>
        <v/>
      </c>
      <c r="Q17" s="79" t="str">
        <f>IFERROR(__xludf.DUMMYFUNCTION("""COMPUTED_VALUE"""),"Mualco")</f>
        <v>Mualco</v>
      </c>
      <c r="R17" s="73" t="str">
        <f>IFERROR(__xludf.DUMMYFUNCTION("""COMPUTED_VALUE"""),"BTR")</f>
        <v>BTR</v>
      </c>
      <c r="S17" s="74" t="str">
        <f>IFERROR(__xludf.DUMMYFUNCTION("""COMPUTED_VALUE"""),"Door Bar")</f>
        <v>Door Bar</v>
      </c>
      <c r="T17" s="73">
        <f>IFERROR(__xludf.DUMMYFUNCTION("""COMPUTED_VALUE"""),1.0)</f>
        <v>1</v>
      </c>
      <c r="U17" s="73">
        <f>IFERROR(__xludf.DUMMYFUNCTION("""COMPUTED_VALUE"""),3.0)</f>
        <v>3</v>
      </c>
      <c r="V17" s="35" t="str">
        <f>IFERROR(__xludf.DUMMYFUNCTION("IF(Q17="""","""",IMAGE(QUERY('Deck Info'!A:F,""SELECT D WHERE A = '""&amp;R17&amp;""' AND B = '""&amp;S17&amp;""'"")))"),"")</f>
        <v/>
      </c>
      <c r="W17" s="35" t="str">
        <f>IFERROR(__xludf.DUMMYFUNCTION("IF(Q17="""","""",IMAGE(QUERY('Deck Info'!A:F,""SELECT E WHERE A = '""&amp;R17&amp;""' AND B = '""&amp;S17&amp;""'"")))"),"")</f>
        <v/>
      </c>
      <c r="X17" s="75" t="str">
        <f>IFERROR(__xludf.DUMMYFUNCTION("IF(Q17="""","""",IMAGE(QUERY('Deck Info'!A:F,""SELECT F WHERE A = '""&amp;R17&amp;""' AND B = '""&amp;S17&amp;""'"")))"),"")</f>
        <v/>
      </c>
      <c r="Y17" s="79" t="str">
        <f>IFERROR(__xludf.DUMMYFUNCTION("""COMPUTED_VALUE"""),"Mualco")</f>
        <v>Mualco</v>
      </c>
      <c r="Z17" s="73" t="str">
        <f>IFERROR(__xludf.DUMMYFUNCTION("""COMPUTED_VALUE"""),"GCR")</f>
        <v>GCR</v>
      </c>
      <c r="AA17" s="74" t="str">
        <f>IFERROR(__xludf.DUMMYFUNCTION("""COMPUTED_VALUE"""),"8 Door")</f>
        <v>8 Door</v>
      </c>
      <c r="AB17" s="73">
        <f>IFERROR(__xludf.DUMMYFUNCTION("""COMPUTED_VALUE"""),2.0)</f>
        <v>2</v>
      </c>
      <c r="AC17" s="73">
        <f>IFERROR(__xludf.DUMMYFUNCTION("""COMPUTED_VALUE"""),3.0)</f>
        <v>3</v>
      </c>
      <c r="AD17" s="35" t="str">
        <f>IFERROR(__xludf.DUMMYFUNCTION("IF(Y17="""","""",IMAGE(QUERY('Deck Info'!A:F,""SELECT D WHERE A = '""&amp;Z17&amp;""' AND B = '""&amp;AA17&amp;""'"")))"),"")</f>
        <v/>
      </c>
      <c r="AE17" s="35" t="str">
        <f>IFERROR(__xludf.DUMMYFUNCTION("IF(Y17="""","""",IMAGE(QUERY('Deck Info'!A:F,""SELECT E WHERE A = '""&amp;Z17&amp;""' AND B = '""&amp;AA17&amp;""'"")))"),"")</f>
        <v/>
      </c>
      <c r="AF17" s="75" t="str">
        <f>IFERROR(__xludf.DUMMYFUNCTION("IF(Y17="""","""",IMAGE(QUERY('Deck Info'!A:F,""SELECT F WHERE A = '""&amp;Z17&amp;""' AND B = '""&amp;AA17&amp;""'"")))"),"")</f>
        <v/>
      </c>
      <c r="AG17" s="79"/>
      <c r="AH17" s="73"/>
      <c r="AI17" s="74"/>
      <c r="AJ17" s="73"/>
      <c r="AK17" s="73"/>
      <c r="AL17" s="35" t="str">
        <f>IFERROR(__xludf.DUMMYFUNCTION("IF(AG17="""","""",IMAGE(QUERY('Deck Info'!I:N,""SELECT D WHERE A = '""&amp;AH17&amp;""' AND B = '""&amp;AI17&amp;""'"")))"),"")</f>
        <v/>
      </c>
      <c r="AM17" s="35" t="str">
        <f>IFERROR(__xludf.DUMMYFUNCTION("IF(AG17="""","""",IMAGE(QUERY('Deck Info'!I:N,""SELECT E WHERE A = '""&amp;AH17&amp;""' AND B = '""&amp;AI17&amp;""'"")))"),"")</f>
        <v/>
      </c>
      <c r="AN17" s="75" t="str">
        <f>IFERROR(__xludf.DUMMYFUNCTION("IF(AG17="""","""",IMAGE(QUERY('Deck Info'!I:N,""SELECT F WHERE A = '""&amp;AH17&amp;""' AND B = '""&amp;AI17&amp;""'"")))"),"")</f>
        <v/>
      </c>
    </row>
    <row r="18" ht="75.0" customHeight="1">
      <c r="A18" s="72" t="str">
        <f>IFERROR(__xludf.DUMMYFUNCTION("""COMPUTED_VALUE"""),"Pinya")</f>
        <v>Pinya</v>
      </c>
      <c r="B18" s="73" t="str">
        <f>IFERROR(__xludf.DUMMYFUNCTION("""COMPUTED_VALUE"""),"?")</f>
        <v>?</v>
      </c>
      <c r="C18" s="74" t="str">
        <f>IFERROR(__xludf.DUMMYFUNCTION("""COMPUTED_VALUE"""),"?")</f>
        <v>?</v>
      </c>
      <c r="D18" s="73">
        <f>IFERROR(__xludf.DUMMYFUNCTION("""COMPUTED_VALUE"""),1.0)</f>
        <v>1</v>
      </c>
      <c r="E18" s="73">
        <f>IFERROR(__xludf.DUMMYFUNCTION("""COMPUTED_VALUE"""),3.0)</f>
        <v>3</v>
      </c>
      <c r="F18" s="35" t="str">
        <f>IFERROR(__xludf.DUMMYFUNCTION("IF(A18="""","""",IMAGE(QUERY('Deck Info'!A:F,""SELECT D WHERE A = '""&amp;B18&amp;""' AND B = '""&amp;C18&amp;""'"")))"),"")</f>
        <v/>
      </c>
      <c r="G18" s="35" t="str">
        <f>IFERROR(__xludf.DUMMYFUNCTION("IF(A18="""","""",IMAGE(QUERY('Deck Info'!A:F,""SELECT E WHERE A = '""&amp;B18&amp;""' AND B = '""&amp;C18&amp;""'"")))"),"")</f>
        <v/>
      </c>
      <c r="H18" s="75" t="str">
        <f>IFERROR(__xludf.DUMMYFUNCTION("IF(A18="""","""",IMAGE(QUERY('Deck Info'!A:F,""SELECT F WHERE A = '""&amp;B18&amp;""' AND B = '""&amp;C18&amp;""'"")))"),"")</f>
        <v/>
      </c>
      <c r="I18" s="79" t="str">
        <f>IFERROR(__xludf.DUMMYFUNCTION("""COMPUTED_VALUE"""),"Agus")</f>
        <v>Agus</v>
      </c>
      <c r="J18" s="73" t="str">
        <f>IFERROR(__xludf.DUMMYFUNCTION("""COMPUTED_VALUE"""),"?")</f>
        <v>?</v>
      </c>
      <c r="K18" s="74" t="str">
        <f>IFERROR(__xludf.DUMMYFUNCTION("""COMPUTED_VALUE"""),"?")</f>
        <v>?</v>
      </c>
      <c r="L18" s="73">
        <f>IFERROR(__xludf.DUMMYFUNCTION("""COMPUTED_VALUE"""),2.0)</f>
        <v>2</v>
      </c>
      <c r="M18" s="73">
        <f>IFERROR(__xludf.DUMMYFUNCTION("""COMPUTED_VALUE"""),3.0)</f>
        <v>3</v>
      </c>
      <c r="N18" s="77" t="str">
        <f>IFERROR(__xludf.DUMMYFUNCTION("IF(I18="""","""",IMAGE(QUERY('Deck Info'!A:F,""SELECT D WHERE A = '""&amp;J18&amp;""' AND B = '""&amp;K18&amp;""'"")))"),"")</f>
        <v/>
      </c>
      <c r="O18" s="77" t="str">
        <f>IFERROR(__xludf.DUMMYFUNCTION("IF(I18="""","""",IMAGE(QUERY('Deck Info'!A:F,""SELECT E WHERE A = '""&amp;J18&amp;""' AND B = '""&amp;K18&amp;""'"")))"),"")</f>
        <v/>
      </c>
      <c r="P18" s="78" t="str">
        <f>IFERROR(__xludf.DUMMYFUNCTION("IF(I18="""","""",IMAGE(QUERY('Deck Info'!A:F,""SELECT F WHERE A = '""&amp;J18&amp;""' AND B = '""&amp;K18&amp;""'"")))"),"")</f>
        <v/>
      </c>
      <c r="Q18" s="79" t="str">
        <f>IFERROR(__xludf.DUMMYFUNCTION("""COMPUTED_VALUE"""),"Ruto")</f>
        <v>Ruto</v>
      </c>
      <c r="R18" s="73" t="str">
        <f>IFERROR(__xludf.DUMMYFUNCTION("""COMPUTED_VALUE"""),"SS")</f>
        <v>SS</v>
      </c>
      <c r="S18" s="74" t="str">
        <f>IFERROR(__xludf.DUMMYFUNCTION("""COMPUTED_VALUE"""),"Choice Door")</f>
        <v>Choice Door</v>
      </c>
      <c r="T18" s="73">
        <f>IFERROR(__xludf.DUMMYFUNCTION("""COMPUTED_VALUE"""),1.0)</f>
        <v>1</v>
      </c>
      <c r="U18" s="73">
        <f>IFERROR(__xludf.DUMMYFUNCTION("""COMPUTED_VALUE"""),3.0)</f>
        <v>3</v>
      </c>
      <c r="V18" s="35" t="str">
        <f>IFERROR(__xludf.DUMMYFUNCTION("IF(Q18="""","""",IMAGE(QUERY('Deck Info'!A:F,""SELECT D WHERE A = '""&amp;R18&amp;""' AND B = '""&amp;S18&amp;""'"")))"),"")</f>
        <v/>
      </c>
      <c r="W18" s="35" t="str">
        <f>IFERROR(__xludf.DUMMYFUNCTION("IF(Q18="""","""",IMAGE(QUERY('Deck Info'!A:F,""SELECT E WHERE A = '""&amp;R18&amp;""' AND B = '""&amp;S18&amp;""'"")))"),"")</f>
        <v/>
      </c>
      <c r="X18" s="75" t="str">
        <f>IFERROR(__xludf.DUMMYFUNCTION("IF(Q18="""","""",IMAGE(QUERY('Deck Info'!A:F,""SELECT F WHERE A = '""&amp;R18&amp;""' AND B = '""&amp;S18&amp;""'"")))"),"")</f>
        <v/>
      </c>
      <c r="Y18" s="79" t="str">
        <f>IFERROR(__xludf.DUMMYFUNCTION("""COMPUTED_VALUE"""),"Calvo Tieso")</f>
        <v>Calvo Tieso</v>
      </c>
      <c r="Z18" s="73" t="str">
        <f>IFERROR(__xludf.DUMMYFUNCTION("""COMPUTED_VALUE"""),"AZL")</f>
        <v>AZL</v>
      </c>
      <c r="AA18" s="74" t="str">
        <f>IFERROR(__xludf.DUMMYFUNCTION("""COMPUTED_VALUE"""),"6 Standby 2 Choice")</f>
        <v>6 Standby 2 Choice</v>
      </c>
      <c r="AB18" s="73">
        <f>IFERROR(__xludf.DUMMYFUNCTION("""COMPUTED_VALUE"""),2.0)</f>
        <v>2</v>
      </c>
      <c r="AC18" s="73">
        <f>IFERROR(__xludf.DUMMYFUNCTION("""COMPUTED_VALUE"""),3.0)</f>
        <v>3</v>
      </c>
      <c r="AD18" s="35" t="str">
        <f>IFERROR(__xludf.DUMMYFUNCTION("IF(Y18="""","""",IMAGE(QUERY('Deck Info'!A:F,""SELECT D WHERE A = '""&amp;Z18&amp;""' AND B = '""&amp;AA18&amp;""'"")))"),"")</f>
        <v/>
      </c>
      <c r="AE18" s="35" t="str">
        <f>IFERROR(__xludf.DUMMYFUNCTION("IF(Y18="""","""",IMAGE(QUERY('Deck Info'!A:F,""SELECT E WHERE A = '""&amp;Z18&amp;""' AND B = '""&amp;AA18&amp;""'"")))"),"")</f>
        <v/>
      </c>
      <c r="AF18" s="75" t="str">
        <f>IFERROR(__xludf.DUMMYFUNCTION("IF(Y18="""","""",IMAGE(QUERY('Deck Info'!A:F,""SELECT F WHERE A = '""&amp;Z18&amp;""' AND B = '""&amp;AA18&amp;""'"")))"),"")</f>
        <v/>
      </c>
      <c r="AG18" s="79"/>
      <c r="AH18" s="73"/>
      <c r="AI18" s="74"/>
      <c r="AJ18" s="73"/>
      <c r="AK18" s="73"/>
      <c r="AL18" s="35" t="str">
        <f>IFERROR(__xludf.DUMMYFUNCTION("IF(AG18="""","""",IMAGE(QUERY('Deck Info'!I:N,""SELECT D WHERE A = '""&amp;AH18&amp;""' AND B = '""&amp;AI18&amp;""'"")))"),"")</f>
        <v/>
      </c>
      <c r="AM18" s="35" t="str">
        <f>IFERROR(__xludf.DUMMYFUNCTION("IF(AG18="""","""",IMAGE(QUERY('Deck Info'!I:N,""SELECT E WHERE A = '""&amp;AH18&amp;""' AND B = '""&amp;AI18&amp;""'"")))"),"")</f>
        <v/>
      </c>
      <c r="AN18" s="75" t="str">
        <f>IFERROR(__xludf.DUMMYFUNCTION("IF(AG18="""","""",IMAGE(QUERY('Deck Info'!I:N,""SELECT F WHERE A = '""&amp;AH18&amp;""' AND B = '""&amp;AI18&amp;""'"")))"),"")</f>
        <v/>
      </c>
    </row>
    <row r="19" ht="75.0" customHeight="1">
      <c r="A19" s="80"/>
      <c r="H19" s="81"/>
      <c r="I19" s="79" t="str">
        <f>IFERROR(__xludf.DUMMYFUNCTION("""COMPUTED_VALUE"""),"Zeno")</f>
        <v>Zeno</v>
      </c>
      <c r="J19" s="82" t="str">
        <f>IFERROR(__xludf.DUMMYFUNCTION("""COMPUTED_VALUE"""),"?")</f>
        <v>?</v>
      </c>
      <c r="K19" s="83" t="str">
        <f>IFERROR(__xludf.DUMMYFUNCTION("""COMPUTED_VALUE"""),"?")</f>
        <v>?</v>
      </c>
      <c r="L19" s="82">
        <f>IFERROR(__xludf.DUMMYFUNCTION("""COMPUTED_VALUE"""),2.0)</f>
        <v>2</v>
      </c>
      <c r="M19" s="82">
        <f>IFERROR(__xludf.DUMMYFUNCTION("""COMPUTED_VALUE"""),3.0)</f>
        <v>3</v>
      </c>
      <c r="N19" s="77" t="str">
        <f>IFERROR(__xludf.DUMMYFUNCTION("IF(I19="""","""",IMAGE(QUERY('Deck Info'!A:F,""SELECT D WHERE A = '""&amp;J19&amp;""' AND B = '""&amp;K19&amp;""'"")))"),"")</f>
        <v/>
      </c>
      <c r="O19" s="77" t="str">
        <f>IFERROR(__xludf.DUMMYFUNCTION("IF(I19="""","""",IMAGE(QUERY('Deck Info'!A:F,""SELECT E WHERE A = '""&amp;J19&amp;""' AND B = '""&amp;K19&amp;""'"")))"),"")</f>
        <v/>
      </c>
      <c r="P19" s="78" t="str">
        <f>IFERROR(__xludf.DUMMYFUNCTION("IF(I19="""","""",IMAGE(QUERY('Deck Info'!A:F,""SELECT F WHERE A = '""&amp;J19&amp;""' AND B = '""&amp;K19&amp;""'"")))"),"")</f>
        <v/>
      </c>
      <c r="Q19" s="79" t="str">
        <f>IFERROR(__xludf.DUMMYFUNCTION("""COMPUTED_VALUE"""),"AC5")</f>
        <v>AC5</v>
      </c>
      <c r="R19" s="82" t="str">
        <f>IFERROR(__xludf.DUMMYFUNCTION("""COMPUTED_VALUE"""),"NIK")</f>
        <v>NIK</v>
      </c>
      <c r="S19" s="83" t="str">
        <f>IFERROR(__xludf.DUMMYFUNCTION("""COMPUTED_VALUE"""),"Door Standby")</f>
        <v>Door Standby</v>
      </c>
      <c r="T19" s="82">
        <f>IFERROR(__xludf.DUMMYFUNCTION("""COMPUTED_VALUE"""),1.0)</f>
        <v>1</v>
      </c>
      <c r="U19" s="82">
        <f>IFERROR(__xludf.DUMMYFUNCTION("""COMPUTED_VALUE"""),3.0)</f>
        <v>3</v>
      </c>
      <c r="V19" s="35" t="str">
        <f>IFERROR(__xludf.DUMMYFUNCTION("IF(Q19="""","""",IMAGE(QUERY('Deck Info'!A:F,""SELECT D WHERE A = '""&amp;R19&amp;""' AND B = '""&amp;S19&amp;""'"")))"),"")</f>
        <v/>
      </c>
      <c r="W19" s="35" t="str">
        <f>IFERROR(__xludf.DUMMYFUNCTION("IF(Q19="""","""",IMAGE(QUERY('Deck Info'!A:F,""SELECT E WHERE A = '""&amp;R19&amp;""' AND B = '""&amp;S19&amp;""'"")))"),"")</f>
        <v/>
      </c>
      <c r="X19" s="75" t="str">
        <f>IFERROR(__xludf.DUMMYFUNCTION("IF(Q19="""","""",IMAGE(QUERY('Deck Info'!A:F,""SELECT F WHERE A = '""&amp;R19&amp;""' AND B = '""&amp;S19&amp;""'"")))"),"")</f>
        <v/>
      </c>
      <c r="Y19" s="79" t="str">
        <f>IFERROR(__xludf.DUMMYFUNCTION("""COMPUTED_VALUE"""),"Pinya")</f>
        <v>Pinya</v>
      </c>
      <c r="Z19" s="82" t="str">
        <f>IFERROR(__xludf.DUMMYFUNCTION("""COMPUTED_VALUE"""),"EIS")</f>
        <v>EIS</v>
      </c>
      <c r="AA19" s="83" t="str">
        <f>IFERROR(__xludf.DUMMYFUNCTION("""COMPUTED_VALUE"""),"6 Standby 2 Door")</f>
        <v>6 Standby 2 Door</v>
      </c>
      <c r="AB19" s="82">
        <f>IFERROR(__xludf.DUMMYFUNCTION("""COMPUTED_VALUE"""),1.0)</f>
        <v>1</v>
      </c>
      <c r="AC19" s="82">
        <f>IFERROR(__xludf.DUMMYFUNCTION("""COMPUTED_VALUE"""),4.0)</f>
        <v>4</v>
      </c>
      <c r="AD19" s="35" t="str">
        <f>IFERROR(__xludf.DUMMYFUNCTION("IF(Y19="""","""",IMAGE(QUERY('Deck Info'!A:F,""SELECT D WHERE A = '""&amp;Z19&amp;""' AND B = '""&amp;AA19&amp;""'"")))"),"")</f>
        <v/>
      </c>
      <c r="AE19" s="35" t="str">
        <f>IFERROR(__xludf.DUMMYFUNCTION("IF(Y19="""","""",IMAGE(QUERY('Deck Info'!A:F,""SELECT E WHERE A = '""&amp;Z19&amp;""' AND B = '""&amp;AA19&amp;""'"")))"),"")</f>
        <v/>
      </c>
      <c r="AF19" s="75" t="str">
        <f>IFERROR(__xludf.DUMMYFUNCTION("IF(Y19="""","""",IMAGE(QUERY('Deck Info'!A:F,""SELECT F WHERE A = '""&amp;Z19&amp;""' AND B = '""&amp;AA19&amp;""'"")))"),"")</f>
        <v/>
      </c>
      <c r="AG19" s="79"/>
      <c r="AH19" s="82"/>
      <c r="AI19" s="83"/>
      <c r="AJ19" s="82"/>
      <c r="AK19" s="82"/>
      <c r="AL19" s="35" t="str">
        <f>IFERROR(__xludf.DUMMYFUNCTION("IF(AG19="""","""",IMAGE(QUERY('Deck Info'!I:N,""SELECT D WHERE A = '""&amp;AH19&amp;""' AND B = '""&amp;AI19&amp;""'"")))"),"")</f>
        <v/>
      </c>
      <c r="AM19" s="35" t="str">
        <f>IFERROR(__xludf.DUMMYFUNCTION("IF(AG19="""","""",IMAGE(QUERY('Deck Info'!I:N,""SELECT E WHERE A = '""&amp;AH19&amp;""' AND B = '""&amp;AI19&amp;""'"")))"),"")</f>
        <v/>
      </c>
      <c r="AN19" s="75" t="str">
        <f>IFERROR(__xludf.DUMMYFUNCTION("IF(AG19="""","""",IMAGE(QUERY('Deck Info'!I:N,""SELECT F WHERE A = '""&amp;AH19&amp;""' AND B = '""&amp;AI19&amp;""'"")))"),"")</f>
        <v/>
      </c>
    </row>
    <row r="20" ht="75.0" customHeight="1">
      <c r="A20" s="80"/>
      <c r="H20" s="81"/>
      <c r="I20" s="79" t="str">
        <f>IFERROR(__xludf.DUMMYFUNCTION("""COMPUTED_VALUE"""),"JustFluffy")</f>
        <v>JustFluffy</v>
      </c>
      <c r="J20" s="82" t="str">
        <f>IFERROR(__xludf.DUMMYFUNCTION("""COMPUTED_VALUE"""),"EIS")</f>
        <v>EIS</v>
      </c>
      <c r="K20" s="83" t="str">
        <f>IFERROR(__xludf.DUMMYFUNCTION("""COMPUTED_VALUE"""),"?")</f>
        <v>?</v>
      </c>
      <c r="L20" s="82">
        <f>IFERROR(__xludf.DUMMYFUNCTION("""COMPUTED_VALUE"""),2.0)</f>
        <v>2</v>
      </c>
      <c r="M20" s="82">
        <f>IFERROR(__xludf.DUMMYFUNCTION("""COMPUTED_VALUE"""),3.0)</f>
        <v>3</v>
      </c>
      <c r="N20" s="77" t="str">
        <f>IFERROR(__xludf.DUMMYFUNCTION("IF(I20="""","""",IMAGE(QUERY('Deck Info'!A:F,""SELECT D WHERE A = '""&amp;J20&amp;""' AND B = '""&amp;K20&amp;""'"")))"),"#N/A")</f>
        <v>#N/A</v>
      </c>
      <c r="O20" s="77" t="str">
        <f>IFERROR(__xludf.DUMMYFUNCTION("IF(I20="""","""",IMAGE(QUERY('Deck Info'!A:F,""SELECT E WHERE A = '""&amp;J20&amp;""' AND B = '""&amp;K20&amp;""'"")))"),"#N/A")</f>
        <v>#N/A</v>
      </c>
      <c r="P20" s="78" t="str">
        <f>IFERROR(__xludf.DUMMYFUNCTION("IF(I20="""","""",IMAGE(QUERY('Deck Info'!A:F,""SELECT F WHERE A = '""&amp;J20&amp;""' AND B = '""&amp;K20&amp;""'"")))"),"#N/A")</f>
        <v>#N/A</v>
      </c>
      <c r="Q20" s="79"/>
      <c r="R20" s="82"/>
      <c r="S20" s="83"/>
      <c r="T20" s="82"/>
      <c r="U20" s="82"/>
      <c r="V20" s="35" t="str">
        <f>IFERROR(__xludf.DUMMYFUNCTION("IF(Q20="""","""",IMAGE(QUERY('Deck Info'!I:N,""SELECT D WHERE A = '""&amp;R20&amp;""' AND B = '""&amp;S20&amp;""'"")))"),"")</f>
        <v/>
      </c>
      <c r="W20" s="35" t="str">
        <f>IFERROR(__xludf.DUMMYFUNCTION("IF(Q20="""","""",IMAGE(QUERY('Deck Info'!I:N,""SELECT E WHERE A = '""&amp;R20&amp;""' AND B = '""&amp;S20&amp;""'"")))"),"")</f>
        <v/>
      </c>
      <c r="X20" s="75" t="str">
        <f>IFERROR(__xludf.DUMMYFUNCTION("IF(Q20="""","""",IMAGE(QUERY('Deck Info'!I:N,""SELECT F WHERE A = '""&amp;R20&amp;""' AND B = '""&amp;S20&amp;""'"")))"),"")</f>
        <v/>
      </c>
      <c r="Y20" s="79" t="str">
        <f>IFERROR(__xludf.DUMMYFUNCTION("""COMPUTED_VALUE"""),"Nomar")</f>
        <v>Nomar</v>
      </c>
      <c r="Z20" s="82" t="str">
        <f>IFERROR(__xludf.DUMMYFUNCTION("""COMPUTED_VALUE"""),"RKN")</f>
        <v>RKN</v>
      </c>
      <c r="AA20" s="83" t="str">
        <f>IFERROR(__xludf.DUMMYFUNCTION("""COMPUTED_VALUE"""),"8 StockSoul")</f>
        <v>8 StockSoul</v>
      </c>
      <c r="AB20" s="82">
        <f>IFERROR(__xludf.DUMMYFUNCTION("""COMPUTED_VALUE"""),1.0)</f>
        <v>1</v>
      </c>
      <c r="AC20" s="82">
        <f>IFERROR(__xludf.DUMMYFUNCTION("""COMPUTED_VALUE"""),4.0)</f>
        <v>4</v>
      </c>
      <c r="AD20" s="35" t="str">
        <f>IFERROR(__xludf.DUMMYFUNCTION("IF(Y20="""","""",IMAGE(QUERY('Deck Info'!A:F,""SELECT D WHERE A = '""&amp;Z20&amp;""' AND B = '""&amp;AA20&amp;""'"")))"),"")</f>
        <v/>
      </c>
      <c r="AE20" s="35" t="str">
        <f>IFERROR(__xludf.DUMMYFUNCTION("IF(Y20="""","""",IMAGE(QUERY('Deck Info'!A:F,""SELECT E WHERE A = '""&amp;Z20&amp;""' AND B = '""&amp;AA20&amp;""'"")))"),"")</f>
        <v/>
      </c>
      <c r="AF20" s="75" t="str">
        <f>IFERROR(__xludf.DUMMYFUNCTION("IF(Y20="""","""",IMAGE(QUERY('Deck Info'!A:F,""SELECT F WHERE A = '""&amp;Z20&amp;""' AND B = '""&amp;AA20&amp;""'"")))"),"")</f>
        <v/>
      </c>
      <c r="AG20" s="79"/>
      <c r="AH20" s="82"/>
      <c r="AI20" s="83"/>
      <c r="AJ20" s="82"/>
      <c r="AK20" s="82"/>
      <c r="AL20" s="35" t="str">
        <f>IFERROR(__xludf.DUMMYFUNCTION("IF(AG20="""","""",IMAGE(QUERY('Deck Info'!I:N,""SELECT D WHERE A = '""&amp;AH20&amp;""' AND B = '""&amp;AI20&amp;""'"")))"),"")</f>
        <v/>
      </c>
      <c r="AM20" s="35" t="str">
        <f>IFERROR(__xludf.DUMMYFUNCTION("IF(AG20="""","""",IMAGE(QUERY('Deck Info'!I:N,""SELECT E WHERE A = '""&amp;AH20&amp;""' AND B = '""&amp;AI20&amp;""'"")))"),"")</f>
        <v/>
      </c>
      <c r="AN20" s="75" t="str">
        <f>IFERROR(__xludf.DUMMYFUNCTION("IF(AG20="""","""",IMAGE(QUERY('Deck Info'!I:N,""SELECT F WHERE A = '""&amp;AH20&amp;""' AND B = '""&amp;AI20&amp;""'"")))"),"")</f>
        <v/>
      </c>
    </row>
    <row r="21" ht="75.0" customHeight="1">
      <c r="A21" s="80"/>
      <c r="H21" s="81"/>
      <c r="I21" s="79" t="str">
        <f>IFERROR(__xludf.DUMMYFUNCTION("""COMPUTED_VALUE"""),"Gra")</f>
        <v>Gra</v>
      </c>
      <c r="J21" s="82" t="str">
        <f>IFERROR(__xludf.DUMMYFUNCTION("""COMPUTED_VALUE"""),"?")</f>
        <v>?</v>
      </c>
      <c r="K21" s="83" t="str">
        <f>IFERROR(__xludf.DUMMYFUNCTION("""COMPUTED_VALUE"""),"?")</f>
        <v>?</v>
      </c>
      <c r="L21" s="82">
        <f>IFERROR(__xludf.DUMMYFUNCTION("""COMPUTED_VALUE"""),2.0)</f>
        <v>2</v>
      </c>
      <c r="M21" s="82">
        <f>IFERROR(__xludf.DUMMYFUNCTION("""COMPUTED_VALUE"""),3.0)</f>
        <v>3</v>
      </c>
      <c r="N21" s="77" t="str">
        <f>IFERROR(__xludf.DUMMYFUNCTION("IF(I21="""","""",IMAGE(QUERY('Deck Info'!A:F,""SELECT D WHERE A = '""&amp;J21&amp;""' AND B = '""&amp;K21&amp;""'"")))"),"")</f>
        <v/>
      </c>
      <c r="O21" s="77" t="str">
        <f>IFERROR(__xludf.DUMMYFUNCTION("IF(I21="""","""",IMAGE(QUERY('Deck Info'!A:F,""SELECT E WHERE A = '""&amp;J21&amp;""' AND B = '""&amp;K21&amp;""'"")))"),"")</f>
        <v/>
      </c>
      <c r="P21" s="78" t="str">
        <f>IFERROR(__xludf.DUMMYFUNCTION("IF(I21="""","""",IMAGE(QUERY('Deck Info'!A:F,""SELECT F WHERE A = '""&amp;J21&amp;""' AND B = '""&amp;K21&amp;""'"")))"),"")</f>
        <v/>
      </c>
      <c r="Q21" s="79"/>
      <c r="R21" s="82"/>
      <c r="S21" s="83"/>
      <c r="T21" s="82"/>
      <c r="U21" s="82"/>
      <c r="V21" s="35" t="str">
        <f>IFERROR(__xludf.DUMMYFUNCTION("IF(Q21="""","""",IMAGE(QUERY('Deck Info'!I:N,""SELECT D WHERE A = '""&amp;R21&amp;""' AND B = '""&amp;S21&amp;""'"")))"),"")</f>
        <v/>
      </c>
      <c r="W21" s="35" t="str">
        <f>IFERROR(__xludf.DUMMYFUNCTION("IF(Q21="""","""",IMAGE(QUERY('Deck Info'!I:N,""SELECT E WHERE A = '""&amp;R21&amp;""' AND B = '""&amp;S21&amp;""'"")))"),"")</f>
        <v/>
      </c>
      <c r="X21" s="75" t="str">
        <f>IFERROR(__xludf.DUMMYFUNCTION("IF(Q21="""","""",IMAGE(QUERY('Deck Info'!I:N,""SELECT F WHERE A = '""&amp;R21&amp;""' AND B = '""&amp;S21&amp;""'"")))"),"")</f>
        <v/>
      </c>
      <c r="Y21" s="79" t="str">
        <f>IFERROR(__xludf.DUMMYFUNCTION("""COMPUTED_VALUE"""),"Yuu2be")</f>
        <v>Yuu2be</v>
      </c>
      <c r="Z21" s="82" t="str">
        <f>IFERROR(__xludf.DUMMYFUNCTION("""COMPUTED_VALUE"""),"?")</f>
        <v>?</v>
      </c>
      <c r="AA21" s="83" t="str">
        <f>IFERROR(__xludf.DUMMYFUNCTION("""COMPUTED_VALUE"""),"?")</f>
        <v>?</v>
      </c>
      <c r="AB21" s="82">
        <f>IFERROR(__xludf.DUMMYFUNCTION("""COMPUTED_VALUE"""),1.0)</f>
        <v>1</v>
      </c>
      <c r="AC21" s="82">
        <f>IFERROR(__xludf.DUMMYFUNCTION("""COMPUTED_VALUE"""),4.0)</f>
        <v>4</v>
      </c>
      <c r="AD21" s="35" t="str">
        <f>IFERROR(__xludf.DUMMYFUNCTION("IF(Y21="""","""",IMAGE(QUERY('Deck Info'!A:F,""SELECT D WHERE A = '""&amp;Z21&amp;""' AND B = '""&amp;AA21&amp;""'"")))"),"")</f>
        <v/>
      </c>
      <c r="AE21" s="35" t="str">
        <f>IFERROR(__xludf.DUMMYFUNCTION("IF(Y21="""","""",IMAGE(QUERY('Deck Info'!A:F,""SELECT E WHERE A = '""&amp;Z21&amp;""' AND B = '""&amp;AA21&amp;""'"")))"),"")</f>
        <v/>
      </c>
      <c r="AF21" s="75" t="str">
        <f>IFERROR(__xludf.DUMMYFUNCTION("IF(Y21="""","""",IMAGE(QUERY('Deck Info'!A:F,""SELECT F WHERE A = '""&amp;Z21&amp;""' AND B = '""&amp;AA21&amp;""'"")))"),"")</f>
        <v/>
      </c>
      <c r="AG21" s="79"/>
      <c r="AH21" s="82"/>
      <c r="AI21" s="83"/>
      <c r="AJ21" s="82"/>
      <c r="AK21" s="82"/>
      <c r="AL21" s="35" t="str">
        <f>IFERROR(__xludf.DUMMYFUNCTION("IF(AG21="""","""",IMAGE(QUERY('Deck Info'!I:N,""SELECT D WHERE A = '""&amp;AH21&amp;""' AND B = '""&amp;AI21&amp;""'"")))"),"")</f>
        <v/>
      </c>
      <c r="AM21" s="35" t="str">
        <f>IFERROR(__xludf.DUMMYFUNCTION("IF(AG21="""","""",IMAGE(QUERY('Deck Info'!I:N,""SELECT E WHERE A = '""&amp;AH21&amp;""' AND B = '""&amp;AI21&amp;""'"")))"),"")</f>
        <v/>
      </c>
      <c r="AN21" s="75" t="str">
        <f>IFERROR(__xludf.DUMMYFUNCTION("IF(AG21="""","""",IMAGE(QUERY('Deck Info'!I:N,""SELECT F WHERE A = '""&amp;AH21&amp;""' AND B = '""&amp;AI21&amp;""'"")))"),"")</f>
        <v/>
      </c>
    </row>
    <row r="22" ht="75.0" customHeight="1">
      <c r="A22" s="80"/>
      <c r="H22" s="81"/>
      <c r="I22" s="79" t="str">
        <f>IFERROR(__xludf.DUMMYFUNCTION("""COMPUTED_VALUE"""),"Kartoffel")</f>
        <v>Kartoffel</v>
      </c>
      <c r="J22" s="82" t="str">
        <f>IFERROR(__xludf.DUMMYFUNCTION("""COMPUTED_VALUE"""),"MKI")</f>
        <v>MKI</v>
      </c>
      <c r="K22" s="83" t="str">
        <f>IFERROR(__xludf.DUMMYFUNCTION("""COMPUTED_VALUE"""),"8 Door")</f>
        <v>8 Door</v>
      </c>
      <c r="L22" s="82">
        <f>IFERROR(__xludf.DUMMYFUNCTION("""COMPUTED_VALUE"""),1.0)</f>
        <v>1</v>
      </c>
      <c r="M22" s="82">
        <f>IFERROR(__xludf.DUMMYFUNCTION("""COMPUTED_VALUE"""),4.0)</f>
        <v>4</v>
      </c>
      <c r="N22" s="77" t="str">
        <f>IFERROR(__xludf.DUMMYFUNCTION("IF(I22="""","""",IMAGE(QUERY('Deck Info'!A:F,""SELECT D WHERE A = '""&amp;J22&amp;""' AND B = '""&amp;K22&amp;""'"")))"),"")</f>
        <v/>
      </c>
      <c r="O22" s="77" t="str">
        <f>IFERROR(__xludf.DUMMYFUNCTION("IF(I22="""","""",IMAGE(QUERY('Deck Info'!A:F,""SELECT E WHERE A = '""&amp;J22&amp;""' AND B = '""&amp;K22&amp;""'"")))"),"")</f>
        <v/>
      </c>
      <c r="P22" s="78" t="str">
        <f>IFERROR(__xludf.DUMMYFUNCTION("IF(I22="""","""",IMAGE(QUERY('Deck Info'!A:F,""SELECT F WHERE A = '""&amp;J22&amp;""' AND B = '""&amp;K22&amp;""'"")))"),"")</f>
        <v/>
      </c>
      <c r="Q22" s="79"/>
      <c r="R22" s="82"/>
      <c r="S22" s="83"/>
      <c r="T22" s="82"/>
      <c r="U22" s="82"/>
      <c r="V22" s="35" t="str">
        <f>IFERROR(__xludf.DUMMYFUNCTION("IF(Q22="""","""",IMAGE(QUERY('Deck Info'!I:N,""SELECT D WHERE A = '""&amp;R22&amp;""' AND B = '""&amp;S22&amp;""'"")))"),"")</f>
        <v/>
      </c>
      <c r="W22" s="35" t="str">
        <f>IFERROR(__xludf.DUMMYFUNCTION("IF(Q22="""","""",IMAGE(QUERY('Deck Info'!I:N,""SELECT E WHERE A = '""&amp;R22&amp;""' AND B = '""&amp;S22&amp;""'"")))"),"")</f>
        <v/>
      </c>
      <c r="X22" s="75" t="str">
        <f>IFERROR(__xludf.DUMMYFUNCTION("IF(Q22="""","""",IMAGE(QUERY('Deck Info'!I:N,""SELECT F WHERE A = '""&amp;R22&amp;""' AND B = '""&amp;S22&amp;""'"")))"),"")</f>
        <v/>
      </c>
      <c r="Y22" s="79" t="str">
        <f>IFERROR(__xludf.DUMMYFUNCTION("""COMPUTED_VALUE"""),"Ostrovsky15")</f>
        <v>Ostrovsky15</v>
      </c>
      <c r="Z22" s="82" t="str">
        <f>IFERROR(__xludf.DUMMYFUNCTION("""COMPUTED_VALUE"""),"OSK")</f>
        <v>OSK</v>
      </c>
      <c r="AA22" s="83" t="str">
        <f>IFERROR(__xludf.DUMMYFUNCTION("""COMPUTED_VALUE"""),"Door Pants")</f>
        <v>Door Pants</v>
      </c>
      <c r="AB22" s="82">
        <f>IFERROR(__xludf.DUMMYFUNCTION("""COMPUTED_VALUE"""),0.0)</f>
        <v>0</v>
      </c>
      <c r="AC22" s="82">
        <f>IFERROR(__xludf.DUMMYFUNCTION("""COMPUTED_VALUE"""),2.0)</f>
        <v>2</v>
      </c>
      <c r="AD22" s="35" t="str">
        <f>IFERROR(__xludf.DUMMYFUNCTION("IF(Y22="""","""",IMAGE(QUERY('Deck Info'!A:F,""SELECT D WHERE A = '""&amp;Z22&amp;""' AND B = '""&amp;AA22&amp;""'"")))"),"")</f>
        <v/>
      </c>
      <c r="AE22" s="35" t="str">
        <f>IFERROR(__xludf.DUMMYFUNCTION("IF(Y22="""","""",IMAGE(QUERY('Deck Info'!A:F,""SELECT E WHERE A = '""&amp;Z22&amp;""' AND B = '""&amp;AA22&amp;""'"")))"),"")</f>
        <v/>
      </c>
      <c r="AF22" s="75" t="str">
        <f>IFERROR(__xludf.DUMMYFUNCTION("IF(Y22="""","""",IMAGE(QUERY('Deck Info'!A:F,""SELECT F WHERE A = '""&amp;Z22&amp;""' AND B = '""&amp;AA22&amp;""'"")))"),"")</f>
        <v/>
      </c>
      <c r="AG22" s="79"/>
      <c r="AH22" s="82"/>
      <c r="AI22" s="83"/>
      <c r="AJ22" s="82"/>
      <c r="AK22" s="82"/>
      <c r="AL22" s="35" t="str">
        <f>IFERROR(__xludf.DUMMYFUNCTION("IF(AG22="""","""",IMAGE(QUERY('Deck Info'!I:N,""SELECT D WHERE A = '""&amp;AH22&amp;""' AND B = '""&amp;AI22&amp;""'"")))"),"")</f>
        <v/>
      </c>
      <c r="AM22" s="35" t="str">
        <f>IFERROR(__xludf.DUMMYFUNCTION("IF(AG22="""","""",IMAGE(QUERY('Deck Info'!I:N,""SELECT E WHERE A = '""&amp;AH22&amp;""' AND B = '""&amp;AI22&amp;""'"")))"),"")</f>
        <v/>
      </c>
      <c r="AN22" s="75" t="str">
        <f>IFERROR(__xludf.DUMMYFUNCTION("IF(AG22="""","""",IMAGE(QUERY('Deck Info'!I:N,""SELECT F WHERE A = '""&amp;AH22&amp;""' AND B = '""&amp;AI22&amp;""'"")))"),"")</f>
        <v/>
      </c>
    </row>
    <row r="23" ht="75.0" customHeight="1">
      <c r="A23" s="80"/>
      <c r="H23" s="81"/>
      <c r="I23" s="79" t="str">
        <f>IFERROR(__xludf.DUMMYFUNCTION("""COMPUTED_VALUE"""),"PavonShinigami")</f>
        <v>PavonShinigami</v>
      </c>
      <c r="J23" s="82" t="str">
        <f>IFERROR(__xludf.DUMMYFUNCTION("""COMPUTED_VALUE"""),"FT")</f>
        <v>FT</v>
      </c>
      <c r="K23" s="83" t="str">
        <f>IFERROR(__xludf.DUMMYFUNCTION("""COMPUTED_VALUE"""),"Bar Choice")</f>
        <v>Bar Choice</v>
      </c>
      <c r="L23" s="82">
        <f>IFERROR(__xludf.DUMMYFUNCTION("""COMPUTED_VALUE"""),1.0)</f>
        <v>1</v>
      </c>
      <c r="M23" s="82">
        <f>IFERROR(__xludf.DUMMYFUNCTION("""COMPUTED_VALUE"""),4.0)</f>
        <v>4</v>
      </c>
      <c r="N23" s="77" t="str">
        <f>IFERROR(__xludf.DUMMYFUNCTION("IF(I23="""","""",IMAGE(QUERY('Deck Info'!A:F,""SELECT D WHERE A = '""&amp;J23&amp;""' AND B = '""&amp;K23&amp;""'"")))"),"")</f>
        <v/>
      </c>
      <c r="O23" s="77" t="str">
        <f>IFERROR(__xludf.DUMMYFUNCTION("IF(I23="""","""",IMAGE(QUERY('Deck Info'!A:F,""SELECT E WHERE A = '""&amp;J23&amp;""' AND B = '""&amp;K23&amp;""'"")))"),"")</f>
        <v/>
      </c>
      <c r="P23" s="78" t="str">
        <f>IFERROR(__xludf.DUMMYFUNCTION("IF(I23="""","""",IMAGE(QUERY('Deck Info'!A:F,""SELECT F WHERE A = '""&amp;J23&amp;""' AND B = '""&amp;K23&amp;""'"")))"),"")</f>
        <v/>
      </c>
      <c r="Q23" s="79"/>
      <c r="R23" s="82"/>
      <c r="S23" s="83"/>
      <c r="T23" s="82"/>
      <c r="U23" s="82"/>
      <c r="V23" s="35" t="str">
        <f>IFERROR(__xludf.DUMMYFUNCTION("IF(Q23="""","""",IMAGE(QUERY('Deck Info'!I:N,""SELECT D WHERE A = '""&amp;R23&amp;""' AND B = '""&amp;S23&amp;""'"")))"),"")</f>
        <v/>
      </c>
      <c r="W23" s="35" t="str">
        <f>IFERROR(__xludf.DUMMYFUNCTION("IF(Q23="""","""",IMAGE(QUERY('Deck Info'!I:N,""SELECT E WHERE A = '""&amp;R23&amp;""' AND B = '""&amp;S23&amp;""'"")))"),"")</f>
        <v/>
      </c>
      <c r="X23" s="75" t="str">
        <f>IFERROR(__xludf.DUMMYFUNCTION("IF(Q23="""","""",IMAGE(QUERY('Deck Info'!I:N,""SELECT F WHERE A = '""&amp;R23&amp;""' AND B = '""&amp;S23&amp;""'"")))"),"")</f>
        <v/>
      </c>
      <c r="Y23" s="79"/>
      <c r="Z23" s="82"/>
      <c r="AA23" s="83"/>
      <c r="AB23" s="82"/>
      <c r="AC23" s="82"/>
      <c r="AD23" s="35" t="str">
        <f>IFERROR(__xludf.DUMMYFUNCTION("IF(Y23="""","""",IMAGE(QUERY('Deck Info'!Q:V,""SELECT D WHERE A = '""&amp;Z23&amp;""' AND B = '""&amp;AA23&amp;""'"")))"),"")</f>
        <v/>
      </c>
      <c r="AE23" s="35" t="str">
        <f>IFERROR(__xludf.DUMMYFUNCTION("IF(Y23="""","""",IMAGE(QUERY('Deck Info'!Q:V,""SELECT E WHERE A = '""&amp;Z23&amp;""' AND B = '""&amp;AA23&amp;""'"")))"),"")</f>
        <v/>
      </c>
      <c r="AF23" s="75" t="str">
        <f>IFERROR(__xludf.DUMMYFUNCTION("IF(Y23="""","""",IMAGE(QUERY('Deck Info'!Q:V,""SELECT F WHERE A = '""&amp;Z23&amp;""' AND B = '""&amp;AA23&amp;""'"")))"),"")</f>
        <v/>
      </c>
      <c r="AG23" s="79"/>
      <c r="AH23" s="82"/>
      <c r="AI23" s="83"/>
      <c r="AJ23" s="82"/>
      <c r="AK23" s="82"/>
      <c r="AL23" s="35" t="str">
        <f>IFERROR(__xludf.DUMMYFUNCTION("IF(AG23="""","""",IMAGE(QUERY('Deck Info'!Y:AD,""SELECT D WHERE A = '""&amp;AH23&amp;""' AND B = '""&amp;AI23&amp;""'"")))"),"")</f>
        <v/>
      </c>
      <c r="AM23" s="35" t="str">
        <f>IFERROR(__xludf.DUMMYFUNCTION("IF(AG23="""","""",IMAGE(QUERY('Deck Info'!Y:AD,""SELECT E WHERE A = '""&amp;AH23&amp;""' AND B = '""&amp;AI23&amp;""'"")))"),"")</f>
        <v/>
      </c>
      <c r="AN23" s="35"/>
    </row>
    <row r="24" ht="75.0" customHeight="1">
      <c r="A24" s="80"/>
      <c r="H24" s="81"/>
      <c r="I24" s="79" t="str">
        <f>IFERROR(__xludf.DUMMYFUNCTION("""COMPUTED_VALUE"""),"Ruto")</f>
        <v>Ruto</v>
      </c>
      <c r="J24" s="82" t="str">
        <f>IFERROR(__xludf.DUMMYFUNCTION("""COMPUTED_VALUE"""),"SAO")</f>
        <v>SAO</v>
      </c>
      <c r="K24" s="83" t="str">
        <f>IFERROR(__xludf.DUMMYFUNCTION("""COMPUTED_VALUE"""),"8 Bar Yuna")</f>
        <v>8 Bar Yuna</v>
      </c>
      <c r="L24" s="82">
        <f>IFERROR(__xludf.DUMMYFUNCTION("""COMPUTED_VALUE"""),1.0)</f>
        <v>1</v>
      </c>
      <c r="M24" s="82">
        <f>IFERROR(__xludf.DUMMYFUNCTION("""COMPUTED_VALUE"""),4.0)</f>
        <v>4</v>
      </c>
      <c r="N24" s="77" t="str">
        <f>IFERROR(__xludf.DUMMYFUNCTION("IF(I24="""","""",IMAGE(QUERY('Deck Info'!A:F,""SELECT D WHERE A = '""&amp;J24&amp;""' AND B = '""&amp;K24&amp;""'"")))"),"")</f>
        <v/>
      </c>
      <c r="O24" s="77" t="str">
        <f>IFERROR(__xludf.DUMMYFUNCTION("IF(I24="""","""",IMAGE(QUERY('Deck Info'!A:F,""SELECT E WHERE A = '""&amp;J24&amp;""' AND B = '""&amp;K24&amp;""'"")))"),"")</f>
        <v/>
      </c>
      <c r="P24" s="78" t="str">
        <f>IFERROR(__xludf.DUMMYFUNCTION("IF(I24="""","""",IMAGE(QUERY('Deck Info'!A:F,""SELECT F WHERE A = '""&amp;J24&amp;""' AND B = '""&amp;K24&amp;""'"")))"),"")</f>
        <v/>
      </c>
      <c r="Q24" s="79"/>
      <c r="R24" s="82"/>
      <c r="S24" s="83"/>
      <c r="T24" s="82"/>
      <c r="U24" s="82"/>
      <c r="V24" s="35" t="str">
        <f>IFERROR(__xludf.DUMMYFUNCTION("IF(Q24="""","""",IMAGE(QUERY('Deck Info'!I:N,""SELECT D WHERE A = '""&amp;R24&amp;""' AND B = '""&amp;S24&amp;""'"")))"),"")</f>
        <v/>
      </c>
      <c r="W24" s="35" t="str">
        <f>IFERROR(__xludf.DUMMYFUNCTION("IF(Q24="""","""",IMAGE(QUERY('Deck Info'!I:N,""SELECT E WHERE A = '""&amp;R24&amp;""' AND B = '""&amp;S24&amp;""'"")))"),"")</f>
        <v/>
      </c>
      <c r="X24" s="75" t="str">
        <f>IFERROR(__xludf.DUMMYFUNCTION("IF(Q24="""","""",IMAGE(QUERY('Deck Info'!I:N,""SELECT F WHERE A = '""&amp;R24&amp;""' AND B = '""&amp;S24&amp;""'"")))"),"")</f>
        <v/>
      </c>
      <c r="Y24" s="79"/>
      <c r="Z24" s="82"/>
      <c r="AA24" s="83"/>
      <c r="AB24" s="82"/>
      <c r="AC24" s="82"/>
      <c r="AD24" s="35" t="str">
        <f>IFERROR(__xludf.DUMMYFUNCTION("IF(Y24="""","""",IMAGE(QUERY('Deck Info'!Q:V,""SELECT D WHERE A = '""&amp;Z24&amp;""' AND B = '""&amp;AA24&amp;""'"")))"),"")</f>
        <v/>
      </c>
      <c r="AE24" s="35" t="str">
        <f>IFERROR(__xludf.DUMMYFUNCTION("IF(Y24="""","""",IMAGE(QUERY('Deck Info'!Q:V,""SELECT E WHERE A = '""&amp;Z24&amp;""' AND B = '""&amp;AA24&amp;""'"")))"),"")</f>
        <v/>
      </c>
      <c r="AF24" s="75" t="str">
        <f>IFERROR(__xludf.DUMMYFUNCTION("IF(Y24="""","""",IMAGE(QUERY('Deck Info'!Q:V,""SELECT F WHERE A = '""&amp;Z24&amp;""' AND B = '""&amp;AA24&amp;""'"")))"),"")</f>
        <v/>
      </c>
      <c r="AG24" s="79"/>
      <c r="AH24" s="82"/>
      <c r="AI24" s="83"/>
      <c r="AJ24" s="82"/>
      <c r="AK24" s="82"/>
      <c r="AL24" s="35" t="str">
        <f>IFERROR(__xludf.DUMMYFUNCTION("IF(AG24="""","""",IMAGE(QUERY('Deck Info'!Y:AD,""SELECT D WHERE A = '""&amp;AH24&amp;""' AND B = '""&amp;AI24&amp;""'"")))"),"")</f>
        <v/>
      </c>
      <c r="AM24" s="35" t="str">
        <f>IFERROR(__xludf.DUMMYFUNCTION("IF(AG24="""","""",IMAGE(QUERY('Deck Info'!Y:AD,""SELECT E WHERE A = '""&amp;AH24&amp;""' AND B = '""&amp;AI24&amp;""'"")))"),"")</f>
        <v/>
      </c>
      <c r="AN24" s="35"/>
    </row>
    <row r="25" ht="75.0" customHeight="1">
      <c r="H25" s="81"/>
      <c r="I25" s="84"/>
      <c r="N25" s="85"/>
      <c r="O25" s="85"/>
      <c r="P25" s="86"/>
      <c r="Q25" s="84"/>
      <c r="V25" s="31"/>
      <c r="W25" s="31"/>
      <c r="X25" s="87"/>
      <c r="Y25" s="84"/>
      <c r="AD25" s="31"/>
      <c r="AE25" s="31"/>
      <c r="AF25" s="31"/>
    </row>
    <row r="26" ht="75.0" hidden="1" customHeight="1">
      <c r="A26" s="88"/>
      <c r="H26" s="81"/>
      <c r="I26" s="79"/>
      <c r="N26" s="85"/>
      <c r="O26" s="85"/>
      <c r="P26" s="86"/>
      <c r="Q26" s="79"/>
      <c r="V26" s="31"/>
      <c r="W26" s="31"/>
      <c r="X26" s="87"/>
      <c r="Y26" s="79"/>
      <c r="AD26" s="31"/>
      <c r="AE26" s="31"/>
      <c r="AF26" s="87"/>
      <c r="AG26" s="79"/>
      <c r="AL26" s="31"/>
      <c r="AM26" s="31"/>
      <c r="AN26" s="31"/>
    </row>
    <row r="27" ht="75.0" hidden="1" customHeight="1">
      <c r="A27" s="88"/>
      <c r="H27" s="81"/>
      <c r="I27" s="84"/>
      <c r="N27" s="85"/>
      <c r="O27" s="85"/>
      <c r="P27" s="86"/>
      <c r="Q27" s="84"/>
      <c r="V27" s="31"/>
      <c r="W27" s="31"/>
      <c r="X27" s="87"/>
      <c r="Y27" s="84"/>
      <c r="AD27" s="31"/>
      <c r="AE27" s="31"/>
      <c r="AF27" s="87"/>
      <c r="AG27" s="84"/>
      <c r="AL27" s="31"/>
      <c r="AM27" s="31"/>
      <c r="AN27" s="31"/>
    </row>
    <row r="28" ht="75.0" hidden="1" customHeight="1">
      <c r="H28" s="81"/>
      <c r="I28" s="84"/>
      <c r="N28" s="85"/>
      <c r="O28" s="85"/>
      <c r="P28" s="86"/>
      <c r="V28" s="31"/>
      <c r="W28" s="31"/>
      <c r="X28" s="31"/>
      <c r="AD28" s="31"/>
      <c r="AE28" s="31"/>
      <c r="AF28" s="31"/>
    </row>
    <row r="29" ht="75.0" hidden="1" customHeight="1">
      <c r="H29" s="81"/>
      <c r="I29" s="89"/>
      <c r="N29" s="85"/>
      <c r="O29" s="85"/>
      <c r="P29" s="86"/>
      <c r="V29" s="31"/>
      <c r="W29" s="31"/>
      <c r="X29" s="31"/>
      <c r="AD29" s="31"/>
      <c r="AE29" s="31"/>
      <c r="AF29" s="31"/>
    </row>
    <row r="30" ht="75.0" hidden="1" customHeight="1">
      <c r="H30" s="81"/>
      <c r="I30" s="88"/>
      <c r="N30" s="85"/>
      <c r="O30" s="85"/>
      <c r="P30" s="86"/>
      <c r="V30" s="31"/>
      <c r="W30" s="31"/>
      <c r="X30" s="31"/>
      <c r="AD30" s="31"/>
      <c r="AE30" s="31"/>
      <c r="AF30" s="31"/>
    </row>
    <row r="31" ht="75.0" hidden="1" customHeight="1">
      <c r="H31" s="81"/>
      <c r="I31" s="88"/>
      <c r="N31" s="85"/>
      <c r="O31" s="85"/>
      <c r="P31" s="86"/>
      <c r="V31" s="31"/>
      <c r="W31" s="31"/>
      <c r="X31" s="31"/>
      <c r="AD31" s="31"/>
      <c r="AE31" s="31"/>
      <c r="AF31" s="31"/>
    </row>
    <row r="32" ht="75.0" hidden="1" customHeight="1">
      <c r="H32" s="81"/>
      <c r="I32" s="88"/>
      <c r="N32" s="85"/>
      <c r="O32" s="85"/>
      <c r="P32" s="86"/>
      <c r="V32" s="31"/>
      <c r="W32" s="31"/>
      <c r="X32" s="31"/>
      <c r="AD32" s="31"/>
      <c r="AE32" s="31"/>
      <c r="AF32" s="31"/>
    </row>
    <row r="33" ht="75.0" hidden="1" customHeight="1">
      <c r="H33" s="81"/>
      <c r="I33" s="88"/>
      <c r="N33" s="85"/>
      <c r="O33" s="85"/>
      <c r="P33" s="86"/>
      <c r="V33" s="31"/>
      <c r="W33" s="31"/>
      <c r="X33" s="31"/>
      <c r="AD33" s="31"/>
      <c r="AE33" s="31"/>
      <c r="AF33" s="31"/>
    </row>
    <row r="34" ht="75.0" hidden="1" customHeight="1">
      <c r="H34" s="81"/>
      <c r="I34" s="88"/>
      <c r="N34" s="85"/>
      <c r="O34" s="85"/>
      <c r="P34" s="86"/>
      <c r="V34" s="31"/>
      <c r="W34" s="31"/>
      <c r="X34" s="31"/>
      <c r="AD34" s="31"/>
      <c r="AE34" s="31"/>
      <c r="AF34" s="31"/>
    </row>
    <row r="35" ht="75.0" hidden="1" customHeight="1">
      <c r="H35" s="81"/>
      <c r="N35" s="85"/>
      <c r="O35" s="85"/>
      <c r="P35" s="86"/>
      <c r="V35" s="31"/>
      <c r="W35" s="31"/>
      <c r="X35" s="31"/>
      <c r="AD35" s="31"/>
      <c r="AE35" s="31"/>
      <c r="AF35" s="31"/>
    </row>
    <row r="36" ht="75.0" hidden="1" customHeight="1">
      <c r="H36" s="81"/>
      <c r="N36" s="85"/>
      <c r="O36" s="85"/>
      <c r="P36" s="86"/>
      <c r="V36" s="31"/>
      <c r="W36" s="31"/>
      <c r="X36" s="31"/>
      <c r="AD36" s="31"/>
      <c r="AE36" s="31"/>
      <c r="AF36" s="31"/>
    </row>
    <row r="37" ht="75.0" hidden="1" customHeight="1">
      <c r="H37" s="81"/>
      <c r="N37" s="85"/>
      <c r="O37" s="85"/>
      <c r="P37" s="86"/>
      <c r="V37" s="31"/>
      <c r="W37" s="31"/>
      <c r="X37" s="31"/>
      <c r="AD37" s="31"/>
      <c r="AE37" s="31"/>
      <c r="AF37" s="31"/>
    </row>
    <row r="38" ht="52.5" hidden="1" customHeight="1">
      <c r="H38" s="81"/>
      <c r="N38" s="85"/>
      <c r="O38" s="85"/>
      <c r="P38" s="86"/>
      <c r="V38" s="31"/>
      <c r="W38" s="31"/>
      <c r="X38" s="31"/>
      <c r="AD38" s="31"/>
      <c r="AE38" s="31"/>
      <c r="AF38" s="31"/>
    </row>
    <row r="39" ht="52.5" hidden="1" customHeight="1">
      <c r="H39" s="81"/>
      <c r="N39" s="85"/>
      <c r="O39" s="85"/>
      <c r="P39" s="86"/>
      <c r="V39" s="31"/>
      <c r="W39" s="31"/>
      <c r="X39" s="31"/>
      <c r="AD39" s="31"/>
      <c r="AE39" s="31"/>
      <c r="AF39" s="31"/>
    </row>
    <row r="40" ht="52.5" hidden="1" customHeight="1">
      <c r="H40" s="81"/>
      <c r="N40" s="85"/>
      <c r="O40" s="85"/>
      <c r="P40" s="86"/>
      <c r="V40" s="31"/>
      <c r="W40" s="31"/>
      <c r="X40" s="31"/>
      <c r="AD40" s="31"/>
      <c r="AE40" s="31"/>
      <c r="AF40" s="31"/>
    </row>
    <row r="41" ht="52.5" hidden="1" customHeight="1">
      <c r="H41" s="81"/>
      <c r="N41" s="85"/>
      <c r="O41" s="85"/>
      <c r="P41" s="86"/>
      <c r="V41" s="31"/>
      <c r="W41" s="31"/>
      <c r="X41" s="31"/>
      <c r="AD41" s="31"/>
      <c r="AE41" s="31"/>
      <c r="AF41" s="31"/>
    </row>
    <row r="42" ht="52.5" hidden="1" customHeight="1">
      <c r="H42" s="81"/>
      <c r="N42" s="85"/>
      <c r="O42" s="85"/>
      <c r="P42" s="86"/>
      <c r="V42" s="31"/>
      <c r="W42" s="31"/>
      <c r="X42" s="31"/>
      <c r="AD42" s="31"/>
      <c r="AE42" s="31"/>
      <c r="AF42" s="31"/>
    </row>
    <row r="43" ht="52.5" hidden="1" customHeight="1">
      <c r="H43" s="81"/>
      <c r="N43" s="85"/>
      <c r="O43" s="85"/>
      <c r="P43" s="86"/>
      <c r="V43" s="31"/>
      <c r="W43" s="31"/>
      <c r="X43" s="31"/>
      <c r="AD43" s="31"/>
      <c r="AE43" s="31"/>
      <c r="AF43" s="31"/>
    </row>
    <row r="44" ht="52.5" hidden="1" customHeight="1">
      <c r="H44" s="81"/>
      <c r="N44" s="85"/>
      <c r="O44" s="85"/>
      <c r="P44" s="86"/>
      <c r="V44" s="31"/>
      <c r="W44" s="31"/>
      <c r="X44" s="31"/>
      <c r="AD44" s="31"/>
      <c r="AE44" s="31"/>
      <c r="AF44" s="31"/>
    </row>
    <row r="45" ht="52.5" hidden="1" customHeight="1">
      <c r="H45" s="81"/>
      <c r="N45" s="85"/>
      <c r="O45" s="85"/>
      <c r="P45" s="86"/>
      <c r="V45" s="31"/>
      <c r="W45" s="31"/>
      <c r="X45" s="31"/>
      <c r="AD45" s="31"/>
      <c r="AE45" s="31"/>
      <c r="AF45" s="31"/>
    </row>
    <row r="46" ht="15.75" hidden="1" customHeight="1">
      <c r="H46" s="81"/>
      <c r="N46" s="85"/>
      <c r="O46" s="85"/>
      <c r="P46" s="86"/>
      <c r="V46" s="31"/>
      <c r="W46" s="31"/>
      <c r="X46" s="31"/>
      <c r="AD46" s="31"/>
      <c r="AE46" s="31"/>
      <c r="AF46" s="31"/>
    </row>
    <row r="47" ht="15.75" hidden="1" customHeight="1">
      <c r="H47" s="81"/>
      <c r="N47" s="85"/>
      <c r="O47" s="85"/>
      <c r="P47" s="86"/>
      <c r="V47" s="31"/>
      <c r="W47" s="31"/>
      <c r="X47" s="31"/>
      <c r="AD47" s="31"/>
      <c r="AE47" s="31"/>
      <c r="AF47" s="31"/>
    </row>
    <row r="48" ht="15.75" hidden="1" customHeight="1">
      <c r="H48" s="81"/>
      <c r="N48" s="85"/>
      <c r="O48" s="85"/>
      <c r="P48" s="86"/>
      <c r="V48" s="31"/>
      <c r="W48" s="31"/>
      <c r="X48" s="31"/>
      <c r="AD48" s="31"/>
      <c r="AE48" s="31"/>
      <c r="AF48" s="31"/>
    </row>
    <row r="49" ht="15.75" hidden="1" customHeight="1">
      <c r="H49" s="81"/>
      <c r="N49" s="85"/>
      <c r="O49" s="85"/>
      <c r="P49" s="86"/>
      <c r="V49" s="31"/>
      <c r="W49" s="31"/>
      <c r="X49" s="31"/>
      <c r="AD49" s="31"/>
      <c r="AE49" s="31"/>
      <c r="AF49" s="31"/>
    </row>
    <row r="50" ht="15.75" hidden="1" customHeight="1">
      <c r="H50" s="81"/>
      <c r="N50" s="85"/>
      <c r="O50" s="85"/>
      <c r="P50" s="86"/>
      <c r="V50" s="31"/>
      <c r="W50" s="31"/>
      <c r="X50" s="31"/>
      <c r="AD50" s="31"/>
      <c r="AE50" s="31"/>
      <c r="AF50" s="31"/>
    </row>
    <row r="51" ht="15.75" hidden="1" customHeight="1">
      <c r="H51" s="81"/>
      <c r="N51" s="85"/>
      <c r="O51" s="85"/>
      <c r="P51" s="86"/>
      <c r="V51" s="31"/>
      <c r="W51" s="31"/>
      <c r="X51" s="31"/>
      <c r="AD51" s="31"/>
      <c r="AE51" s="31"/>
      <c r="AF51" s="31"/>
    </row>
    <row r="52" ht="15.75" hidden="1" customHeight="1">
      <c r="H52" s="81"/>
      <c r="N52" s="85"/>
      <c r="O52" s="85"/>
      <c r="P52" s="86"/>
      <c r="V52" s="31"/>
      <c r="W52" s="31"/>
      <c r="X52" s="31"/>
      <c r="AD52" s="31"/>
      <c r="AE52" s="31"/>
      <c r="AF52" s="31"/>
    </row>
    <row r="53" ht="15.75" hidden="1" customHeight="1">
      <c r="H53" s="81"/>
      <c r="N53" s="85"/>
      <c r="O53" s="85"/>
      <c r="P53" s="86"/>
      <c r="V53" s="31"/>
      <c r="W53" s="31"/>
      <c r="X53" s="31"/>
      <c r="AD53" s="31"/>
      <c r="AE53" s="31"/>
      <c r="AF53" s="31"/>
    </row>
    <row r="54" ht="15.75" hidden="1" customHeight="1">
      <c r="H54" s="81"/>
      <c r="N54" s="85"/>
      <c r="O54" s="85"/>
      <c r="P54" s="86"/>
      <c r="V54" s="31"/>
      <c r="W54" s="31"/>
      <c r="X54" s="31"/>
      <c r="AD54" s="31"/>
      <c r="AE54" s="31"/>
      <c r="AF54" s="31"/>
    </row>
    <row r="55" ht="15.75" hidden="1" customHeight="1">
      <c r="H55" s="81"/>
      <c r="N55" s="85"/>
      <c r="O55" s="85"/>
      <c r="P55" s="86"/>
      <c r="V55" s="31"/>
      <c r="W55" s="31"/>
      <c r="X55" s="31"/>
      <c r="AD55" s="31"/>
      <c r="AE55" s="31"/>
      <c r="AF55" s="31"/>
    </row>
    <row r="56" ht="15.75" hidden="1" customHeight="1">
      <c r="H56" s="81"/>
      <c r="N56" s="85"/>
      <c r="O56" s="85"/>
      <c r="P56" s="86"/>
      <c r="V56" s="31"/>
      <c r="W56" s="31"/>
      <c r="X56" s="31"/>
      <c r="AD56" s="31"/>
      <c r="AE56" s="31"/>
      <c r="AF56" s="31"/>
    </row>
    <row r="57" ht="15.75" hidden="1" customHeight="1">
      <c r="H57" s="81"/>
      <c r="N57" s="85"/>
      <c r="O57" s="85"/>
      <c r="P57" s="86"/>
      <c r="V57" s="31"/>
      <c r="W57" s="31"/>
      <c r="X57" s="31"/>
      <c r="AD57" s="31"/>
      <c r="AE57" s="31"/>
      <c r="AF57" s="31"/>
    </row>
    <row r="58" ht="15.75" hidden="1" customHeight="1">
      <c r="H58" s="81"/>
      <c r="N58" s="85"/>
      <c r="O58" s="85"/>
      <c r="P58" s="86"/>
      <c r="V58" s="31"/>
      <c r="W58" s="31"/>
      <c r="X58" s="31"/>
      <c r="AD58" s="31"/>
      <c r="AE58" s="31"/>
      <c r="AF58" s="31"/>
    </row>
    <row r="59" ht="15.75" hidden="1" customHeight="1">
      <c r="H59" s="81"/>
      <c r="N59" s="85"/>
      <c r="O59" s="85"/>
      <c r="P59" s="86"/>
      <c r="V59" s="31"/>
      <c r="W59" s="31"/>
      <c r="X59" s="31"/>
      <c r="AD59" s="31"/>
      <c r="AE59" s="31"/>
      <c r="AF59" s="31"/>
    </row>
    <row r="60" ht="15.75" hidden="1" customHeight="1">
      <c r="H60" s="81"/>
      <c r="N60" s="85"/>
      <c r="O60" s="85"/>
      <c r="P60" s="86"/>
      <c r="V60" s="31"/>
      <c r="W60" s="31"/>
      <c r="X60" s="31"/>
      <c r="AD60" s="31"/>
      <c r="AE60" s="31"/>
      <c r="AF60" s="31"/>
    </row>
    <row r="61" ht="15.75" hidden="1" customHeight="1">
      <c r="H61" s="81"/>
      <c r="N61" s="85"/>
      <c r="O61" s="85"/>
      <c r="P61" s="86"/>
      <c r="V61" s="31"/>
      <c r="W61" s="31"/>
      <c r="X61" s="31"/>
      <c r="AD61" s="31"/>
      <c r="AE61" s="31"/>
      <c r="AF61" s="31"/>
    </row>
    <row r="62" ht="15.75" hidden="1" customHeight="1">
      <c r="H62" s="81"/>
      <c r="N62" s="85"/>
      <c r="O62" s="85"/>
      <c r="P62" s="86"/>
      <c r="V62" s="31"/>
      <c r="W62" s="31"/>
      <c r="X62" s="31"/>
      <c r="AD62" s="31"/>
      <c r="AE62" s="31"/>
      <c r="AF62" s="31"/>
    </row>
    <row r="63" ht="15.75" hidden="1" customHeight="1">
      <c r="H63" s="81"/>
      <c r="N63" s="85"/>
      <c r="O63" s="85"/>
      <c r="P63" s="86"/>
      <c r="V63" s="31"/>
      <c r="W63" s="31"/>
      <c r="X63" s="31"/>
      <c r="AD63" s="31"/>
      <c r="AE63" s="31"/>
      <c r="AF63" s="31"/>
    </row>
    <row r="64" ht="15.75" hidden="1" customHeight="1">
      <c r="H64" s="81"/>
      <c r="N64" s="85"/>
      <c r="O64" s="85"/>
      <c r="P64" s="86"/>
      <c r="V64" s="31"/>
      <c r="W64" s="31"/>
      <c r="X64" s="31"/>
      <c r="AD64" s="31"/>
      <c r="AE64" s="31"/>
      <c r="AF64" s="31"/>
    </row>
    <row r="65" ht="15.75" hidden="1" customHeight="1">
      <c r="H65" s="81"/>
      <c r="N65" s="85"/>
      <c r="O65" s="85"/>
      <c r="P65" s="86"/>
      <c r="V65" s="31"/>
      <c r="W65" s="31"/>
      <c r="X65" s="31"/>
      <c r="AD65" s="31"/>
      <c r="AE65" s="31"/>
      <c r="AF65" s="31"/>
    </row>
    <row r="66" ht="15.75" hidden="1" customHeight="1">
      <c r="H66" s="81"/>
      <c r="N66" s="85"/>
      <c r="O66" s="85"/>
      <c r="P66" s="86"/>
      <c r="V66" s="31"/>
      <c r="W66" s="31"/>
      <c r="X66" s="31"/>
      <c r="AD66" s="31"/>
      <c r="AE66" s="31"/>
      <c r="AF66" s="31"/>
    </row>
    <row r="67" ht="15.75" hidden="1" customHeight="1">
      <c r="H67" s="81"/>
      <c r="N67" s="85"/>
      <c r="O67" s="85"/>
      <c r="P67" s="86"/>
      <c r="V67" s="31"/>
      <c r="W67" s="31"/>
      <c r="X67" s="31"/>
      <c r="AD67" s="31"/>
      <c r="AE67" s="31"/>
      <c r="AF67" s="31"/>
    </row>
    <row r="68" ht="15.75" hidden="1" customHeight="1">
      <c r="H68" s="81"/>
      <c r="N68" s="85"/>
      <c r="O68" s="85"/>
      <c r="P68" s="86"/>
      <c r="V68" s="31"/>
      <c r="W68" s="31"/>
      <c r="X68" s="31"/>
      <c r="AD68" s="31"/>
      <c r="AE68" s="31"/>
      <c r="AF68" s="31"/>
    </row>
    <row r="69" ht="15.75" hidden="1" customHeight="1">
      <c r="H69" s="81"/>
      <c r="N69" s="85"/>
      <c r="O69" s="85"/>
      <c r="P69" s="86"/>
      <c r="V69" s="31"/>
      <c r="W69" s="31"/>
      <c r="X69" s="31"/>
      <c r="AD69" s="31"/>
      <c r="AE69" s="31"/>
      <c r="AF69" s="31"/>
    </row>
    <row r="70" ht="15.75" hidden="1" customHeight="1">
      <c r="H70" s="81"/>
      <c r="N70" s="85"/>
      <c r="O70" s="85"/>
      <c r="P70" s="86"/>
      <c r="V70" s="31"/>
      <c r="W70" s="31"/>
      <c r="X70" s="31"/>
      <c r="AD70" s="31"/>
      <c r="AE70" s="31"/>
      <c r="AF70" s="31"/>
    </row>
    <row r="71" ht="15.75" hidden="1" customHeight="1">
      <c r="H71" s="81"/>
      <c r="N71" s="85"/>
      <c r="O71" s="85"/>
      <c r="P71" s="86"/>
      <c r="V71" s="31"/>
      <c r="W71" s="31"/>
      <c r="X71" s="31"/>
      <c r="AD71" s="31"/>
      <c r="AE71" s="31"/>
      <c r="AF71" s="31"/>
    </row>
    <row r="72" ht="15.75" hidden="1" customHeight="1">
      <c r="H72" s="81"/>
      <c r="N72" s="85"/>
      <c r="O72" s="85"/>
      <c r="P72" s="86"/>
      <c r="V72" s="31"/>
      <c r="W72" s="31"/>
      <c r="X72" s="31"/>
      <c r="AD72" s="31"/>
      <c r="AE72" s="31"/>
      <c r="AF72" s="31"/>
    </row>
    <row r="73" ht="15.75" hidden="1" customHeight="1">
      <c r="H73" s="81"/>
      <c r="N73" s="85"/>
      <c r="O73" s="85"/>
      <c r="P73" s="86"/>
      <c r="V73" s="31"/>
      <c r="W73" s="31"/>
      <c r="X73" s="31"/>
      <c r="AD73" s="31"/>
      <c r="AE73" s="31"/>
      <c r="AF73" s="31"/>
    </row>
    <row r="74" ht="15.75" hidden="1" customHeight="1">
      <c r="H74" s="81"/>
      <c r="N74" s="85"/>
      <c r="O74" s="85"/>
      <c r="P74" s="86"/>
      <c r="V74" s="31"/>
      <c r="W74" s="31"/>
      <c r="X74" s="31"/>
      <c r="AD74" s="31"/>
      <c r="AE74" s="31"/>
      <c r="AF74" s="31"/>
    </row>
    <row r="75" ht="15.75" hidden="1" customHeight="1">
      <c r="H75" s="81"/>
      <c r="N75" s="85"/>
      <c r="O75" s="85"/>
      <c r="P75" s="86"/>
      <c r="V75" s="31"/>
      <c r="W75" s="31"/>
      <c r="X75" s="31"/>
      <c r="AD75" s="31"/>
      <c r="AE75" s="31"/>
      <c r="AF75" s="31"/>
    </row>
    <row r="76" ht="15.75" hidden="1" customHeight="1">
      <c r="H76" s="81"/>
      <c r="N76" s="85"/>
      <c r="O76" s="85"/>
      <c r="P76" s="86"/>
      <c r="V76" s="31"/>
      <c r="W76" s="31"/>
      <c r="X76" s="31"/>
      <c r="AD76" s="31"/>
      <c r="AE76" s="31"/>
      <c r="AF76" s="31"/>
    </row>
    <row r="77" ht="15.75" hidden="1" customHeight="1">
      <c r="H77" s="81"/>
      <c r="N77" s="85"/>
      <c r="O77" s="85"/>
      <c r="P77" s="86"/>
      <c r="V77" s="31"/>
      <c r="W77" s="31"/>
      <c r="X77" s="31"/>
      <c r="AD77" s="31"/>
      <c r="AE77" s="31"/>
      <c r="AF77" s="31"/>
    </row>
    <row r="78" ht="15.75" hidden="1" customHeight="1">
      <c r="H78" s="81"/>
      <c r="N78" s="85"/>
      <c r="O78" s="85"/>
      <c r="P78" s="86"/>
      <c r="V78" s="31"/>
      <c r="W78" s="31"/>
      <c r="X78" s="31"/>
      <c r="AD78" s="31"/>
      <c r="AE78" s="31"/>
      <c r="AF78" s="31"/>
    </row>
    <row r="79" ht="15.75" hidden="1" customHeight="1">
      <c r="H79" s="81"/>
      <c r="N79" s="85"/>
      <c r="O79" s="85"/>
      <c r="P79" s="86"/>
      <c r="V79" s="31"/>
      <c r="W79" s="31"/>
      <c r="X79" s="31"/>
      <c r="AD79" s="31"/>
      <c r="AE79" s="31"/>
      <c r="AF79" s="31"/>
    </row>
    <row r="80" ht="15.75" hidden="1" customHeight="1">
      <c r="H80" s="81"/>
      <c r="N80" s="85"/>
      <c r="O80" s="85"/>
      <c r="P80" s="86"/>
      <c r="V80" s="31"/>
      <c r="W80" s="31"/>
      <c r="X80" s="31"/>
      <c r="AD80" s="31"/>
      <c r="AE80" s="31"/>
      <c r="AF80" s="31"/>
    </row>
    <row r="81" ht="15.75" hidden="1" customHeight="1">
      <c r="H81" s="81"/>
      <c r="N81" s="85"/>
      <c r="O81" s="85"/>
      <c r="P81" s="86"/>
      <c r="V81" s="31"/>
      <c r="W81" s="31"/>
      <c r="X81" s="31"/>
      <c r="AD81" s="31"/>
      <c r="AE81" s="31"/>
      <c r="AF81" s="31"/>
    </row>
    <row r="82" ht="15.75" hidden="1" customHeight="1">
      <c r="H82" s="81"/>
      <c r="N82" s="85"/>
      <c r="O82" s="85"/>
      <c r="P82" s="86"/>
      <c r="V82" s="31"/>
      <c r="W82" s="31"/>
      <c r="X82" s="31"/>
      <c r="AD82" s="31"/>
      <c r="AE82" s="31"/>
      <c r="AF82" s="31"/>
    </row>
    <row r="83" ht="15.75" hidden="1" customHeight="1">
      <c r="H83" s="81"/>
      <c r="N83" s="85"/>
      <c r="O83" s="85"/>
      <c r="P83" s="86"/>
      <c r="V83" s="31"/>
      <c r="W83" s="31"/>
      <c r="X83" s="31"/>
      <c r="AD83" s="31"/>
      <c r="AE83" s="31"/>
      <c r="AF83" s="31"/>
    </row>
    <row r="84" ht="15.75" hidden="1" customHeight="1">
      <c r="H84" s="81"/>
      <c r="N84" s="85"/>
      <c r="O84" s="85"/>
      <c r="P84" s="86"/>
      <c r="V84" s="31"/>
      <c r="W84" s="31"/>
      <c r="X84" s="31"/>
      <c r="AD84" s="31"/>
      <c r="AE84" s="31"/>
      <c r="AF84" s="31"/>
    </row>
    <row r="85" ht="15.75" hidden="1" customHeight="1">
      <c r="H85" s="81"/>
      <c r="N85" s="85"/>
      <c r="O85" s="85"/>
      <c r="P85" s="86"/>
      <c r="V85" s="31"/>
      <c r="W85" s="31"/>
      <c r="X85" s="31"/>
      <c r="AD85" s="31"/>
      <c r="AE85" s="31"/>
      <c r="AF85" s="31"/>
    </row>
    <row r="86" ht="15.75" hidden="1" customHeight="1">
      <c r="H86" s="81"/>
      <c r="N86" s="85"/>
      <c r="O86" s="85"/>
      <c r="P86" s="86"/>
      <c r="V86" s="31"/>
      <c r="W86" s="31"/>
      <c r="X86" s="31"/>
      <c r="AD86" s="31"/>
      <c r="AE86" s="31"/>
      <c r="AF86" s="31"/>
    </row>
    <row r="87" ht="15.75" hidden="1" customHeight="1">
      <c r="H87" s="81"/>
      <c r="N87" s="85"/>
      <c r="O87" s="85"/>
      <c r="P87" s="86"/>
      <c r="V87" s="31"/>
      <c r="W87" s="31"/>
      <c r="X87" s="31"/>
      <c r="AD87" s="31"/>
      <c r="AE87" s="31"/>
      <c r="AF87" s="31"/>
    </row>
    <row r="88" ht="15.75" hidden="1" customHeight="1">
      <c r="H88" s="81"/>
      <c r="N88" s="85"/>
      <c r="O88" s="85"/>
      <c r="P88" s="86"/>
      <c r="V88" s="31"/>
      <c r="W88" s="31"/>
      <c r="X88" s="31"/>
      <c r="AD88" s="31"/>
      <c r="AE88" s="31"/>
      <c r="AF88" s="31"/>
    </row>
    <row r="89" ht="15.75" hidden="1" customHeight="1">
      <c r="H89" s="81"/>
      <c r="N89" s="85"/>
      <c r="O89" s="85"/>
      <c r="P89" s="86"/>
      <c r="V89" s="31"/>
      <c r="W89" s="31"/>
      <c r="X89" s="31"/>
      <c r="AD89" s="31"/>
      <c r="AE89" s="31"/>
      <c r="AF89" s="31"/>
    </row>
    <row r="90" ht="15.75" hidden="1" customHeight="1">
      <c r="H90" s="81"/>
      <c r="N90" s="85"/>
      <c r="O90" s="85"/>
      <c r="P90" s="86"/>
      <c r="V90" s="31"/>
      <c r="W90" s="31"/>
      <c r="X90" s="31"/>
      <c r="AD90" s="31"/>
      <c r="AE90" s="31"/>
      <c r="AF90" s="31"/>
    </row>
    <row r="91" ht="15.75" hidden="1" customHeight="1">
      <c r="H91" s="81"/>
      <c r="N91" s="85"/>
      <c r="O91" s="85"/>
      <c r="P91" s="86"/>
      <c r="V91" s="31"/>
      <c r="W91" s="31"/>
      <c r="X91" s="31"/>
      <c r="AD91" s="31"/>
      <c r="AE91" s="31"/>
      <c r="AF91" s="31"/>
    </row>
    <row r="92" ht="15.75" hidden="1" customHeight="1">
      <c r="H92" s="81"/>
      <c r="N92" s="85"/>
      <c r="O92" s="85"/>
      <c r="P92" s="86"/>
      <c r="V92" s="31"/>
      <c r="W92" s="31"/>
      <c r="X92" s="31"/>
      <c r="AD92" s="31"/>
      <c r="AE92" s="31"/>
      <c r="AF92" s="31"/>
    </row>
    <row r="93" ht="15.75" hidden="1" customHeight="1">
      <c r="H93" s="81"/>
      <c r="N93" s="85"/>
      <c r="O93" s="85"/>
      <c r="P93" s="86"/>
      <c r="V93" s="31"/>
      <c r="W93" s="31"/>
      <c r="X93" s="31"/>
      <c r="AD93" s="31"/>
      <c r="AE93" s="31"/>
      <c r="AF93" s="31"/>
    </row>
    <row r="94" ht="15.75" hidden="1" customHeight="1">
      <c r="H94" s="81"/>
      <c r="N94" s="85"/>
      <c r="O94" s="85"/>
      <c r="P94" s="86"/>
      <c r="V94" s="31"/>
      <c r="W94" s="31"/>
      <c r="X94" s="31"/>
      <c r="AD94" s="31"/>
      <c r="AE94" s="31"/>
      <c r="AF94" s="31"/>
    </row>
    <row r="95" ht="15.75" hidden="1" customHeight="1">
      <c r="H95" s="81"/>
      <c r="N95" s="85"/>
      <c r="O95" s="85"/>
      <c r="P95" s="86"/>
      <c r="V95" s="31"/>
      <c r="W95" s="31"/>
      <c r="X95" s="31"/>
      <c r="AD95" s="31"/>
      <c r="AE95" s="31"/>
      <c r="AF95" s="31"/>
    </row>
    <row r="96" ht="15.75" hidden="1" customHeight="1">
      <c r="H96" s="81"/>
      <c r="N96" s="85"/>
      <c r="O96" s="85"/>
      <c r="P96" s="86"/>
      <c r="V96" s="31"/>
      <c r="W96" s="31"/>
      <c r="X96" s="31"/>
      <c r="AD96" s="31"/>
      <c r="AE96" s="31"/>
      <c r="AF96" s="31"/>
    </row>
    <row r="97" ht="15.75" hidden="1" customHeight="1">
      <c r="H97" s="81"/>
      <c r="N97" s="85"/>
      <c r="O97" s="85"/>
      <c r="P97" s="86"/>
      <c r="V97" s="31"/>
      <c r="W97" s="31"/>
      <c r="X97" s="31"/>
      <c r="AD97" s="31"/>
      <c r="AE97" s="31"/>
      <c r="AF97" s="31"/>
    </row>
    <row r="98" ht="15.75" hidden="1" customHeight="1">
      <c r="H98" s="81"/>
      <c r="N98" s="85"/>
      <c r="O98" s="85"/>
      <c r="P98" s="86"/>
      <c r="V98" s="31"/>
      <c r="W98" s="31"/>
      <c r="X98" s="31"/>
      <c r="AD98" s="31"/>
      <c r="AE98" s="31"/>
      <c r="AF98" s="31"/>
    </row>
    <row r="99" ht="15.75" hidden="1" customHeight="1">
      <c r="H99" s="81"/>
      <c r="N99" s="85"/>
      <c r="O99" s="85"/>
      <c r="P99" s="86"/>
      <c r="V99" s="31"/>
      <c r="W99" s="31"/>
      <c r="X99" s="31"/>
      <c r="AD99" s="31"/>
      <c r="AE99" s="31"/>
      <c r="AF99" s="31"/>
    </row>
    <row r="100" ht="15.75" hidden="1" customHeight="1">
      <c r="H100" s="81"/>
      <c r="N100" s="85"/>
      <c r="O100" s="85"/>
      <c r="P100" s="86"/>
      <c r="V100" s="31"/>
      <c r="W100" s="31"/>
      <c r="X100" s="31"/>
      <c r="AD100" s="31"/>
      <c r="AE100" s="31"/>
      <c r="AF100" s="31"/>
    </row>
    <row r="101" ht="15.75" hidden="1" customHeight="1">
      <c r="H101" s="81"/>
      <c r="N101" s="85"/>
      <c r="O101" s="85"/>
      <c r="P101" s="86"/>
      <c r="V101" s="31"/>
      <c r="W101" s="31"/>
      <c r="X101" s="31"/>
      <c r="AD101" s="31"/>
      <c r="AE101" s="31"/>
      <c r="AF101" s="31"/>
    </row>
    <row r="102" ht="15.75" hidden="1" customHeight="1">
      <c r="H102" s="81"/>
      <c r="N102" s="85"/>
      <c r="O102" s="85"/>
      <c r="P102" s="86"/>
      <c r="V102" s="31"/>
      <c r="W102" s="31"/>
      <c r="X102" s="31"/>
      <c r="AD102" s="31"/>
      <c r="AE102" s="31"/>
      <c r="AF102" s="31"/>
    </row>
    <row r="103" ht="15.75" hidden="1" customHeight="1">
      <c r="H103" s="81"/>
      <c r="N103" s="85"/>
      <c r="O103" s="85"/>
      <c r="P103" s="86"/>
      <c r="V103" s="31"/>
      <c r="W103" s="31"/>
      <c r="X103" s="31"/>
      <c r="AD103" s="31"/>
      <c r="AE103" s="31"/>
      <c r="AF103" s="31"/>
    </row>
    <row r="104" ht="15.75" hidden="1" customHeight="1">
      <c r="H104" s="81"/>
      <c r="N104" s="85"/>
      <c r="O104" s="85"/>
      <c r="P104" s="86"/>
      <c r="V104" s="31"/>
      <c r="W104" s="31"/>
      <c r="X104" s="31"/>
      <c r="AD104" s="31"/>
      <c r="AE104" s="31"/>
      <c r="AF104" s="31"/>
    </row>
    <row r="105" ht="15.75" hidden="1" customHeight="1">
      <c r="H105" s="81"/>
      <c r="N105" s="85"/>
      <c r="O105" s="85"/>
      <c r="P105" s="86"/>
      <c r="V105" s="31"/>
      <c r="W105" s="31"/>
      <c r="X105" s="31"/>
      <c r="AD105" s="31"/>
      <c r="AE105" s="31"/>
      <c r="AF105" s="31"/>
    </row>
    <row r="106" ht="15.75" hidden="1" customHeight="1">
      <c r="H106" s="81"/>
      <c r="N106" s="85"/>
      <c r="O106" s="85"/>
      <c r="P106" s="86"/>
      <c r="V106" s="31"/>
      <c r="W106" s="31"/>
      <c r="X106" s="31"/>
      <c r="AD106" s="31"/>
      <c r="AE106" s="31"/>
      <c r="AF106" s="31"/>
    </row>
    <row r="107" ht="15.75" hidden="1" customHeight="1">
      <c r="H107" s="81"/>
      <c r="N107" s="85"/>
      <c r="O107" s="85"/>
      <c r="P107" s="86"/>
      <c r="V107" s="31"/>
      <c r="W107" s="31"/>
      <c r="X107" s="31"/>
      <c r="AD107" s="31"/>
      <c r="AE107" s="31"/>
      <c r="AF107" s="31"/>
    </row>
    <row r="108" ht="15.75" hidden="1" customHeight="1">
      <c r="H108" s="81"/>
      <c r="N108" s="85"/>
      <c r="O108" s="85"/>
      <c r="P108" s="86"/>
      <c r="V108" s="31"/>
      <c r="W108" s="31"/>
      <c r="X108" s="31"/>
      <c r="AD108" s="31"/>
      <c r="AE108" s="31"/>
      <c r="AF108" s="31"/>
    </row>
    <row r="109" ht="15.75" hidden="1" customHeight="1">
      <c r="H109" s="81"/>
      <c r="N109" s="85"/>
      <c r="O109" s="85"/>
      <c r="P109" s="86"/>
      <c r="V109" s="31"/>
      <c r="W109" s="31"/>
      <c r="X109" s="31"/>
      <c r="AD109" s="31"/>
      <c r="AE109" s="31"/>
      <c r="AF109" s="31"/>
    </row>
    <row r="110" ht="15.75" hidden="1" customHeight="1">
      <c r="H110" s="81"/>
      <c r="N110" s="85"/>
      <c r="O110" s="85"/>
      <c r="P110" s="86"/>
      <c r="V110" s="31"/>
      <c r="W110" s="31"/>
      <c r="X110" s="31"/>
      <c r="AD110" s="31"/>
      <c r="AE110" s="31"/>
      <c r="AF110" s="31"/>
    </row>
    <row r="111" ht="15.75" hidden="1" customHeight="1">
      <c r="H111" s="81"/>
      <c r="N111" s="85"/>
      <c r="O111" s="85"/>
      <c r="P111" s="86"/>
      <c r="V111" s="31"/>
      <c r="W111" s="31"/>
      <c r="X111" s="31"/>
      <c r="AD111" s="31"/>
      <c r="AE111" s="31"/>
      <c r="AF111" s="31"/>
    </row>
    <row r="112" ht="15.75" hidden="1" customHeight="1">
      <c r="H112" s="81"/>
      <c r="N112" s="85"/>
      <c r="O112" s="85"/>
      <c r="P112" s="86"/>
      <c r="V112" s="31"/>
      <c r="W112" s="31"/>
      <c r="X112" s="31"/>
      <c r="AD112" s="31"/>
      <c r="AE112" s="31"/>
      <c r="AF112" s="31"/>
    </row>
    <row r="113" ht="15.75" hidden="1" customHeight="1">
      <c r="H113" s="81"/>
      <c r="N113" s="85"/>
      <c r="O113" s="85"/>
      <c r="P113" s="86"/>
      <c r="V113" s="31"/>
      <c r="W113" s="31"/>
      <c r="X113" s="31"/>
      <c r="AD113" s="31"/>
      <c r="AE113" s="31"/>
      <c r="AF113" s="31"/>
    </row>
    <row r="114" ht="15.75" hidden="1" customHeight="1">
      <c r="H114" s="81"/>
      <c r="N114" s="85"/>
      <c r="O114" s="85"/>
      <c r="P114" s="86"/>
      <c r="V114" s="31"/>
      <c r="W114" s="31"/>
      <c r="X114" s="31"/>
      <c r="AD114" s="31"/>
      <c r="AE114" s="31"/>
      <c r="AF114" s="31"/>
    </row>
    <row r="115" ht="15.75" hidden="1" customHeight="1">
      <c r="H115" s="81"/>
      <c r="N115" s="85"/>
      <c r="O115" s="85"/>
      <c r="P115" s="86"/>
      <c r="V115" s="31"/>
      <c r="W115" s="31"/>
      <c r="X115" s="31"/>
      <c r="AD115" s="31"/>
      <c r="AE115" s="31"/>
      <c r="AF115" s="31"/>
    </row>
    <row r="116" ht="15.75" hidden="1" customHeight="1">
      <c r="H116" s="81"/>
      <c r="N116" s="85"/>
      <c r="O116" s="85"/>
      <c r="P116" s="86"/>
      <c r="V116" s="31"/>
      <c r="W116" s="31"/>
      <c r="X116" s="31"/>
      <c r="AD116" s="31"/>
      <c r="AE116" s="31"/>
      <c r="AF116" s="31"/>
    </row>
    <row r="117" ht="15.75" hidden="1" customHeight="1">
      <c r="H117" s="81"/>
      <c r="N117" s="85"/>
      <c r="O117" s="85"/>
      <c r="P117" s="86"/>
      <c r="V117" s="31"/>
      <c r="W117" s="31"/>
      <c r="X117" s="31"/>
      <c r="AD117" s="31"/>
      <c r="AE117" s="31"/>
      <c r="AF117" s="31"/>
    </row>
    <row r="118" ht="15.75" hidden="1" customHeight="1">
      <c r="H118" s="81"/>
      <c r="N118" s="85"/>
      <c r="O118" s="85"/>
      <c r="P118" s="86"/>
      <c r="V118" s="31"/>
      <c r="W118" s="31"/>
      <c r="X118" s="31"/>
      <c r="AD118" s="31"/>
      <c r="AE118" s="31"/>
      <c r="AF118" s="31"/>
    </row>
    <row r="119" ht="15.75" hidden="1" customHeight="1">
      <c r="H119" s="81"/>
      <c r="N119" s="85"/>
      <c r="O119" s="85"/>
      <c r="P119" s="86"/>
      <c r="V119" s="31"/>
      <c r="W119" s="31"/>
      <c r="X119" s="31"/>
      <c r="AD119" s="31"/>
      <c r="AE119" s="31"/>
      <c r="AF119" s="31"/>
    </row>
    <row r="120" ht="15.75" hidden="1" customHeight="1">
      <c r="H120" s="81"/>
      <c r="N120" s="85"/>
      <c r="O120" s="85"/>
      <c r="P120" s="86"/>
      <c r="V120" s="31"/>
      <c r="W120" s="31"/>
      <c r="X120" s="31"/>
      <c r="AD120" s="31"/>
      <c r="AE120" s="31"/>
      <c r="AF120" s="31"/>
    </row>
    <row r="121" ht="15.75" hidden="1" customHeight="1">
      <c r="H121" s="81"/>
      <c r="N121" s="85"/>
      <c r="O121" s="85"/>
      <c r="P121" s="86"/>
      <c r="V121" s="31"/>
      <c r="W121" s="31"/>
      <c r="X121" s="31"/>
      <c r="AD121" s="31"/>
      <c r="AE121" s="31"/>
      <c r="AF121" s="31"/>
    </row>
    <row r="122" ht="15.75" hidden="1" customHeight="1">
      <c r="H122" s="81"/>
      <c r="N122" s="85"/>
      <c r="O122" s="85"/>
      <c r="P122" s="86"/>
      <c r="V122" s="31"/>
      <c r="W122" s="31"/>
      <c r="X122" s="31"/>
      <c r="AD122" s="31"/>
      <c r="AE122" s="31"/>
      <c r="AF122" s="31"/>
    </row>
    <row r="123" ht="15.75" hidden="1" customHeight="1">
      <c r="H123" s="81"/>
      <c r="N123" s="85"/>
      <c r="O123" s="85"/>
      <c r="P123" s="86"/>
      <c r="V123" s="31"/>
      <c r="W123" s="31"/>
      <c r="X123" s="31"/>
      <c r="AD123" s="31"/>
      <c r="AE123" s="31"/>
      <c r="AF123" s="31"/>
    </row>
    <row r="124" ht="15.75" hidden="1" customHeight="1">
      <c r="H124" s="81"/>
      <c r="N124" s="85"/>
      <c r="O124" s="85"/>
      <c r="P124" s="86"/>
      <c r="V124" s="31"/>
      <c r="W124" s="31"/>
      <c r="X124" s="31"/>
      <c r="AD124" s="31"/>
      <c r="AE124" s="31"/>
      <c r="AF124" s="31"/>
    </row>
    <row r="125" ht="15.75" hidden="1" customHeight="1">
      <c r="H125" s="81"/>
      <c r="N125" s="85"/>
      <c r="O125" s="85"/>
      <c r="P125" s="86"/>
      <c r="V125" s="31"/>
      <c r="W125" s="31"/>
      <c r="X125" s="31"/>
      <c r="AD125" s="31"/>
      <c r="AE125" s="31"/>
      <c r="AF125" s="31"/>
    </row>
    <row r="126" ht="15.75" hidden="1" customHeight="1">
      <c r="H126" s="81"/>
      <c r="N126" s="85"/>
      <c r="O126" s="85"/>
      <c r="P126" s="86"/>
      <c r="V126" s="31"/>
      <c r="W126" s="31"/>
      <c r="X126" s="31"/>
      <c r="AD126" s="31"/>
      <c r="AE126" s="31"/>
      <c r="AF126" s="31"/>
    </row>
    <row r="127" ht="15.75" hidden="1" customHeight="1">
      <c r="H127" s="81"/>
      <c r="N127" s="85"/>
      <c r="O127" s="85"/>
      <c r="P127" s="86"/>
      <c r="V127" s="31"/>
      <c r="W127" s="31"/>
      <c r="X127" s="31"/>
      <c r="AD127" s="31"/>
      <c r="AE127" s="31"/>
      <c r="AF127" s="31"/>
    </row>
    <row r="128" ht="15.75" hidden="1" customHeight="1">
      <c r="H128" s="81"/>
      <c r="N128" s="85"/>
      <c r="O128" s="85"/>
      <c r="P128" s="86"/>
      <c r="V128" s="31"/>
      <c r="W128" s="31"/>
      <c r="X128" s="31"/>
      <c r="AD128" s="31"/>
      <c r="AE128" s="31"/>
      <c r="AF128" s="31"/>
    </row>
    <row r="129" ht="15.75" hidden="1" customHeight="1">
      <c r="H129" s="81"/>
      <c r="N129" s="85"/>
      <c r="O129" s="85"/>
      <c r="P129" s="86"/>
      <c r="V129" s="31"/>
      <c r="W129" s="31"/>
      <c r="X129" s="31"/>
      <c r="AD129" s="31"/>
      <c r="AE129" s="31"/>
      <c r="AF129" s="31"/>
    </row>
    <row r="130" ht="15.75" hidden="1" customHeight="1">
      <c r="H130" s="81"/>
      <c r="N130" s="85"/>
      <c r="O130" s="85"/>
      <c r="P130" s="86"/>
      <c r="V130" s="31"/>
      <c r="W130" s="31"/>
      <c r="X130" s="31"/>
      <c r="AD130" s="31"/>
      <c r="AE130" s="31"/>
      <c r="AF130" s="31"/>
    </row>
    <row r="131" ht="15.75" hidden="1" customHeight="1">
      <c r="H131" s="81"/>
      <c r="N131" s="85"/>
      <c r="O131" s="85"/>
      <c r="P131" s="86"/>
      <c r="V131" s="31"/>
      <c r="W131" s="31"/>
      <c r="X131" s="31"/>
      <c r="AD131" s="31"/>
      <c r="AE131" s="31"/>
      <c r="AF131" s="31"/>
    </row>
    <row r="132" ht="15.75" hidden="1" customHeight="1">
      <c r="H132" s="81"/>
      <c r="N132" s="85"/>
      <c r="O132" s="85"/>
      <c r="P132" s="86"/>
      <c r="V132" s="31"/>
      <c r="W132" s="31"/>
      <c r="X132" s="31"/>
      <c r="AD132" s="31"/>
      <c r="AE132" s="31"/>
      <c r="AF132" s="31"/>
    </row>
    <row r="133" ht="15.75" hidden="1" customHeight="1">
      <c r="H133" s="81"/>
      <c r="N133" s="85"/>
      <c r="O133" s="85"/>
      <c r="P133" s="86"/>
      <c r="V133" s="31"/>
      <c r="W133" s="31"/>
      <c r="X133" s="31"/>
      <c r="AD133" s="31"/>
      <c r="AE133" s="31"/>
      <c r="AF133" s="31"/>
    </row>
    <row r="134" ht="15.75" hidden="1" customHeight="1">
      <c r="H134" s="81"/>
      <c r="N134" s="85"/>
      <c r="O134" s="85"/>
      <c r="P134" s="86"/>
      <c r="V134" s="31"/>
      <c r="W134" s="31"/>
      <c r="X134" s="31"/>
      <c r="AD134" s="31"/>
      <c r="AE134" s="31"/>
      <c r="AF134" s="31"/>
    </row>
    <row r="135" ht="15.75" hidden="1" customHeight="1">
      <c r="H135" s="81"/>
      <c r="N135" s="85"/>
      <c r="O135" s="85"/>
      <c r="P135" s="86"/>
      <c r="V135" s="31"/>
      <c r="W135" s="31"/>
      <c r="X135" s="31"/>
      <c r="AD135" s="31"/>
      <c r="AE135" s="31"/>
      <c r="AF135" s="31"/>
    </row>
    <row r="136" ht="15.75" hidden="1" customHeight="1">
      <c r="H136" s="81"/>
      <c r="N136" s="85"/>
      <c r="O136" s="85"/>
      <c r="P136" s="86"/>
      <c r="V136" s="31"/>
      <c r="W136" s="31"/>
      <c r="X136" s="31"/>
      <c r="AD136" s="31"/>
      <c r="AE136" s="31"/>
      <c r="AF136" s="31"/>
    </row>
    <row r="137" ht="15.75" hidden="1" customHeight="1">
      <c r="H137" s="81"/>
      <c r="N137" s="85"/>
      <c r="O137" s="85"/>
      <c r="P137" s="86"/>
      <c r="V137" s="31"/>
      <c r="W137" s="31"/>
      <c r="X137" s="31"/>
      <c r="AD137" s="31"/>
      <c r="AE137" s="31"/>
      <c r="AF137" s="31"/>
    </row>
    <row r="138" ht="15.75" hidden="1" customHeight="1">
      <c r="H138" s="81"/>
      <c r="N138" s="85"/>
      <c r="O138" s="85"/>
      <c r="P138" s="86"/>
      <c r="V138" s="31"/>
      <c r="W138" s="31"/>
      <c r="X138" s="31"/>
      <c r="AD138" s="31"/>
      <c r="AE138" s="31"/>
      <c r="AF138" s="31"/>
    </row>
    <row r="139" ht="15.75" hidden="1" customHeight="1">
      <c r="H139" s="81"/>
      <c r="N139" s="85"/>
      <c r="O139" s="85"/>
      <c r="P139" s="86"/>
      <c r="V139" s="31"/>
      <c r="W139" s="31"/>
      <c r="X139" s="31"/>
      <c r="AD139" s="31"/>
      <c r="AE139" s="31"/>
      <c r="AF139" s="31"/>
    </row>
    <row r="140" ht="15.75" hidden="1" customHeight="1">
      <c r="H140" s="81"/>
      <c r="N140" s="85"/>
      <c r="O140" s="85"/>
      <c r="P140" s="86"/>
      <c r="V140" s="31"/>
      <c r="W140" s="31"/>
      <c r="X140" s="31"/>
      <c r="AD140" s="31"/>
      <c r="AE140" s="31"/>
      <c r="AF140" s="31"/>
    </row>
    <row r="141" ht="15.75" hidden="1" customHeight="1">
      <c r="H141" s="81"/>
      <c r="N141" s="85"/>
      <c r="O141" s="85"/>
      <c r="P141" s="86"/>
      <c r="V141" s="31"/>
      <c r="W141" s="31"/>
      <c r="X141" s="31"/>
      <c r="AD141" s="31"/>
      <c r="AE141" s="31"/>
      <c r="AF141" s="31"/>
    </row>
    <row r="142" ht="15.75" hidden="1" customHeight="1">
      <c r="H142" s="81"/>
      <c r="N142" s="85"/>
      <c r="O142" s="85"/>
      <c r="P142" s="86"/>
      <c r="V142" s="31"/>
      <c r="W142" s="31"/>
      <c r="X142" s="31"/>
      <c r="AD142" s="31"/>
      <c r="AE142" s="31"/>
      <c r="AF142" s="31"/>
    </row>
    <row r="143" ht="15.75" hidden="1" customHeight="1">
      <c r="H143" s="81"/>
      <c r="N143" s="85"/>
      <c r="O143" s="85"/>
      <c r="P143" s="86"/>
      <c r="V143" s="31"/>
      <c r="W143" s="31"/>
      <c r="X143" s="31"/>
      <c r="AD143" s="31"/>
      <c r="AE143" s="31"/>
      <c r="AF143" s="31"/>
    </row>
    <row r="144" ht="15.75" hidden="1" customHeight="1">
      <c r="H144" s="81"/>
      <c r="N144" s="85"/>
      <c r="O144" s="85"/>
      <c r="P144" s="86"/>
      <c r="V144" s="31"/>
      <c r="W144" s="31"/>
      <c r="X144" s="31"/>
      <c r="AD144" s="31"/>
      <c r="AE144" s="31"/>
      <c r="AF144" s="31"/>
    </row>
    <row r="145" ht="15.75" hidden="1" customHeight="1">
      <c r="H145" s="81"/>
      <c r="N145" s="85"/>
      <c r="O145" s="85"/>
      <c r="P145" s="86"/>
      <c r="V145" s="31"/>
      <c r="W145" s="31"/>
      <c r="X145" s="31"/>
      <c r="AD145" s="31"/>
      <c r="AE145" s="31"/>
      <c r="AF145" s="31"/>
    </row>
    <row r="146" ht="15.75" hidden="1" customHeight="1">
      <c r="H146" s="81"/>
      <c r="N146" s="85"/>
      <c r="O146" s="85"/>
      <c r="P146" s="86"/>
      <c r="V146" s="31"/>
      <c r="W146" s="31"/>
      <c r="X146" s="31"/>
      <c r="AD146" s="31"/>
      <c r="AE146" s="31"/>
      <c r="AF146" s="31"/>
    </row>
    <row r="147" ht="15.75" hidden="1" customHeight="1">
      <c r="H147" s="81"/>
      <c r="N147" s="85"/>
      <c r="O147" s="85"/>
      <c r="P147" s="86"/>
      <c r="V147" s="31"/>
      <c r="W147" s="31"/>
      <c r="X147" s="31"/>
      <c r="AD147" s="31"/>
      <c r="AE147" s="31"/>
      <c r="AF147" s="31"/>
    </row>
    <row r="148" ht="15.75" hidden="1" customHeight="1">
      <c r="H148" s="81"/>
      <c r="N148" s="85"/>
      <c r="O148" s="85"/>
      <c r="P148" s="86"/>
      <c r="V148" s="31"/>
      <c r="W148" s="31"/>
      <c r="X148" s="31"/>
      <c r="AD148" s="31"/>
      <c r="AE148" s="31"/>
      <c r="AF148" s="31"/>
    </row>
    <row r="149" ht="15.75" hidden="1" customHeight="1">
      <c r="H149" s="81"/>
      <c r="N149" s="85"/>
      <c r="O149" s="85"/>
      <c r="P149" s="86"/>
      <c r="V149" s="31"/>
      <c r="W149" s="31"/>
      <c r="X149" s="31"/>
      <c r="AD149" s="31"/>
      <c r="AE149" s="31"/>
      <c r="AF149" s="31"/>
    </row>
    <row r="150" ht="15.75" hidden="1" customHeight="1">
      <c r="H150" s="81"/>
      <c r="N150" s="85"/>
      <c r="O150" s="85"/>
      <c r="P150" s="86"/>
      <c r="V150" s="31"/>
      <c r="W150" s="31"/>
      <c r="X150" s="31"/>
      <c r="AD150" s="31"/>
      <c r="AE150" s="31"/>
      <c r="AF150" s="31"/>
    </row>
    <row r="151" ht="15.75" hidden="1" customHeight="1">
      <c r="H151" s="81"/>
      <c r="N151" s="85"/>
      <c r="O151" s="85"/>
      <c r="P151" s="86"/>
      <c r="V151" s="31"/>
      <c r="W151" s="31"/>
      <c r="X151" s="31"/>
      <c r="AD151" s="31"/>
      <c r="AE151" s="31"/>
      <c r="AF151" s="31"/>
    </row>
    <row r="152" ht="15.75" hidden="1" customHeight="1">
      <c r="H152" s="81"/>
      <c r="N152" s="85"/>
      <c r="O152" s="85"/>
      <c r="P152" s="86"/>
      <c r="V152" s="31"/>
      <c r="W152" s="31"/>
      <c r="X152" s="31"/>
      <c r="AD152" s="31"/>
      <c r="AE152" s="31"/>
      <c r="AF152" s="31"/>
    </row>
    <row r="153" ht="15.75" hidden="1" customHeight="1">
      <c r="H153" s="81"/>
      <c r="N153" s="85"/>
      <c r="O153" s="85"/>
      <c r="P153" s="86"/>
      <c r="V153" s="31"/>
      <c r="W153" s="31"/>
      <c r="X153" s="31"/>
      <c r="AD153" s="31"/>
      <c r="AE153" s="31"/>
      <c r="AF153" s="31"/>
    </row>
    <row r="154" ht="15.75" hidden="1" customHeight="1">
      <c r="H154" s="81"/>
      <c r="N154" s="85"/>
      <c r="O154" s="85"/>
      <c r="P154" s="86"/>
      <c r="V154" s="31"/>
      <c r="W154" s="31"/>
      <c r="X154" s="31"/>
      <c r="AD154" s="31"/>
      <c r="AE154" s="31"/>
      <c r="AF154" s="31"/>
    </row>
    <row r="155" ht="15.75" hidden="1" customHeight="1">
      <c r="H155" s="81"/>
      <c r="N155" s="85"/>
      <c r="O155" s="85"/>
      <c r="P155" s="86"/>
      <c r="V155" s="31"/>
      <c r="W155" s="31"/>
      <c r="X155" s="31"/>
      <c r="AD155" s="31"/>
      <c r="AE155" s="31"/>
      <c r="AF155" s="31"/>
    </row>
    <row r="156" ht="15.75" hidden="1" customHeight="1">
      <c r="H156" s="81"/>
      <c r="N156" s="85"/>
      <c r="O156" s="85"/>
      <c r="P156" s="86"/>
      <c r="V156" s="31"/>
      <c r="W156" s="31"/>
      <c r="X156" s="31"/>
      <c r="AD156" s="31"/>
      <c r="AE156" s="31"/>
      <c r="AF156" s="31"/>
    </row>
    <row r="157" ht="15.75" hidden="1" customHeight="1">
      <c r="H157" s="81"/>
      <c r="N157" s="85"/>
      <c r="O157" s="85"/>
      <c r="P157" s="86"/>
      <c r="V157" s="31"/>
      <c r="W157" s="31"/>
      <c r="X157" s="31"/>
      <c r="AD157" s="31"/>
      <c r="AE157" s="31"/>
      <c r="AF157" s="31"/>
    </row>
    <row r="158" ht="15.75" hidden="1" customHeight="1">
      <c r="H158" s="81"/>
      <c r="N158" s="85"/>
      <c r="O158" s="85"/>
      <c r="P158" s="86"/>
      <c r="V158" s="31"/>
      <c r="W158" s="31"/>
      <c r="X158" s="31"/>
      <c r="AD158" s="31"/>
      <c r="AE158" s="31"/>
      <c r="AF158" s="31"/>
    </row>
    <row r="159" ht="15.75" hidden="1" customHeight="1">
      <c r="H159" s="81"/>
      <c r="N159" s="85"/>
      <c r="O159" s="85"/>
      <c r="P159" s="86"/>
      <c r="V159" s="31"/>
      <c r="W159" s="31"/>
      <c r="X159" s="31"/>
      <c r="AD159" s="31"/>
      <c r="AE159" s="31"/>
      <c r="AF159" s="31"/>
    </row>
    <row r="160" ht="15.75" hidden="1" customHeight="1">
      <c r="H160" s="81"/>
      <c r="N160" s="85"/>
      <c r="O160" s="85"/>
      <c r="P160" s="86"/>
      <c r="V160" s="31"/>
      <c r="W160" s="31"/>
      <c r="X160" s="31"/>
      <c r="AD160" s="31"/>
      <c r="AE160" s="31"/>
      <c r="AF160" s="31"/>
    </row>
    <row r="161" ht="15.75" hidden="1" customHeight="1">
      <c r="H161" s="81"/>
      <c r="N161" s="85"/>
      <c r="O161" s="85"/>
      <c r="P161" s="86"/>
      <c r="V161" s="31"/>
      <c r="W161" s="31"/>
      <c r="X161" s="31"/>
      <c r="AD161" s="31"/>
      <c r="AE161" s="31"/>
      <c r="AF161" s="31"/>
    </row>
    <row r="162" ht="15.75" hidden="1" customHeight="1">
      <c r="H162" s="81"/>
      <c r="N162" s="85"/>
      <c r="O162" s="85"/>
      <c r="P162" s="86"/>
      <c r="V162" s="31"/>
      <c r="W162" s="31"/>
      <c r="X162" s="31"/>
      <c r="AD162" s="31"/>
      <c r="AE162" s="31"/>
      <c r="AF162" s="31"/>
    </row>
    <row r="163" ht="15.75" hidden="1" customHeight="1">
      <c r="H163" s="81"/>
      <c r="N163" s="85"/>
      <c r="O163" s="85"/>
      <c r="P163" s="86"/>
      <c r="V163" s="31"/>
      <c r="W163" s="31"/>
      <c r="X163" s="31"/>
      <c r="AD163" s="31"/>
      <c r="AE163" s="31"/>
      <c r="AF163" s="31"/>
    </row>
    <row r="164" ht="15.75" hidden="1" customHeight="1">
      <c r="H164" s="81"/>
      <c r="N164" s="85"/>
      <c r="O164" s="85"/>
      <c r="P164" s="86"/>
      <c r="V164" s="31"/>
      <c r="W164" s="31"/>
      <c r="X164" s="31"/>
      <c r="AD164" s="31"/>
      <c r="AE164" s="31"/>
      <c r="AF164" s="31"/>
    </row>
    <row r="165" ht="15.75" hidden="1" customHeight="1">
      <c r="H165" s="81"/>
      <c r="N165" s="85"/>
      <c r="O165" s="85"/>
      <c r="P165" s="86"/>
      <c r="V165" s="31"/>
      <c r="W165" s="31"/>
      <c r="X165" s="31"/>
      <c r="AD165" s="31"/>
      <c r="AE165" s="31"/>
      <c r="AF165" s="31"/>
    </row>
    <row r="166" ht="15.75" hidden="1" customHeight="1">
      <c r="H166" s="81"/>
      <c r="N166" s="85"/>
      <c r="O166" s="85"/>
      <c r="P166" s="86"/>
      <c r="V166" s="31"/>
      <c r="W166" s="31"/>
      <c r="X166" s="31"/>
      <c r="AD166" s="31"/>
      <c r="AE166" s="31"/>
      <c r="AF166" s="31"/>
    </row>
    <row r="167" ht="15.75" hidden="1" customHeight="1">
      <c r="H167" s="81"/>
      <c r="N167" s="85"/>
      <c r="O167" s="85"/>
      <c r="P167" s="86"/>
      <c r="V167" s="31"/>
      <c r="W167" s="31"/>
      <c r="X167" s="31"/>
      <c r="AD167" s="31"/>
      <c r="AE167" s="31"/>
      <c r="AF167" s="31"/>
    </row>
    <row r="168" ht="15.75" hidden="1" customHeight="1">
      <c r="H168" s="81"/>
      <c r="N168" s="85"/>
      <c r="O168" s="85"/>
      <c r="P168" s="86"/>
      <c r="V168" s="31"/>
      <c r="W168" s="31"/>
      <c r="X168" s="31"/>
      <c r="AD168" s="31"/>
      <c r="AE168" s="31"/>
      <c r="AF168" s="31"/>
    </row>
    <row r="169" ht="15.75" hidden="1" customHeight="1">
      <c r="H169" s="81"/>
      <c r="N169" s="85"/>
      <c r="O169" s="85"/>
      <c r="P169" s="86"/>
      <c r="V169" s="31"/>
      <c r="W169" s="31"/>
      <c r="X169" s="31"/>
      <c r="AD169" s="31"/>
      <c r="AE169" s="31"/>
      <c r="AF169" s="31"/>
    </row>
    <row r="170" ht="15.75" hidden="1" customHeight="1">
      <c r="H170" s="81"/>
      <c r="N170" s="85"/>
      <c r="O170" s="85"/>
      <c r="P170" s="86"/>
      <c r="V170" s="31"/>
      <c r="W170" s="31"/>
      <c r="X170" s="31"/>
      <c r="AD170" s="31"/>
      <c r="AE170" s="31"/>
      <c r="AF170" s="31"/>
    </row>
    <row r="171" ht="15.75" hidden="1" customHeight="1">
      <c r="H171" s="81"/>
      <c r="N171" s="85"/>
      <c r="O171" s="85"/>
      <c r="P171" s="86"/>
      <c r="V171" s="31"/>
      <c r="W171" s="31"/>
      <c r="X171" s="31"/>
      <c r="AD171" s="31"/>
      <c r="AE171" s="31"/>
      <c r="AF171" s="31"/>
    </row>
    <row r="172" ht="15.75" hidden="1" customHeight="1">
      <c r="H172" s="81"/>
      <c r="N172" s="85"/>
      <c r="O172" s="85"/>
      <c r="P172" s="86"/>
      <c r="V172" s="31"/>
      <c r="W172" s="31"/>
      <c r="X172" s="31"/>
      <c r="AD172" s="31"/>
      <c r="AE172" s="31"/>
      <c r="AF172" s="31"/>
    </row>
    <row r="173" ht="15.75" hidden="1" customHeight="1">
      <c r="H173" s="81"/>
      <c r="N173" s="85"/>
      <c r="O173" s="85"/>
      <c r="P173" s="86"/>
      <c r="V173" s="31"/>
      <c r="W173" s="31"/>
      <c r="X173" s="31"/>
      <c r="AD173" s="31"/>
      <c r="AE173" s="31"/>
      <c r="AF173" s="31"/>
    </row>
    <row r="174" ht="15.75" hidden="1" customHeight="1">
      <c r="H174" s="81"/>
      <c r="N174" s="85"/>
      <c r="O174" s="85"/>
      <c r="P174" s="86"/>
      <c r="V174" s="31"/>
      <c r="W174" s="31"/>
      <c r="X174" s="31"/>
      <c r="AD174" s="31"/>
      <c r="AE174" s="31"/>
      <c r="AF174" s="31"/>
    </row>
    <row r="175" ht="15.75" hidden="1" customHeight="1">
      <c r="H175" s="81"/>
      <c r="N175" s="85"/>
      <c r="O175" s="85"/>
      <c r="P175" s="86"/>
      <c r="V175" s="31"/>
      <c r="W175" s="31"/>
      <c r="X175" s="31"/>
      <c r="AD175" s="31"/>
      <c r="AE175" s="31"/>
      <c r="AF175" s="31"/>
    </row>
    <row r="176" ht="15.75" hidden="1" customHeight="1">
      <c r="H176" s="81"/>
      <c r="N176" s="85"/>
      <c r="O176" s="85"/>
      <c r="P176" s="86"/>
      <c r="V176" s="31"/>
      <c r="W176" s="31"/>
      <c r="X176" s="31"/>
      <c r="AD176" s="31"/>
      <c r="AE176" s="31"/>
      <c r="AF176" s="31"/>
    </row>
    <row r="177" ht="15.75" hidden="1" customHeight="1">
      <c r="H177" s="81"/>
      <c r="N177" s="85"/>
      <c r="O177" s="85"/>
      <c r="P177" s="86"/>
      <c r="V177" s="31"/>
      <c r="W177" s="31"/>
      <c r="X177" s="31"/>
      <c r="AD177" s="31"/>
      <c r="AE177" s="31"/>
      <c r="AF177" s="31"/>
    </row>
    <row r="178" ht="15.75" hidden="1" customHeight="1">
      <c r="H178" s="81"/>
      <c r="N178" s="85"/>
      <c r="O178" s="85"/>
      <c r="P178" s="86"/>
      <c r="V178" s="31"/>
      <c r="W178" s="31"/>
      <c r="X178" s="31"/>
      <c r="AD178" s="31"/>
      <c r="AE178" s="31"/>
      <c r="AF178" s="31"/>
    </row>
    <row r="179" ht="15.75" hidden="1" customHeight="1">
      <c r="H179" s="81"/>
      <c r="N179" s="85"/>
      <c r="O179" s="85"/>
      <c r="P179" s="86"/>
      <c r="V179" s="31"/>
      <c r="W179" s="31"/>
      <c r="X179" s="31"/>
      <c r="AD179" s="31"/>
      <c r="AE179" s="31"/>
      <c r="AF179" s="31"/>
    </row>
    <row r="180" ht="15.75" hidden="1" customHeight="1">
      <c r="H180" s="81"/>
      <c r="N180" s="85"/>
      <c r="O180" s="85"/>
      <c r="P180" s="86"/>
      <c r="V180" s="31"/>
      <c r="W180" s="31"/>
      <c r="X180" s="31"/>
      <c r="AD180" s="31"/>
      <c r="AE180" s="31"/>
      <c r="AF180" s="31"/>
    </row>
    <row r="181" ht="15.75" hidden="1" customHeight="1">
      <c r="H181" s="81"/>
      <c r="N181" s="85"/>
      <c r="O181" s="85"/>
      <c r="P181" s="86"/>
      <c r="V181" s="31"/>
      <c r="W181" s="31"/>
      <c r="X181" s="31"/>
      <c r="AD181" s="31"/>
      <c r="AE181" s="31"/>
      <c r="AF181" s="31"/>
    </row>
    <row r="182" ht="15.75" hidden="1" customHeight="1">
      <c r="H182" s="81"/>
      <c r="N182" s="85"/>
      <c r="O182" s="85"/>
      <c r="P182" s="86"/>
      <c r="V182" s="31"/>
      <c r="W182" s="31"/>
      <c r="X182" s="31"/>
      <c r="AD182" s="31"/>
      <c r="AE182" s="31"/>
      <c r="AF182" s="31"/>
    </row>
    <row r="183" ht="15.75" hidden="1" customHeight="1">
      <c r="H183" s="81"/>
      <c r="N183" s="85"/>
      <c r="O183" s="85"/>
      <c r="P183" s="86"/>
      <c r="V183" s="31"/>
      <c r="W183" s="31"/>
      <c r="X183" s="31"/>
      <c r="AD183" s="31"/>
      <c r="AE183" s="31"/>
      <c r="AF183" s="31"/>
    </row>
    <row r="184" ht="15.75" hidden="1" customHeight="1">
      <c r="H184" s="81"/>
      <c r="N184" s="85"/>
      <c r="O184" s="85"/>
      <c r="P184" s="86"/>
      <c r="V184" s="31"/>
      <c r="W184" s="31"/>
      <c r="X184" s="31"/>
      <c r="AD184" s="31"/>
      <c r="AE184" s="31"/>
      <c r="AF184" s="31"/>
    </row>
    <row r="185" ht="15.75" hidden="1" customHeight="1">
      <c r="H185" s="81"/>
      <c r="N185" s="85"/>
      <c r="O185" s="85"/>
      <c r="P185" s="86"/>
      <c r="V185" s="31"/>
      <c r="W185" s="31"/>
      <c r="X185" s="31"/>
      <c r="AD185" s="31"/>
      <c r="AE185" s="31"/>
      <c r="AF185" s="31"/>
    </row>
    <row r="186" ht="15.75" hidden="1" customHeight="1">
      <c r="H186" s="81"/>
      <c r="N186" s="85"/>
      <c r="O186" s="85"/>
      <c r="P186" s="86"/>
      <c r="V186" s="31"/>
      <c r="W186" s="31"/>
      <c r="X186" s="31"/>
      <c r="AD186" s="31"/>
      <c r="AE186" s="31"/>
      <c r="AF186" s="31"/>
    </row>
    <row r="187" ht="15.75" hidden="1" customHeight="1">
      <c r="H187" s="81"/>
      <c r="N187" s="85"/>
      <c r="O187" s="85"/>
      <c r="P187" s="86"/>
      <c r="V187" s="31"/>
      <c r="W187" s="31"/>
      <c r="X187" s="31"/>
      <c r="AD187" s="31"/>
      <c r="AE187" s="31"/>
      <c r="AF187" s="31"/>
    </row>
    <row r="188" ht="15.75" hidden="1" customHeight="1">
      <c r="H188" s="81"/>
      <c r="N188" s="85"/>
      <c r="O188" s="85"/>
      <c r="P188" s="86"/>
      <c r="V188" s="31"/>
      <c r="W188" s="31"/>
      <c r="X188" s="31"/>
      <c r="AD188" s="31"/>
      <c r="AE188" s="31"/>
      <c r="AF188" s="31"/>
    </row>
    <row r="189" ht="15.75" hidden="1" customHeight="1">
      <c r="H189" s="81"/>
      <c r="N189" s="85"/>
      <c r="O189" s="85"/>
      <c r="P189" s="86"/>
      <c r="V189" s="31"/>
      <c r="W189" s="31"/>
      <c r="X189" s="31"/>
      <c r="AD189" s="31"/>
      <c r="AE189" s="31"/>
      <c r="AF189" s="31"/>
    </row>
    <row r="190" ht="15.75" hidden="1" customHeight="1">
      <c r="H190" s="81"/>
      <c r="N190" s="85"/>
      <c r="O190" s="85"/>
      <c r="P190" s="86"/>
      <c r="V190" s="31"/>
      <c r="W190" s="31"/>
      <c r="X190" s="31"/>
      <c r="AD190" s="31"/>
      <c r="AE190" s="31"/>
      <c r="AF190" s="31"/>
    </row>
    <row r="191" ht="15.75" hidden="1" customHeight="1">
      <c r="H191" s="81"/>
      <c r="N191" s="85"/>
      <c r="O191" s="85"/>
      <c r="P191" s="86"/>
      <c r="V191" s="31"/>
      <c r="W191" s="31"/>
      <c r="X191" s="31"/>
      <c r="AD191" s="31"/>
      <c r="AE191" s="31"/>
      <c r="AF191" s="31"/>
    </row>
    <row r="192" ht="15.75" hidden="1" customHeight="1">
      <c r="H192" s="81"/>
      <c r="N192" s="85"/>
      <c r="O192" s="85"/>
      <c r="P192" s="86"/>
      <c r="V192" s="31"/>
      <c r="W192" s="31"/>
      <c r="X192" s="31"/>
      <c r="AD192" s="31"/>
      <c r="AE192" s="31"/>
      <c r="AF192" s="31"/>
    </row>
    <row r="193" ht="15.75" hidden="1" customHeight="1">
      <c r="H193" s="81"/>
      <c r="N193" s="85"/>
      <c r="O193" s="85"/>
      <c r="P193" s="86"/>
      <c r="V193" s="31"/>
      <c r="W193" s="31"/>
      <c r="X193" s="31"/>
      <c r="AD193" s="31"/>
      <c r="AE193" s="31"/>
      <c r="AF193" s="31"/>
    </row>
    <row r="194" ht="15.75" hidden="1" customHeight="1">
      <c r="H194" s="81"/>
      <c r="N194" s="85"/>
      <c r="O194" s="85"/>
      <c r="P194" s="86"/>
      <c r="V194" s="31"/>
      <c r="W194" s="31"/>
      <c r="X194" s="31"/>
      <c r="AD194" s="31"/>
      <c r="AE194" s="31"/>
      <c r="AF194" s="31"/>
    </row>
    <row r="195" ht="15.75" hidden="1" customHeight="1">
      <c r="H195" s="81"/>
      <c r="N195" s="85"/>
      <c r="O195" s="85"/>
      <c r="P195" s="86"/>
      <c r="V195" s="31"/>
      <c r="W195" s="31"/>
      <c r="X195" s="31"/>
      <c r="AD195" s="31"/>
      <c r="AE195" s="31"/>
      <c r="AF195" s="31"/>
    </row>
    <row r="196" ht="15.75" hidden="1" customHeight="1">
      <c r="H196" s="81"/>
      <c r="N196" s="85"/>
      <c r="O196" s="85"/>
      <c r="P196" s="86"/>
      <c r="V196" s="31"/>
      <c r="W196" s="31"/>
      <c r="X196" s="31"/>
      <c r="AD196" s="31"/>
      <c r="AE196" s="31"/>
      <c r="AF196" s="31"/>
    </row>
    <row r="197" ht="15.75" hidden="1" customHeight="1">
      <c r="H197" s="81"/>
      <c r="N197" s="85"/>
      <c r="O197" s="85"/>
      <c r="P197" s="86"/>
      <c r="V197" s="31"/>
      <c r="W197" s="31"/>
      <c r="X197" s="31"/>
      <c r="AD197" s="31"/>
      <c r="AE197" s="31"/>
      <c r="AF197" s="31"/>
    </row>
    <row r="198" ht="15.75" hidden="1" customHeight="1">
      <c r="H198" s="81"/>
      <c r="N198" s="85"/>
      <c r="O198" s="85"/>
      <c r="P198" s="86"/>
      <c r="V198" s="31"/>
      <c r="W198" s="31"/>
      <c r="X198" s="31"/>
      <c r="AD198" s="31"/>
      <c r="AE198" s="31"/>
      <c r="AF198" s="31"/>
    </row>
    <row r="199" ht="15.75" hidden="1" customHeight="1">
      <c r="H199" s="81"/>
      <c r="N199" s="85"/>
      <c r="O199" s="85"/>
      <c r="P199" s="86"/>
      <c r="V199" s="31"/>
      <c r="W199" s="31"/>
      <c r="X199" s="31"/>
      <c r="AD199" s="31"/>
      <c r="AE199" s="31"/>
      <c r="AF199" s="31"/>
    </row>
    <row r="200" ht="15.75" hidden="1" customHeight="1">
      <c r="H200" s="81"/>
      <c r="N200" s="85"/>
      <c r="O200" s="85"/>
      <c r="P200" s="86"/>
      <c r="V200" s="31"/>
      <c r="W200" s="31"/>
      <c r="X200" s="31"/>
      <c r="AD200" s="31"/>
      <c r="AE200" s="31"/>
      <c r="AF200" s="31"/>
    </row>
    <row r="201" ht="15.75" hidden="1" customHeight="1">
      <c r="H201" s="81"/>
      <c r="N201" s="85"/>
      <c r="O201" s="85"/>
      <c r="P201" s="86"/>
      <c r="V201" s="31"/>
      <c r="W201" s="31"/>
      <c r="X201" s="31"/>
      <c r="AD201" s="31"/>
      <c r="AE201" s="31"/>
      <c r="AF201" s="31"/>
    </row>
    <row r="202" ht="15.75" hidden="1" customHeight="1">
      <c r="H202" s="81"/>
      <c r="N202" s="85"/>
      <c r="O202" s="85"/>
      <c r="P202" s="86"/>
      <c r="V202" s="31"/>
      <c r="W202" s="31"/>
      <c r="X202" s="31"/>
      <c r="AD202" s="31"/>
      <c r="AE202" s="31"/>
      <c r="AF202" s="31"/>
    </row>
    <row r="203" ht="15.75" hidden="1" customHeight="1">
      <c r="H203" s="81"/>
      <c r="N203" s="85"/>
      <c r="O203" s="85"/>
      <c r="P203" s="86"/>
      <c r="V203" s="31"/>
      <c r="W203" s="31"/>
      <c r="X203" s="31"/>
      <c r="AD203" s="31"/>
      <c r="AE203" s="31"/>
      <c r="AF203" s="31"/>
    </row>
    <row r="204" ht="15.75" hidden="1" customHeight="1">
      <c r="H204" s="81"/>
      <c r="N204" s="85"/>
      <c r="O204" s="85"/>
      <c r="P204" s="86"/>
      <c r="V204" s="31"/>
      <c r="W204" s="31"/>
      <c r="X204" s="31"/>
      <c r="AD204" s="31"/>
      <c r="AE204" s="31"/>
      <c r="AF204" s="31"/>
    </row>
    <row r="205" ht="15.75" hidden="1" customHeight="1">
      <c r="H205" s="81"/>
      <c r="N205" s="85"/>
      <c r="O205" s="85"/>
      <c r="P205" s="86"/>
      <c r="V205" s="31"/>
      <c r="W205" s="31"/>
      <c r="X205" s="31"/>
      <c r="AD205" s="31"/>
      <c r="AE205" s="31"/>
      <c r="AF205" s="31"/>
    </row>
    <row r="206" ht="15.75" hidden="1" customHeight="1">
      <c r="H206" s="81"/>
      <c r="N206" s="85"/>
      <c r="O206" s="85"/>
      <c r="P206" s="86"/>
      <c r="V206" s="31"/>
      <c r="W206" s="31"/>
      <c r="X206" s="31"/>
      <c r="AD206" s="31"/>
      <c r="AE206" s="31"/>
      <c r="AF206" s="31"/>
    </row>
    <row r="207" ht="15.75" hidden="1" customHeight="1">
      <c r="H207" s="81"/>
      <c r="N207" s="85"/>
      <c r="O207" s="85"/>
      <c r="P207" s="86"/>
      <c r="V207" s="31"/>
      <c r="W207" s="31"/>
      <c r="X207" s="31"/>
      <c r="AD207" s="31"/>
      <c r="AE207" s="31"/>
      <c r="AF207" s="31"/>
    </row>
    <row r="208" ht="15.75" hidden="1" customHeight="1">
      <c r="H208" s="81"/>
      <c r="N208" s="85"/>
      <c r="O208" s="85"/>
      <c r="P208" s="86"/>
      <c r="V208" s="31"/>
      <c r="W208" s="31"/>
      <c r="X208" s="31"/>
      <c r="AD208" s="31"/>
      <c r="AE208" s="31"/>
      <c r="AF208" s="31"/>
    </row>
    <row r="209" ht="15.75" hidden="1" customHeight="1">
      <c r="H209" s="81"/>
      <c r="N209" s="85"/>
      <c r="O209" s="85"/>
      <c r="P209" s="86"/>
      <c r="V209" s="31"/>
      <c r="W209" s="31"/>
      <c r="X209" s="31"/>
      <c r="AD209" s="31"/>
      <c r="AE209" s="31"/>
      <c r="AF209" s="31"/>
    </row>
    <row r="210" ht="15.75" hidden="1" customHeight="1">
      <c r="H210" s="81"/>
      <c r="N210" s="85"/>
      <c r="O210" s="85"/>
      <c r="P210" s="86"/>
      <c r="V210" s="31"/>
      <c r="W210" s="31"/>
      <c r="X210" s="31"/>
      <c r="AD210" s="31"/>
      <c r="AE210" s="31"/>
      <c r="AF210" s="31"/>
    </row>
    <row r="211" ht="15.75" hidden="1" customHeight="1">
      <c r="H211" s="81"/>
      <c r="N211" s="85"/>
      <c r="O211" s="85"/>
      <c r="P211" s="86"/>
      <c r="V211" s="31"/>
      <c r="W211" s="31"/>
      <c r="X211" s="31"/>
      <c r="AD211" s="31"/>
      <c r="AE211" s="31"/>
      <c r="AF211" s="31"/>
    </row>
    <row r="212" ht="15.75" hidden="1" customHeight="1">
      <c r="H212" s="81"/>
      <c r="N212" s="85"/>
      <c r="O212" s="85"/>
      <c r="P212" s="86"/>
      <c r="V212" s="31"/>
      <c r="W212" s="31"/>
      <c r="X212" s="31"/>
      <c r="AD212" s="31"/>
      <c r="AE212" s="31"/>
      <c r="AF212" s="31"/>
    </row>
    <row r="213" ht="15.75" hidden="1" customHeight="1">
      <c r="H213" s="81"/>
      <c r="N213" s="85"/>
      <c r="O213" s="85"/>
      <c r="P213" s="86"/>
      <c r="V213" s="31"/>
      <c r="W213" s="31"/>
      <c r="X213" s="31"/>
      <c r="AD213" s="31"/>
      <c r="AE213" s="31"/>
      <c r="AF213" s="31"/>
    </row>
    <row r="214" ht="15.75" hidden="1" customHeight="1">
      <c r="H214" s="81"/>
      <c r="N214" s="85"/>
      <c r="O214" s="85"/>
      <c r="P214" s="86"/>
      <c r="V214" s="31"/>
      <c r="W214" s="31"/>
      <c r="X214" s="31"/>
      <c r="AD214" s="31"/>
      <c r="AE214" s="31"/>
      <c r="AF214" s="31"/>
    </row>
    <row r="215" ht="15.75" hidden="1" customHeight="1">
      <c r="H215" s="81"/>
      <c r="N215" s="85"/>
      <c r="O215" s="85"/>
      <c r="P215" s="86"/>
      <c r="V215" s="31"/>
      <c r="W215" s="31"/>
      <c r="X215" s="31"/>
      <c r="AD215" s="31"/>
      <c r="AE215" s="31"/>
      <c r="AF215" s="31"/>
    </row>
    <row r="216" ht="15.75" hidden="1" customHeight="1">
      <c r="H216" s="81"/>
      <c r="N216" s="85"/>
      <c r="O216" s="85"/>
      <c r="P216" s="86"/>
      <c r="V216" s="31"/>
      <c r="W216" s="31"/>
      <c r="X216" s="31"/>
      <c r="AD216" s="31"/>
      <c r="AE216" s="31"/>
      <c r="AF216" s="31"/>
    </row>
    <row r="217" ht="15.75" hidden="1" customHeight="1">
      <c r="H217" s="81"/>
      <c r="N217" s="85"/>
      <c r="O217" s="85"/>
      <c r="P217" s="86"/>
      <c r="V217" s="31"/>
      <c r="W217" s="31"/>
      <c r="X217" s="31"/>
      <c r="AD217" s="31"/>
      <c r="AE217" s="31"/>
      <c r="AF217" s="31"/>
    </row>
    <row r="218" ht="15.75" hidden="1" customHeight="1">
      <c r="H218" s="81"/>
      <c r="N218" s="85"/>
      <c r="O218" s="85"/>
      <c r="P218" s="86"/>
      <c r="V218" s="31"/>
      <c r="W218" s="31"/>
      <c r="X218" s="31"/>
      <c r="AD218" s="31"/>
      <c r="AE218" s="31"/>
      <c r="AF218" s="31"/>
    </row>
    <row r="219" ht="15.75" hidden="1" customHeight="1">
      <c r="H219" s="81"/>
      <c r="N219" s="85"/>
      <c r="O219" s="85"/>
      <c r="P219" s="86"/>
      <c r="V219" s="31"/>
      <c r="W219" s="31"/>
      <c r="X219" s="31"/>
      <c r="AD219" s="31"/>
      <c r="AE219" s="31"/>
      <c r="AF219" s="31"/>
    </row>
    <row r="220" ht="15.75" hidden="1" customHeight="1">
      <c r="H220" s="81"/>
      <c r="N220" s="85"/>
      <c r="O220" s="85"/>
      <c r="P220" s="86"/>
      <c r="V220" s="31"/>
      <c r="W220" s="31"/>
      <c r="X220" s="31"/>
      <c r="AD220" s="31"/>
      <c r="AE220" s="31"/>
      <c r="AF220" s="31"/>
    </row>
    <row r="221" ht="15.75" hidden="1" customHeight="1">
      <c r="H221" s="81"/>
      <c r="N221" s="85"/>
      <c r="O221" s="85"/>
      <c r="P221" s="86"/>
      <c r="V221" s="31"/>
      <c r="W221" s="31"/>
      <c r="X221" s="31"/>
      <c r="AD221" s="31"/>
      <c r="AE221" s="31"/>
      <c r="AF221" s="31"/>
    </row>
    <row r="222" ht="15.75" hidden="1" customHeight="1">
      <c r="H222" s="81"/>
      <c r="N222" s="85"/>
      <c r="O222" s="85"/>
      <c r="P222" s="86"/>
      <c r="V222" s="31"/>
      <c r="W222" s="31"/>
      <c r="X222" s="31"/>
      <c r="AD222" s="31"/>
      <c r="AE222" s="31"/>
      <c r="AF222" s="31"/>
    </row>
    <row r="223" ht="15.75" hidden="1" customHeight="1">
      <c r="H223" s="81"/>
      <c r="N223" s="85"/>
      <c r="O223" s="85"/>
      <c r="P223" s="86"/>
      <c r="V223" s="31"/>
      <c r="W223" s="31"/>
      <c r="X223" s="31"/>
      <c r="AD223" s="31"/>
      <c r="AE223" s="31"/>
      <c r="AF223" s="31"/>
    </row>
    <row r="224" ht="15.75" hidden="1" customHeight="1">
      <c r="H224" s="81"/>
      <c r="N224" s="85"/>
      <c r="O224" s="85"/>
      <c r="P224" s="86"/>
      <c r="V224" s="31"/>
      <c r="W224" s="31"/>
      <c r="X224" s="31"/>
      <c r="AD224" s="31"/>
      <c r="AE224" s="31"/>
      <c r="AF224" s="31"/>
    </row>
    <row r="225" ht="15.75" hidden="1" customHeight="1">
      <c r="H225" s="81"/>
      <c r="N225" s="85"/>
      <c r="O225" s="85"/>
      <c r="P225" s="86"/>
      <c r="V225" s="31"/>
      <c r="W225" s="31"/>
      <c r="X225" s="31"/>
      <c r="AD225" s="31"/>
      <c r="AE225" s="31"/>
      <c r="AF225" s="31"/>
    </row>
    <row r="226" ht="15.75" hidden="1" customHeight="1">
      <c r="H226" s="81"/>
      <c r="N226" s="85"/>
      <c r="O226" s="85"/>
      <c r="P226" s="86"/>
      <c r="V226" s="31"/>
      <c r="W226" s="31"/>
      <c r="X226" s="31"/>
      <c r="AD226" s="31"/>
      <c r="AE226" s="31"/>
      <c r="AF226" s="31"/>
    </row>
    <row r="227" ht="15.75" hidden="1" customHeight="1">
      <c r="H227" s="81"/>
      <c r="N227" s="85"/>
      <c r="O227" s="85"/>
      <c r="P227" s="86"/>
      <c r="V227" s="31"/>
      <c r="W227" s="31"/>
      <c r="X227" s="31"/>
      <c r="AD227" s="31"/>
      <c r="AE227" s="31"/>
      <c r="AF227" s="31"/>
    </row>
    <row r="228" ht="15.75" hidden="1" customHeight="1">
      <c r="H228" s="81"/>
      <c r="N228" s="85"/>
      <c r="O228" s="85"/>
      <c r="P228" s="86"/>
      <c r="V228" s="31"/>
      <c r="W228" s="31"/>
      <c r="X228" s="31"/>
      <c r="AD228" s="31"/>
      <c r="AE228" s="31"/>
      <c r="AF228" s="31"/>
    </row>
    <row r="229" ht="15.75" hidden="1" customHeight="1">
      <c r="H229" s="81"/>
      <c r="N229" s="85"/>
      <c r="O229" s="85"/>
      <c r="P229" s="86"/>
      <c r="V229" s="31"/>
      <c r="W229" s="31"/>
      <c r="X229" s="31"/>
      <c r="AD229" s="31"/>
      <c r="AE229" s="31"/>
      <c r="AF229" s="31"/>
    </row>
    <row r="230" ht="15.75" hidden="1" customHeight="1">
      <c r="H230" s="81"/>
      <c r="N230" s="85"/>
      <c r="O230" s="85"/>
      <c r="P230" s="86"/>
      <c r="V230" s="31"/>
      <c r="W230" s="31"/>
      <c r="X230" s="31"/>
      <c r="AD230" s="31"/>
      <c r="AE230" s="31"/>
      <c r="AF230" s="31"/>
    </row>
    <row r="231" ht="15.75" hidden="1" customHeight="1">
      <c r="H231" s="81"/>
      <c r="N231" s="85"/>
      <c r="O231" s="85"/>
      <c r="P231" s="86"/>
      <c r="V231" s="31"/>
      <c r="W231" s="31"/>
      <c r="X231" s="31"/>
      <c r="AD231" s="31"/>
      <c r="AE231" s="31"/>
      <c r="AF231" s="31"/>
    </row>
    <row r="232" ht="15.75" hidden="1" customHeight="1">
      <c r="H232" s="81"/>
      <c r="N232" s="85"/>
      <c r="O232" s="85"/>
      <c r="P232" s="86"/>
      <c r="V232" s="31"/>
      <c r="W232" s="31"/>
      <c r="X232" s="31"/>
      <c r="AD232" s="31"/>
      <c r="AE232" s="31"/>
      <c r="AF232" s="31"/>
    </row>
    <row r="233" ht="15.75" hidden="1" customHeight="1">
      <c r="H233" s="81"/>
      <c r="N233" s="85"/>
      <c r="O233" s="85"/>
      <c r="P233" s="86"/>
      <c r="V233" s="31"/>
      <c r="W233" s="31"/>
      <c r="X233" s="31"/>
      <c r="AD233" s="31"/>
      <c r="AE233" s="31"/>
      <c r="AF233" s="31"/>
    </row>
    <row r="234" ht="15.75" hidden="1" customHeight="1">
      <c r="H234" s="81"/>
      <c r="N234" s="85"/>
      <c r="O234" s="85"/>
      <c r="P234" s="86"/>
      <c r="V234" s="31"/>
      <c r="W234" s="31"/>
      <c r="X234" s="31"/>
      <c r="AD234" s="31"/>
      <c r="AE234" s="31"/>
      <c r="AF234" s="31"/>
    </row>
    <row r="235" ht="15.75" hidden="1" customHeight="1">
      <c r="H235" s="81"/>
      <c r="N235" s="85"/>
      <c r="O235" s="85"/>
      <c r="P235" s="86"/>
      <c r="V235" s="31"/>
      <c r="W235" s="31"/>
      <c r="X235" s="31"/>
      <c r="AD235" s="31"/>
      <c r="AE235" s="31"/>
      <c r="AF235" s="31"/>
    </row>
    <row r="236" ht="15.75" hidden="1" customHeight="1">
      <c r="H236" s="81"/>
      <c r="N236" s="85"/>
      <c r="O236" s="85"/>
      <c r="P236" s="86"/>
      <c r="V236" s="31"/>
      <c r="W236" s="31"/>
      <c r="X236" s="31"/>
      <c r="AD236" s="31"/>
      <c r="AE236" s="31"/>
      <c r="AF236" s="31"/>
    </row>
    <row r="237" ht="15.75" hidden="1" customHeight="1">
      <c r="H237" s="81"/>
      <c r="N237" s="85"/>
      <c r="O237" s="85"/>
      <c r="P237" s="86"/>
      <c r="V237" s="31"/>
      <c r="W237" s="31"/>
      <c r="X237" s="31"/>
      <c r="AD237" s="31"/>
      <c r="AE237" s="31"/>
      <c r="AF237" s="31"/>
    </row>
    <row r="238" ht="15.75" hidden="1" customHeight="1">
      <c r="H238" s="81"/>
      <c r="N238" s="85"/>
      <c r="O238" s="85"/>
      <c r="P238" s="86"/>
      <c r="V238" s="31"/>
      <c r="W238" s="31"/>
      <c r="X238" s="31"/>
      <c r="AD238" s="31"/>
      <c r="AE238" s="31"/>
      <c r="AF238" s="31"/>
    </row>
    <row r="239" ht="15.75" hidden="1" customHeight="1">
      <c r="H239" s="81"/>
      <c r="N239" s="85"/>
      <c r="O239" s="85"/>
      <c r="P239" s="86"/>
      <c r="V239" s="31"/>
      <c r="W239" s="31"/>
      <c r="X239" s="31"/>
      <c r="AD239" s="31"/>
      <c r="AE239" s="31"/>
      <c r="AF239" s="31"/>
    </row>
    <row r="240" ht="15.75" hidden="1" customHeight="1">
      <c r="H240" s="81"/>
      <c r="N240" s="85"/>
      <c r="O240" s="85"/>
      <c r="P240" s="86"/>
      <c r="V240" s="31"/>
      <c r="W240" s="31"/>
      <c r="X240" s="31"/>
      <c r="AD240" s="31"/>
      <c r="AE240" s="31"/>
      <c r="AF240" s="31"/>
    </row>
    <row r="241" ht="15.75" hidden="1" customHeight="1">
      <c r="H241" s="81"/>
      <c r="N241" s="85"/>
      <c r="O241" s="85"/>
      <c r="P241" s="86"/>
      <c r="V241" s="31"/>
      <c r="W241" s="31"/>
      <c r="X241" s="31"/>
      <c r="AD241" s="31"/>
      <c r="AE241" s="31"/>
      <c r="AF241" s="31"/>
    </row>
    <row r="242" ht="15.75" hidden="1" customHeight="1">
      <c r="H242" s="81"/>
      <c r="N242" s="85"/>
      <c r="O242" s="85"/>
      <c r="P242" s="86"/>
      <c r="V242" s="31"/>
      <c r="W242" s="31"/>
      <c r="X242" s="31"/>
      <c r="AD242" s="31"/>
      <c r="AE242" s="31"/>
      <c r="AF242" s="31"/>
    </row>
    <row r="243" ht="15.75" hidden="1" customHeight="1">
      <c r="H243" s="81"/>
      <c r="N243" s="85"/>
      <c r="O243" s="85"/>
      <c r="P243" s="86"/>
      <c r="V243" s="31"/>
      <c r="W243" s="31"/>
      <c r="X243" s="31"/>
      <c r="AD243" s="31"/>
      <c r="AE243" s="31"/>
      <c r="AF243" s="31"/>
    </row>
    <row r="244" ht="15.75" hidden="1" customHeight="1">
      <c r="H244" s="81"/>
      <c r="N244" s="85"/>
      <c r="O244" s="85"/>
      <c r="P244" s="86"/>
      <c r="V244" s="31"/>
      <c r="W244" s="31"/>
      <c r="X244" s="31"/>
      <c r="AD244" s="31"/>
      <c r="AE244" s="31"/>
      <c r="AF244" s="31"/>
    </row>
    <row r="245" ht="15.75" hidden="1" customHeight="1">
      <c r="H245" s="81"/>
      <c r="N245" s="85"/>
      <c r="O245" s="85"/>
      <c r="P245" s="86"/>
      <c r="V245" s="31"/>
      <c r="W245" s="31"/>
      <c r="X245" s="31"/>
      <c r="AD245" s="31"/>
      <c r="AE245" s="31"/>
      <c r="AF245" s="31"/>
    </row>
    <row r="246" ht="15.75" hidden="1" customHeight="1">
      <c r="H246" s="81"/>
      <c r="N246" s="85"/>
      <c r="O246" s="85"/>
      <c r="P246" s="86"/>
      <c r="V246" s="31"/>
      <c r="W246" s="31"/>
      <c r="X246" s="31"/>
      <c r="AD246" s="31"/>
      <c r="AE246" s="31"/>
      <c r="AF246" s="31"/>
    </row>
    <row r="247" ht="15.75" hidden="1" customHeight="1">
      <c r="H247" s="81"/>
      <c r="N247" s="85"/>
      <c r="O247" s="85"/>
      <c r="P247" s="86"/>
      <c r="V247" s="31"/>
      <c r="W247" s="31"/>
      <c r="X247" s="31"/>
      <c r="AD247" s="31"/>
      <c r="AE247" s="31"/>
      <c r="AF247" s="31"/>
    </row>
    <row r="248" ht="15.75" hidden="1" customHeight="1">
      <c r="H248" s="81"/>
      <c r="N248" s="85"/>
      <c r="O248" s="85"/>
      <c r="P248" s="86"/>
      <c r="V248" s="31"/>
      <c r="W248" s="31"/>
      <c r="X248" s="31"/>
      <c r="AD248" s="31"/>
      <c r="AE248" s="31"/>
      <c r="AF248" s="31"/>
    </row>
    <row r="249" ht="15.75" hidden="1" customHeight="1">
      <c r="H249" s="81"/>
      <c r="N249" s="85"/>
      <c r="O249" s="85"/>
      <c r="P249" s="86"/>
      <c r="V249" s="31"/>
      <c r="W249" s="31"/>
      <c r="X249" s="31"/>
      <c r="AD249" s="31"/>
      <c r="AE249" s="31"/>
      <c r="AF249" s="31"/>
    </row>
    <row r="250" ht="15.75" hidden="1" customHeight="1">
      <c r="H250" s="81"/>
      <c r="N250" s="85"/>
      <c r="O250" s="85"/>
      <c r="P250" s="86"/>
      <c r="V250" s="31"/>
      <c r="W250" s="31"/>
      <c r="X250" s="31"/>
      <c r="AD250" s="31"/>
      <c r="AE250" s="31"/>
      <c r="AF250" s="31"/>
    </row>
    <row r="251" ht="15.75" hidden="1" customHeight="1">
      <c r="H251" s="81"/>
      <c r="N251" s="85"/>
      <c r="O251" s="85"/>
      <c r="P251" s="86"/>
      <c r="V251" s="31"/>
      <c r="W251" s="31"/>
      <c r="X251" s="31"/>
      <c r="AD251" s="31"/>
      <c r="AE251" s="31"/>
      <c r="AF251" s="31"/>
    </row>
    <row r="252" ht="15.75" hidden="1" customHeight="1">
      <c r="H252" s="81"/>
      <c r="N252" s="85"/>
      <c r="O252" s="85"/>
      <c r="P252" s="86"/>
      <c r="V252" s="31"/>
      <c r="W252" s="31"/>
      <c r="X252" s="31"/>
      <c r="AD252" s="31"/>
      <c r="AE252" s="31"/>
      <c r="AF252" s="31"/>
    </row>
    <row r="253" ht="15.75" hidden="1" customHeight="1">
      <c r="H253" s="81"/>
      <c r="N253" s="85"/>
      <c r="O253" s="85"/>
      <c r="P253" s="86"/>
      <c r="V253" s="31"/>
      <c r="W253" s="31"/>
      <c r="X253" s="31"/>
      <c r="AD253" s="31"/>
      <c r="AE253" s="31"/>
      <c r="AF253" s="31"/>
    </row>
    <row r="254" ht="15.75" hidden="1" customHeight="1">
      <c r="H254" s="81"/>
      <c r="N254" s="85"/>
      <c r="O254" s="85"/>
      <c r="P254" s="86"/>
      <c r="V254" s="31"/>
      <c r="W254" s="31"/>
      <c r="X254" s="31"/>
      <c r="AD254" s="31"/>
      <c r="AE254" s="31"/>
      <c r="AF254" s="31"/>
    </row>
    <row r="255" ht="15.75" hidden="1" customHeight="1">
      <c r="H255" s="81"/>
      <c r="N255" s="85"/>
      <c r="O255" s="85"/>
      <c r="P255" s="86"/>
      <c r="V255" s="31"/>
      <c r="W255" s="31"/>
      <c r="X255" s="31"/>
      <c r="AD255" s="31"/>
      <c r="AE255" s="31"/>
      <c r="AF255" s="31"/>
    </row>
    <row r="256" ht="15.75" hidden="1" customHeight="1">
      <c r="H256" s="81"/>
      <c r="N256" s="85"/>
      <c r="O256" s="85"/>
      <c r="P256" s="86"/>
      <c r="V256" s="31"/>
      <c r="W256" s="31"/>
      <c r="X256" s="31"/>
      <c r="AD256" s="31"/>
      <c r="AE256" s="31"/>
      <c r="AF256" s="31"/>
    </row>
    <row r="257" ht="15.75" hidden="1" customHeight="1">
      <c r="H257" s="81"/>
      <c r="N257" s="85"/>
      <c r="O257" s="85"/>
      <c r="P257" s="86"/>
      <c r="V257" s="31"/>
      <c r="W257" s="31"/>
      <c r="X257" s="31"/>
      <c r="AD257" s="31"/>
      <c r="AE257" s="31"/>
      <c r="AF257" s="31"/>
    </row>
    <row r="258" ht="15.75" hidden="1" customHeight="1">
      <c r="H258" s="81"/>
      <c r="N258" s="85"/>
      <c r="O258" s="85"/>
      <c r="P258" s="86"/>
      <c r="V258" s="31"/>
      <c r="W258" s="31"/>
      <c r="X258" s="31"/>
      <c r="AD258" s="31"/>
      <c r="AE258" s="31"/>
      <c r="AF258" s="31"/>
    </row>
    <row r="259" ht="15.75" hidden="1" customHeight="1">
      <c r="H259" s="81"/>
      <c r="N259" s="85"/>
      <c r="O259" s="85"/>
      <c r="P259" s="86"/>
      <c r="V259" s="31"/>
      <c r="W259" s="31"/>
      <c r="X259" s="31"/>
      <c r="AD259" s="31"/>
      <c r="AE259" s="31"/>
      <c r="AF259" s="31"/>
    </row>
    <row r="260" ht="15.75" hidden="1" customHeight="1">
      <c r="H260" s="81"/>
      <c r="N260" s="85"/>
      <c r="O260" s="85"/>
      <c r="P260" s="86"/>
      <c r="V260" s="31"/>
      <c r="W260" s="31"/>
      <c r="X260" s="31"/>
      <c r="AD260" s="31"/>
      <c r="AE260" s="31"/>
      <c r="AF260" s="31"/>
    </row>
    <row r="261" ht="15.75" hidden="1" customHeight="1">
      <c r="H261" s="81"/>
      <c r="N261" s="85"/>
      <c r="O261" s="85"/>
      <c r="P261" s="86"/>
      <c r="V261" s="31"/>
      <c r="W261" s="31"/>
      <c r="X261" s="31"/>
      <c r="AD261" s="31"/>
      <c r="AE261" s="31"/>
      <c r="AF261" s="31"/>
    </row>
    <row r="262" ht="15.75" hidden="1" customHeight="1">
      <c r="H262" s="81"/>
      <c r="N262" s="85"/>
      <c r="O262" s="85"/>
      <c r="P262" s="86"/>
      <c r="V262" s="31"/>
      <c r="W262" s="31"/>
      <c r="X262" s="31"/>
      <c r="AD262" s="31"/>
      <c r="AE262" s="31"/>
      <c r="AF262" s="31"/>
    </row>
    <row r="263" ht="15.75" hidden="1" customHeight="1">
      <c r="H263" s="81"/>
      <c r="N263" s="85"/>
      <c r="O263" s="85"/>
      <c r="P263" s="86"/>
      <c r="V263" s="31"/>
      <c r="W263" s="31"/>
      <c r="X263" s="31"/>
      <c r="AD263" s="31"/>
      <c r="AE263" s="31"/>
      <c r="AF263" s="31"/>
    </row>
    <row r="264" ht="15.75" hidden="1" customHeight="1">
      <c r="H264" s="81"/>
      <c r="N264" s="85"/>
      <c r="O264" s="85"/>
      <c r="P264" s="86"/>
      <c r="V264" s="31"/>
      <c r="W264" s="31"/>
      <c r="X264" s="31"/>
      <c r="AD264" s="31"/>
      <c r="AE264" s="31"/>
      <c r="AF264" s="31"/>
    </row>
    <row r="265" ht="15.75" hidden="1" customHeight="1">
      <c r="H265" s="81"/>
      <c r="N265" s="85"/>
      <c r="O265" s="85"/>
      <c r="P265" s="86"/>
      <c r="V265" s="31"/>
      <c r="W265" s="31"/>
      <c r="X265" s="31"/>
      <c r="AD265" s="31"/>
      <c r="AE265" s="31"/>
      <c r="AF265" s="31"/>
    </row>
    <row r="266" ht="15.75" hidden="1" customHeight="1">
      <c r="H266" s="81"/>
      <c r="N266" s="85"/>
      <c r="O266" s="85"/>
      <c r="P266" s="86"/>
      <c r="V266" s="31"/>
      <c r="W266" s="31"/>
      <c r="X266" s="31"/>
      <c r="AD266" s="31"/>
      <c r="AE266" s="31"/>
      <c r="AF266" s="31"/>
    </row>
    <row r="267" ht="15.75" hidden="1" customHeight="1">
      <c r="H267" s="81"/>
      <c r="N267" s="85"/>
      <c r="O267" s="85"/>
      <c r="P267" s="86"/>
      <c r="V267" s="31"/>
      <c r="W267" s="31"/>
      <c r="X267" s="31"/>
      <c r="AD267" s="31"/>
      <c r="AE267" s="31"/>
      <c r="AF267" s="31"/>
    </row>
    <row r="268" ht="15.75" hidden="1" customHeight="1">
      <c r="H268" s="81"/>
      <c r="N268" s="85"/>
      <c r="O268" s="85"/>
      <c r="P268" s="86"/>
      <c r="V268" s="31"/>
      <c r="W268" s="31"/>
      <c r="X268" s="31"/>
      <c r="AD268" s="31"/>
      <c r="AE268" s="31"/>
      <c r="AF268" s="31"/>
    </row>
    <row r="269" ht="15.75" hidden="1" customHeight="1">
      <c r="H269" s="81"/>
      <c r="N269" s="85"/>
      <c r="O269" s="85"/>
      <c r="P269" s="86"/>
      <c r="V269" s="31"/>
      <c r="W269" s="31"/>
      <c r="X269" s="31"/>
      <c r="AD269" s="31"/>
      <c r="AE269" s="31"/>
      <c r="AF269" s="31"/>
    </row>
    <row r="270" ht="15.75" hidden="1" customHeight="1">
      <c r="H270" s="81"/>
      <c r="N270" s="85"/>
      <c r="O270" s="85"/>
      <c r="P270" s="86"/>
      <c r="V270" s="31"/>
      <c r="W270" s="31"/>
      <c r="X270" s="31"/>
      <c r="AD270" s="31"/>
      <c r="AE270" s="31"/>
      <c r="AF270" s="31"/>
    </row>
    <row r="271" ht="15.75" hidden="1" customHeight="1">
      <c r="H271" s="81"/>
      <c r="N271" s="85"/>
      <c r="O271" s="85"/>
      <c r="P271" s="86"/>
      <c r="V271" s="31"/>
      <c r="W271" s="31"/>
      <c r="X271" s="31"/>
      <c r="AD271" s="31"/>
      <c r="AE271" s="31"/>
      <c r="AF271" s="31"/>
    </row>
    <row r="272" ht="15.75" hidden="1" customHeight="1">
      <c r="H272" s="81"/>
      <c r="N272" s="85"/>
      <c r="O272" s="85"/>
      <c r="P272" s="86"/>
      <c r="V272" s="31"/>
      <c r="W272" s="31"/>
      <c r="X272" s="31"/>
      <c r="AD272" s="31"/>
      <c r="AE272" s="31"/>
      <c r="AF272" s="31"/>
    </row>
    <row r="273" ht="15.75" hidden="1" customHeight="1">
      <c r="H273" s="81"/>
      <c r="N273" s="85"/>
      <c r="O273" s="85"/>
      <c r="P273" s="86"/>
      <c r="V273" s="31"/>
      <c r="W273" s="31"/>
      <c r="X273" s="31"/>
      <c r="AD273" s="31"/>
      <c r="AE273" s="31"/>
      <c r="AF273" s="31"/>
    </row>
    <row r="274" ht="15.75" hidden="1" customHeight="1">
      <c r="H274" s="81"/>
      <c r="N274" s="85"/>
      <c r="O274" s="85"/>
      <c r="P274" s="86"/>
      <c r="V274" s="31"/>
      <c r="W274" s="31"/>
      <c r="X274" s="31"/>
      <c r="AD274" s="31"/>
      <c r="AE274" s="31"/>
      <c r="AF274" s="31"/>
    </row>
    <row r="275" ht="15.75" hidden="1" customHeight="1">
      <c r="H275" s="81"/>
      <c r="N275" s="85"/>
      <c r="O275" s="85"/>
      <c r="P275" s="86"/>
      <c r="V275" s="31"/>
      <c r="W275" s="31"/>
      <c r="X275" s="31"/>
      <c r="AD275" s="31"/>
      <c r="AE275" s="31"/>
      <c r="AF275" s="31"/>
    </row>
    <row r="276" ht="15.75" hidden="1" customHeight="1">
      <c r="H276" s="81"/>
      <c r="N276" s="85"/>
      <c r="O276" s="85"/>
      <c r="P276" s="86"/>
      <c r="V276" s="31"/>
      <c r="W276" s="31"/>
      <c r="X276" s="31"/>
      <c r="AD276" s="31"/>
      <c r="AE276" s="31"/>
      <c r="AF276" s="31"/>
    </row>
    <row r="277" ht="15.75" hidden="1" customHeight="1">
      <c r="H277" s="81"/>
      <c r="N277" s="85"/>
      <c r="O277" s="85"/>
      <c r="P277" s="86"/>
      <c r="V277" s="31"/>
      <c r="W277" s="31"/>
      <c r="X277" s="31"/>
      <c r="AD277" s="31"/>
      <c r="AE277" s="31"/>
      <c r="AF277" s="31"/>
    </row>
    <row r="278" ht="15.75" hidden="1" customHeight="1">
      <c r="H278" s="81"/>
      <c r="N278" s="85"/>
      <c r="O278" s="85"/>
      <c r="P278" s="86"/>
      <c r="V278" s="31"/>
      <c r="W278" s="31"/>
      <c r="X278" s="31"/>
      <c r="AD278" s="31"/>
      <c r="AE278" s="31"/>
      <c r="AF278" s="31"/>
    </row>
    <row r="279" ht="15.75" hidden="1" customHeight="1">
      <c r="H279" s="81"/>
      <c r="N279" s="85"/>
      <c r="O279" s="85"/>
      <c r="P279" s="86"/>
      <c r="V279" s="31"/>
      <c r="W279" s="31"/>
      <c r="X279" s="31"/>
      <c r="AD279" s="31"/>
      <c r="AE279" s="31"/>
      <c r="AF279" s="31"/>
    </row>
    <row r="280" ht="15.75" hidden="1" customHeight="1">
      <c r="H280" s="81"/>
      <c r="N280" s="85"/>
      <c r="O280" s="85"/>
      <c r="P280" s="86"/>
      <c r="V280" s="31"/>
      <c r="W280" s="31"/>
      <c r="X280" s="31"/>
      <c r="AD280" s="31"/>
      <c r="AE280" s="31"/>
      <c r="AF280" s="31"/>
    </row>
    <row r="281" ht="15.75" hidden="1" customHeight="1">
      <c r="H281" s="81"/>
      <c r="N281" s="85"/>
      <c r="O281" s="85"/>
      <c r="P281" s="86"/>
      <c r="V281" s="31"/>
      <c r="W281" s="31"/>
      <c r="X281" s="31"/>
      <c r="AD281" s="31"/>
      <c r="AE281" s="31"/>
      <c r="AF281" s="31"/>
    </row>
    <row r="282" ht="15.75" hidden="1" customHeight="1">
      <c r="H282" s="81"/>
      <c r="N282" s="85"/>
      <c r="O282" s="85"/>
      <c r="P282" s="86"/>
      <c r="V282" s="31"/>
      <c r="W282" s="31"/>
      <c r="X282" s="31"/>
      <c r="AD282" s="31"/>
      <c r="AE282" s="31"/>
      <c r="AF282" s="31"/>
    </row>
    <row r="283" ht="15.75" hidden="1" customHeight="1">
      <c r="H283" s="81"/>
      <c r="N283" s="85"/>
      <c r="O283" s="85"/>
      <c r="P283" s="86"/>
      <c r="V283" s="31"/>
      <c r="W283" s="31"/>
      <c r="X283" s="31"/>
      <c r="AD283" s="31"/>
      <c r="AE283" s="31"/>
      <c r="AF283" s="31"/>
    </row>
    <row r="284" ht="15.75" hidden="1" customHeight="1">
      <c r="H284" s="81"/>
      <c r="N284" s="85"/>
      <c r="O284" s="85"/>
      <c r="P284" s="86"/>
      <c r="V284" s="31"/>
      <c r="W284" s="31"/>
      <c r="X284" s="31"/>
      <c r="AD284" s="31"/>
      <c r="AE284" s="31"/>
      <c r="AF284" s="31"/>
    </row>
    <row r="285" ht="15.75" hidden="1" customHeight="1">
      <c r="H285" s="81"/>
      <c r="N285" s="85"/>
      <c r="O285" s="85"/>
      <c r="P285" s="86"/>
      <c r="V285" s="31"/>
      <c r="W285" s="31"/>
      <c r="X285" s="31"/>
      <c r="AD285" s="31"/>
      <c r="AE285" s="31"/>
      <c r="AF285" s="31"/>
    </row>
    <row r="286" ht="15.75" hidden="1" customHeight="1">
      <c r="H286" s="81"/>
      <c r="N286" s="85"/>
      <c r="O286" s="85"/>
      <c r="P286" s="86"/>
      <c r="V286" s="31"/>
      <c r="W286" s="31"/>
      <c r="X286" s="31"/>
      <c r="AD286" s="31"/>
      <c r="AE286" s="31"/>
      <c r="AF286" s="31"/>
    </row>
    <row r="287" ht="15.75" hidden="1" customHeight="1">
      <c r="H287" s="81"/>
      <c r="N287" s="85"/>
      <c r="O287" s="85"/>
      <c r="P287" s="86"/>
      <c r="V287" s="31"/>
      <c r="W287" s="31"/>
      <c r="X287" s="31"/>
      <c r="AD287" s="31"/>
      <c r="AE287" s="31"/>
      <c r="AF287" s="31"/>
    </row>
    <row r="288" ht="15.75" hidden="1" customHeight="1">
      <c r="H288" s="81"/>
      <c r="N288" s="85"/>
      <c r="O288" s="85"/>
      <c r="P288" s="86"/>
      <c r="V288" s="31"/>
      <c r="W288" s="31"/>
      <c r="X288" s="31"/>
      <c r="AD288" s="31"/>
      <c r="AE288" s="31"/>
      <c r="AF288" s="31"/>
    </row>
    <row r="289" ht="15.75" hidden="1" customHeight="1">
      <c r="H289" s="81"/>
      <c r="N289" s="85"/>
      <c r="O289" s="85"/>
      <c r="P289" s="86"/>
      <c r="V289" s="31"/>
      <c r="W289" s="31"/>
      <c r="X289" s="31"/>
      <c r="AD289" s="31"/>
      <c r="AE289" s="31"/>
      <c r="AF289" s="31"/>
    </row>
    <row r="290" ht="15.75" hidden="1" customHeight="1">
      <c r="H290" s="81"/>
      <c r="N290" s="85"/>
      <c r="O290" s="85"/>
      <c r="P290" s="86"/>
      <c r="V290" s="31"/>
      <c r="W290" s="31"/>
      <c r="X290" s="31"/>
      <c r="AD290" s="31"/>
      <c r="AE290" s="31"/>
      <c r="AF290" s="31"/>
    </row>
    <row r="291" ht="15.75" hidden="1" customHeight="1">
      <c r="H291" s="81"/>
      <c r="N291" s="85"/>
      <c r="O291" s="85"/>
      <c r="P291" s="86"/>
      <c r="V291" s="31"/>
      <c r="W291" s="31"/>
      <c r="X291" s="31"/>
      <c r="AD291" s="31"/>
      <c r="AE291" s="31"/>
      <c r="AF291" s="31"/>
    </row>
    <row r="292" ht="15.75" hidden="1" customHeight="1">
      <c r="H292" s="81"/>
      <c r="N292" s="85"/>
      <c r="O292" s="85"/>
      <c r="P292" s="86"/>
      <c r="V292" s="31"/>
      <c r="W292" s="31"/>
      <c r="X292" s="31"/>
      <c r="AD292" s="31"/>
      <c r="AE292" s="31"/>
      <c r="AF292" s="31"/>
    </row>
    <row r="293" ht="15.75" hidden="1" customHeight="1">
      <c r="H293" s="81"/>
      <c r="N293" s="85"/>
      <c r="O293" s="85"/>
      <c r="P293" s="86"/>
      <c r="V293" s="31"/>
      <c r="W293" s="31"/>
      <c r="X293" s="31"/>
      <c r="AD293" s="31"/>
      <c r="AE293" s="31"/>
      <c r="AF293" s="31"/>
    </row>
    <row r="294" ht="15.75" hidden="1" customHeight="1">
      <c r="H294" s="81"/>
      <c r="N294" s="85"/>
      <c r="O294" s="85"/>
      <c r="P294" s="86"/>
      <c r="V294" s="31"/>
      <c r="W294" s="31"/>
      <c r="X294" s="31"/>
      <c r="AD294" s="31"/>
      <c r="AE294" s="31"/>
      <c r="AF294" s="31"/>
    </row>
    <row r="295" ht="15.75" hidden="1" customHeight="1">
      <c r="H295" s="81"/>
      <c r="N295" s="85"/>
      <c r="O295" s="85"/>
      <c r="P295" s="86"/>
      <c r="V295" s="31"/>
      <c r="W295" s="31"/>
      <c r="X295" s="31"/>
      <c r="AD295" s="31"/>
      <c r="AE295" s="31"/>
      <c r="AF295" s="31"/>
    </row>
    <row r="296" ht="15.75" hidden="1" customHeight="1">
      <c r="H296" s="81"/>
      <c r="N296" s="85"/>
      <c r="O296" s="85"/>
      <c r="P296" s="86"/>
      <c r="V296" s="31"/>
      <c r="W296" s="31"/>
      <c r="X296" s="31"/>
      <c r="AD296" s="31"/>
      <c r="AE296" s="31"/>
      <c r="AF296" s="31"/>
    </row>
    <row r="297" ht="15.75" hidden="1" customHeight="1">
      <c r="H297" s="81"/>
      <c r="N297" s="85"/>
      <c r="O297" s="85"/>
      <c r="P297" s="86"/>
      <c r="V297" s="31"/>
      <c r="W297" s="31"/>
      <c r="X297" s="31"/>
      <c r="AD297" s="31"/>
      <c r="AE297" s="31"/>
      <c r="AF297" s="31"/>
    </row>
    <row r="298" ht="15.75" hidden="1" customHeight="1">
      <c r="H298" s="81"/>
      <c r="N298" s="85"/>
      <c r="O298" s="85"/>
      <c r="P298" s="86"/>
      <c r="V298" s="31"/>
      <c r="W298" s="31"/>
      <c r="X298" s="31"/>
      <c r="AD298" s="31"/>
      <c r="AE298" s="31"/>
      <c r="AF298" s="31"/>
    </row>
    <row r="299" ht="15.75" hidden="1" customHeight="1">
      <c r="H299" s="81"/>
      <c r="N299" s="85"/>
      <c r="O299" s="85"/>
      <c r="P299" s="86"/>
      <c r="V299" s="31"/>
      <c r="W299" s="31"/>
      <c r="X299" s="31"/>
      <c r="AD299" s="31"/>
      <c r="AE299" s="31"/>
      <c r="AF299" s="31"/>
    </row>
    <row r="300" ht="15.75" hidden="1" customHeight="1">
      <c r="H300" s="81"/>
      <c r="N300" s="85"/>
      <c r="O300" s="85"/>
      <c r="P300" s="86"/>
      <c r="V300" s="31"/>
      <c r="W300" s="31"/>
      <c r="X300" s="31"/>
      <c r="AD300" s="31"/>
      <c r="AE300" s="31"/>
      <c r="AF300" s="31"/>
    </row>
    <row r="301" ht="15.75" hidden="1" customHeight="1">
      <c r="H301" s="81"/>
      <c r="N301" s="85"/>
      <c r="O301" s="85"/>
      <c r="P301" s="86"/>
      <c r="V301" s="31"/>
      <c r="W301" s="31"/>
      <c r="X301" s="31"/>
      <c r="AD301" s="31"/>
      <c r="AE301" s="31"/>
      <c r="AF301" s="31"/>
    </row>
    <row r="302" ht="15.75" hidden="1" customHeight="1">
      <c r="H302" s="81"/>
      <c r="N302" s="85"/>
      <c r="O302" s="85"/>
      <c r="P302" s="86"/>
      <c r="V302" s="31"/>
      <c r="W302" s="31"/>
      <c r="X302" s="31"/>
      <c r="AD302" s="31"/>
      <c r="AE302" s="31"/>
      <c r="AF302" s="31"/>
    </row>
    <row r="303" ht="15.75" hidden="1" customHeight="1">
      <c r="H303" s="81"/>
      <c r="N303" s="85"/>
      <c r="O303" s="85"/>
      <c r="P303" s="86"/>
      <c r="V303" s="31"/>
      <c r="W303" s="31"/>
      <c r="X303" s="31"/>
      <c r="AD303" s="31"/>
      <c r="AE303" s="31"/>
      <c r="AF303" s="31"/>
    </row>
    <row r="304" ht="15.75" hidden="1" customHeight="1">
      <c r="H304" s="81"/>
      <c r="N304" s="85"/>
      <c r="O304" s="85"/>
      <c r="P304" s="86"/>
      <c r="V304" s="31"/>
      <c r="W304" s="31"/>
      <c r="X304" s="31"/>
      <c r="AD304" s="31"/>
      <c r="AE304" s="31"/>
      <c r="AF304" s="31"/>
    </row>
    <row r="305" ht="15.75" hidden="1" customHeight="1">
      <c r="H305" s="81"/>
      <c r="N305" s="85"/>
      <c r="O305" s="85"/>
      <c r="P305" s="86"/>
      <c r="V305" s="31"/>
      <c r="W305" s="31"/>
      <c r="X305" s="31"/>
      <c r="AD305" s="31"/>
      <c r="AE305" s="31"/>
      <c r="AF305" s="31"/>
    </row>
    <row r="306" ht="15.75" hidden="1" customHeight="1">
      <c r="H306" s="81"/>
      <c r="N306" s="85"/>
      <c r="O306" s="85"/>
      <c r="P306" s="86"/>
      <c r="V306" s="31"/>
      <c r="W306" s="31"/>
      <c r="X306" s="31"/>
      <c r="AD306" s="31"/>
      <c r="AE306" s="31"/>
      <c r="AF306" s="31"/>
    </row>
    <row r="307" ht="15.75" hidden="1" customHeight="1">
      <c r="H307" s="81"/>
      <c r="N307" s="85"/>
      <c r="O307" s="85"/>
      <c r="P307" s="86"/>
      <c r="V307" s="31"/>
      <c r="W307" s="31"/>
      <c r="X307" s="31"/>
      <c r="AD307" s="31"/>
      <c r="AE307" s="31"/>
      <c r="AF307" s="31"/>
    </row>
    <row r="308" ht="15.75" hidden="1" customHeight="1">
      <c r="H308" s="81"/>
      <c r="N308" s="85"/>
      <c r="O308" s="85"/>
      <c r="P308" s="86"/>
      <c r="V308" s="31"/>
      <c r="W308" s="31"/>
      <c r="X308" s="31"/>
      <c r="AD308" s="31"/>
      <c r="AE308" s="31"/>
      <c r="AF308" s="31"/>
    </row>
    <row r="309" ht="15.75" hidden="1" customHeight="1">
      <c r="H309" s="81"/>
      <c r="N309" s="85"/>
      <c r="O309" s="85"/>
      <c r="P309" s="86"/>
      <c r="V309" s="31"/>
      <c r="W309" s="31"/>
      <c r="X309" s="31"/>
      <c r="AD309" s="31"/>
      <c r="AE309" s="31"/>
      <c r="AF309" s="31"/>
    </row>
    <row r="310" ht="15.75" hidden="1" customHeight="1">
      <c r="H310" s="81"/>
      <c r="N310" s="85"/>
      <c r="O310" s="85"/>
      <c r="P310" s="86"/>
      <c r="V310" s="31"/>
      <c r="W310" s="31"/>
      <c r="X310" s="31"/>
      <c r="AD310" s="31"/>
      <c r="AE310" s="31"/>
      <c r="AF310" s="31"/>
    </row>
    <row r="311" ht="15.75" hidden="1" customHeight="1">
      <c r="H311" s="81"/>
      <c r="N311" s="85"/>
      <c r="O311" s="85"/>
      <c r="P311" s="86"/>
      <c r="V311" s="31"/>
      <c r="W311" s="31"/>
      <c r="X311" s="31"/>
      <c r="AD311" s="31"/>
      <c r="AE311" s="31"/>
      <c r="AF311" s="31"/>
    </row>
    <row r="312" ht="15.75" hidden="1" customHeight="1">
      <c r="H312" s="81"/>
      <c r="N312" s="85"/>
      <c r="O312" s="85"/>
      <c r="P312" s="86"/>
      <c r="V312" s="31"/>
      <c r="W312" s="31"/>
      <c r="X312" s="31"/>
      <c r="AD312" s="31"/>
      <c r="AE312" s="31"/>
      <c r="AF312" s="31"/>
    </row>
    <row r="313" ht="15.75" hidden="1" customHeight="1">
      <c r="H313" s="81"/>
      <c r="N313" s="85"/>
      <c r="O313" s="85"/>
      <c r="P313" s="86"/>
      <c r="V313" s="31"/>
      <c r="W313" s="31"/>
      <c r="X313" s="31"/>
      <c r="AD313" s="31"/>
      <c r="AE313" s="31"/>
      <c r="AF313" s="31"/>
    </row>
    <row r="314" ht="15.75" hidden="1" customHeight="1">
      <c r="H314" s="81"/>
      <c r="N314" s="85"/>
      <c r="O314" s="85"/>
      <c r="P314" s="86"/>
      <c r="V314" s="31"/>
      <c r="W314" s="31"/>
      <c r="X314" s="31"/>
      <c r="AD314" s="31"/>
      <c r="AE314" s="31"/>
      <c r="AF314" s="31"/>
    </row>
    <row r="315" ht="15.75" hidden="1" customHeight="1">
      <c r="H315" s="81"/>
      <c r="N315" s="85"/>
      <c r="O315" s="85"/>
      <c r="P315" s="86"/>
      <c r="V315" s="31"/>
      <c r="W315" s="31"/>
      <c r="X315" s="31"/>
      <c r="AD315" s="31"/>
      <c r="AE315" s="31"/>
      <c r="AF315" s="31"/>
    </row>
    <row r="316" ht="15.75" hidden="1" customHeight="1">
      <c r="H316" s="81"/>
      <c r="N316" s="85"/>
      <c r="O316" s="85"/>
      <c r="P316" s="86"/>
      <c r="V316" s="31"/>
      <c r="W316" s="31"/>
      <c r="X316" s="31"/>
      <c r="AD316" s="31"/>
      <c r="AE316" s="31"/>
      <c r="AF316" s="31"/>
    </row>
    <row r="317" ht="15.75" hidden="1" customHeight="1">
      <c r="H317" s="81"/>
      <c r="N317" s="85"/>
      <c r="O317" s="85"/>
      <c r="P317" s="86"/>
      <c r="V317" s="31"/>
      <c r="W317" s="31"/>
      <c r="X317" s="31"/>
      <c r="AD317" s="31"/>
      <c r="AE317" s="31"/>
      <c r="AF317" s="31"/>
    </row>
    <row r="318" ht="15.75" hidden="1" customHeight="1">
      <c r="H318" s="81"/>
      <c r="N318" s="85"/>
      <c r="O318" s="85"/>
      <c r="P318" s="86"/>
      <c r="V318" s="31"/>
      <c r="W318" s="31"/>
      <c r="X318" s="31"/>
      <c r="AD318" s="31"/>
      <c r="AE318" s="31"/>
      <c r="AF318" s="31"/>
    </row>
    <row r="319" ht="15.75" hidden="1" customHeight="1">
      <c r="H319" s="81"/>
      <c r="N319" s="85"/>
      <c r="O319" s="85"/>
      <c r="P319" s="86"/>
      <c r="V319" s="31"/>
      <c r="W319" s="31"/>
      <c r="X319" s="31"/>
      <c r="AD319" s="31"/>
      <c r="AE319" s="31"/>
      <c r="AF319" s="31"/>
    </row>
    <row r="320" ht="15.75" hidden="1" customHeight="1">
      <c r="H320" s="81"/>
      <c r="N320" s="85"/>
      <c r="O320" s="85"/>
      <c r="P320" s="86"/>
      <c r="V320" s="31"/>
      <c r="W320" s="31"/>
      <c r="X320" s="31"/>
      <c r="AD320" s="31"/>
      <c r="AE320" s="31"/>
      <c r="AF320" s="31"/>
    </row>
    <row r="321" ht="15.75" hidden="1" customHeight="1">
      <c r="H321" s="81"/>
      <c r="N321" s="85"/>
      <c r="O321" s="85"/>
      <c r="P321" s="86"/>
      <c r="V321" s="31"/>
      <c r="W321" s="31"/>
      <c r="X321" s="31"/>
      <c r="AD321" s="31"/>
      <c r="AE321" s="31"/>
      <c r="AF321" s="31"/>
    </row>
    <row r="322" ht="15.75" hidden="1" customHeight="1">
      <c r="H322" s="81"/>
      <c r="N322" s="85"/>
      <c r="O322" s="85"/>
      <c r="P322" s="86"/>
      <c r="V322" s="31"/>
      <c r="W322" s="31"/>
      <c r="X322" s="31"/>
      <c r="AD322" s="31"/>
      <c r="AE322" s="31"/>
      <c r="AF322" s="31"/>
    </row>
    <row r="323" ht="15.75" hidden="1" customHeight="1">
      <c r="H323" s="81"/>
      <c r="N323" s="85"/>
      <c r="O323" s="85"/>
      <c r="P323" s="86"/>
      <c r="V323" s="31"/>
      <c r="W323" s="31"/>
      <c r="X323" s="31"/>
      <c r="AD323" s="31"/>
      <c r="AE323" s="31"/>
      <c r="AF323" s="31"/>
    </row>
    <row r="324" ht="15.75" hidden="1" customHeight="1">
      <c r="H324" s="81"/>
      <c r="N324" s="85"/>
      <c r="O324" s="85"/>
      <c r="P324" s="86"/>
      <c r="V324" s="31"/>
      <c r="W324" s="31"/>
      <c r="X324" s="31"/>
      <c r="AD324" s="31"/>
      <c r="AE324" s="31"/>
      <c r="AF324" s="31"/>
    </row>
    <row r="325" ht="15.75" hidden="1" customHeight="1">
      <c r="H325" s="81"/>
      <c r="N325" s="85"/>
      <c r="O325" s="85"/>
      <c r="P325" s="86"/>
      <c r="V325" s="31"/>
      <c r="W325" s="31"/>
      <c r="X325" s="31"/>
      <c r="AD325" s="31"/>
      <c r="AE325" s="31"/>
      <c r="AF325" s="31"/>
    </row>
    <row r="326" ht="15.75" hidden="1" customHeight="1">
      <c r="H326" s="81"/>
      <c r="N326" s="85"/>
      <c r="O326" s="85"/>
      <c r="P326" s="86"/>
      <c r="V326" s="31"/>
      <c r="W326" s="31"/>
      <c r="X326" s="31"/>
      <c r="AD326" s="31"/>
      <c r="AE326" s="31"/>
      <c r="AF326" s="31"/>
    </row>
    <row r="327" ht="15.75" hidden="1" customHeight="1">
      <c r="H327" s="81"/>
      <c r="N327" s="85"/>
      <c r="O327" s="85"/>
      <c r="P327" s="86"/>
      <c r="V327" s="31"/>
      <c r="W327" s="31"/>
      <c r="X327" s="31"/>
      <c r="AD327" s="31"/>
      <c r="AE327" s="31"/>
      <c r="AF327" s="31"/>
    </row>
    <row r="328" ht="15.75" hidden="1" customHeight="1">
      <c r="H328" s="81"/>
      <c r="N328" s="85"/>
      <c r="O328" s="85"/>
      <c r="P328" s="86"/>
      <c r="V328" s="31"/>
      <c r="W328" s="31"/>
      <c r="X328" s="31"/>
      <c r="AD328" s="31"/>
      <c r="AE328" s="31"/>
      <c r="AF328" s="31"/>
    </row>
    <row r="329" ht="15.75" hidden="1" customHeight="1">
      <c r="H329" s="81"/>
      <c r="N329" s="85"/>
      <c r="O329" s="85"/>
      <c r="P329" s="86"/>
      <c r="V329" s="31"/>
      <c r="W329" s="31"/>
      <c r="X329" s="31"/>
      <c r="AD329" s="31"/>
      <c r="AE329" s="31"/>
      <c r="AF329" s="31"/>
    </row>
    <row r="330" ht="15.75" hidden="1" customHeight="1">
      <c r="H330" s="81"/>
      <c r="N330" s="85"/>
      <c r="O330" s="85"/>
      <c r="P330" s="86"/>
      <c r="V330" s="31"/>
      <c r="W330" s="31"/>
      <c r="X330" s="31"/>
      <c r="AD330" s="31"/>
      <c r="AE330" s="31"/>
      <c r="AF330" s="31"/>
    </row>
    <row r="331" ht="15.75" hidden="1" customHeight="1">
      <c r="H331" s="81"/>
      <c r="N331" s="85"/>
      <c r="O331" s="85"/>
      <c r="P331" s="86"/>
      <c r="V331" s="31"/>
      <c r="W331" s="31"/>
      <c r="X331" s="31"/>
      <c r="AD331" s="31"/>
      <c r="AE331" s="31"/>
      <c r="AF331" s="31"/>
    </row>
    <row r="332" ht="15.75" hidden="1" customHeight="1">
      <c r="H332" s="81"/>
      <c r="N332" s="85"/>
      <c r="O332" s="85"/>
      <c r="P332" s="86"/>
      <c r="V332" s="31"/>
      <c r="W332" s="31"/>
      <c r="X332" s="31"/>
      <c r="AD332" s="31"/>
      <c r="AE332" s="31"/>
      <c r="AF332" s="31"/>
    </row>
    <row r="333" ht="15.75" hidden="1" customHeight="1">
      <c r="H333" s="81"/>
      <c r="N333" s="85"/>
      <c r="O333" s="85"/>
      <c r="P333" s="86"/>
      <c r="V333" s="31"/>
      <c r="W333" s="31"/>
      <c r="X333" s="31"/>
      <c r="AD333" s="31"/>
      <c r="AE333" s="31"/>
      <c r="AF333" s="31"/>
    </row>
    <row r="334" ht="15.75" hidden="1" customHeight="1">
      <c r="H334" s="81"/>
      <c r="N334" s="85"/>
      <c r="O334" s="85"/>
      <c r="P334" s="86"/>
      <c r="V334" s="31"/>
      <c r="W334" s="31"/>
      <c r="X334" s="31"/>
      <c r="AD334" s="31"/>
      <c r="AE334" s="31"/>
      <c r="AF334" s="31"/>
    </row>
    <row r="335" ht="15.75" hidden="1" customHeight="1">
      <c r="H335" s="81"/>
      <c r="N335" s="85"/>
      <c r="O335" s="85"/>
      <c r="P335" s="86"/>
      <c r="V335" s="31"/>
      <c r="W335" s="31"/>
      <c r="X335" s="31"/>
      <c r="AD335" s="31"/>
      <c r="AE335" s="31"/>
      <c r="AF335" s="31"/>
    </row>
    <row r="336" ht="15.75" hidden="1" customHeight="1">
      <c r="H336" s="81"/>
      <c r="N336" s="85"/>
      <c r="O336" s="85"/>
      <c r="P336" s="86"/>
      <c r="V336" s="31"/>
      <c r="W336" s="31"/>
      <c r="X336" s="31"/>
      <c r="AD336" s="31"/>
      <c r="AE336" s="31"/>
      <c r="AF336" s="31"/>
    </row>
    <row r="337" ht="15.75" hidden="1" customHeight="1">
      <c r="H337" s="81"/>
      <c r="N337" s="85"/>
      <c r="O337" s="85"/>
      <c r="P337" s="86"/>
      <c r="V337" s="31"/>
      <c r="W337" s="31"/>
      <c r="X337" s="31"/>
      <c r="AD337" s="31"/>
      <c r="AE337" s="31"/>
      <c r="AF337" s="31"/>
    </row>
    <row r="338" ht="15.75" hidden="1" customHeight="1">
      <c r="H338" s="81"/>
      <c r="N338" s="85"/>
      <c r="O338" s="85"/>
      <c r="P338" s="86"/>
      <c r="V338" s="31"/>
      <c r="W338" s="31"/>
      <c r="X338" s="31"/>
      <c r="AD338" s="31"/>
      <c r="AE338" s="31"/>
      <c r="AF338" s="31"/>
    </row>
    <row r="339" ht="15.75" hidden="1" customHeight="1">
      <c r="H339" s="81"/>
      <c r="N339" s="85"/>
      <c r="O339" s="85"/>
      <c r="P339" s="86"/>
      <c r="V339" s="31"/>
      <c r="W339" s="31"/>
      <c r="X339" s="31"/>
      <c r="AD339" s="31"/>
      <c r="AE339" s="31"/>
      <c r="AF339" s="31"/>
    </row>
    <row r="340" ht="15.75" hidden="1" customHeight="1">
      <c r="H340" s="81"/>
      <c r="N340" s="85"/>
      <c r="O340" s="85"/>
      <c r="P340" s="86"/>
      <c r="V340" s="31"/>
      <c r="W340" s="31"/>
      <c r="X340" s="31"/>
      <c r="AD340" s="31"/>
      <c r="AE340" s="31"/>
      <c r="AF340" s="31"/>
    </row>
    <row r="341" ht="15.75" hidden="1" customHeight="1">
      <c r="H341" s="81"/>
      <c r="N341" s="85"/>
      <c r="O341" s="85"/>
      <c r="P341" s="86"/>
      <c r="V341" s="31"/>
      <c r="W341" s="31"/>
      <c r="X341" s="31"/>
      <c r="AD341" s="31"/>
      <c r="AE341" s="31"/>
      <c r="AF341" s="31"/>
    </row>
    <row r="342" ht="15.75" hidden="1" customHeight="1">
      <c r="H342" s="81"/>
      <c r="N342" s="85"/>
      <c r="O342" s="85"/>
      <c r="P342" s="86"/>
      <c r="V342" s="31"/>
      <c r="W342" s="31"/>
      <c r="X342" s="31"/>
      <c r="AD342" s="31"/>
      <c r="AE342" s="31"/>
      <c r="AF342" s="31"/>
    </row>
    <row r="343" ht="15.75" hidden="1" customHeight="1">
      <c r="H343" s="81"/>
      <c r="N343" s="85"/>
      <c r="O343" s="85"/>
      <c r="P343" s="86"/>
      <c r="V343" s="31"/>
      <c r="W343" s="31"/>
      <c r="X343" s="31"/>
      <c r="AD343" s="31"/>
      <c r="AE343" s="31"/>
      <c r="AF343" s="31"/>
    </row>
    <row r="344" ht="15.75" hidden="1" customHeight="1">
      <c r="H344" s="81"/>
      <c r="N344" s="85"/>
      <c r="O344" s="85"/>
      <c r="P344" s="86"/>
      <c r="V344" s="31"/>
      <c r="W344" s="31"/>
      <c r="X344" s="31"/>
      <c r="AD344" s="31"/>
      <c r="AE344" s="31"/>
      <c r="AF344" s="31"/>
    </row>
    <row r="345" ht="15.75" hidden="1" customHeight="1">
      <c r="H345" s="81"/>
      <c r="N345" s="85"/>
      <c r="O345" s="85"/>
      <c r="P345" s="86"/>
      <c r="V345" s="31"/>
      <c r="W345" s="31"/>
      <c r="X345" s="31"/>
      <c r="AD345" s="31"/>
      <c r="AE345" s="31"/>
      <c r="AF345" s="31"/>
    </row>
    <row r="346" ht="15.75" hidden="1" customHeight="1">
      <c r="H346" s="81"/>
      <c r="N346" s="85"/>
      <c r="O346" s="85"/>
      <c r="P346" s="86"/>
      <c r="V346" s="31"/>
      <c r="W346" s="31"/>
      <c r="X346" s="31"/>
      <c r="AD346" s="31"/>
      <c r="AE346" s="31"/>
      <c r="AF346" s="31"/>
    </row>
    <row r="347" ht="15.75" hidden="1" customHeight="1">
      <c r="H347" s="81"/>
      <c r="N347" s="85"/>
      <c r="O347" s="85"/>
      <c r="P347" s="86"/>
      <c r="V347" s="31"/>
      <c r="W347" s="31"/>
      <c r="X347" s="31"/>
      <c r="AD347" s="31"/>
      <c r="AE347" s="31"/>
      <c r="AF347" s="31"/>
    </row>
    <row r="348" ht="15.75" hidden="1" customHeight="1">
      <c r="H348" s="81"/>
      <c r="N348" s="85"/>
      <c r="O348" s="85"/>
      <c r="P348" s="86"/>
      <c r="V348" s="31"/>
      <c r="W348" s="31"/>
      <c r="X348" s="31"/>
      <c r="AD348" s="31"/>
      <c r="AE348" s="31"/>
      <c r="AF348" s="31"/>
    </row>
    <row r="349" ht="15.75" hidden="1" customHeight="1">
      <c r="H349" s="81"/>
      <c r="N349" s="85"/>
      <c r="O349" s="85"/>
      <c r="P349" s="86"/>
      <c r="V349" s="31"/>
      <c r="W349" s="31"/>
      <c r="X349" s="31"/>
      <c r="AD349" s="31"/>
      <c r="AE349" s="31"/>
      <c r="AF349" s="31"/>
    </row>
    <row r="350" ht="15.75" hidden="1" customHeight="1">
      <c r="H350" s="81"/>
      <c r="N350" s="85"/>
      <c r="O350" s="85"/>
      <c r="P350" s="86"/>
      <c r="V350" s="31"/>
      <c r="W350" s="31"/>
      <c r="X350" s="31"/>
      <c r="AD350" s="31"/>
      <c r="AE350" s="31"/>
      <c r="AF350" s="31"/>
    </row>
    <row r="351" ht="15.75" hidden="1" customHeight="1">
      <c r="H351" s="81"/>
      <c r="N351" s="85"/>
      <c r="O351" s="85"/>
      <c r="P351" s="86"/>
      <c r="V351" s="31"/>
      <c r="W351" s="31"/>
      <c r="X351" s="31"/>
      <c r="AD351" s="31"/>
      <c r="AE351" s="31"/>
      <c r="AF351" s="31"/>
    </row>
    <row r="352" ht="15.75" hidden="1" customHeight="1">
      <c r="H352" s="81"/>
      <c r="N352" s="85"/>
      <c r="O352" s="85"/>
      <c r="P352" s="86"/>
      <c r="V352" s="31"/>
      <c r="W352" s="31"/>
      <c r="X352" s="31"/>
      <c r="AD352" s="31"/>
      <c r="AE352" s="31"/>
      <c r="AF352" s="31"/>
    </row>
    <row r="353" ht="15.75" hidden="1" customHeight="1">
      <c r="H353" s="81"/>
      <c r="N353" s="85"/>
      <c r="O353" s="85"/>
      <c r="P353" s="86"/>
      <c r="V353" s="31"/>
      <c r="W353" s="31"/>
      <c r="X353" s="31"/>
      <c r="AD353" s="31"/>
      <c r="AE353" s="31"/>
      <c r="AF353" s="31"/>
    </row>
    <row r="354" ht="15.75" hidden="1" customHeight="1">
      <c r="H354" s="81"/>
      <c r="N354" s="85"/>
      <c r="O354" s="85"/>
      <c r="P354" s="86"/>
      <c r="V354" s="31"/>
      <c r="W354" s="31"/>
      <c r="X354" s="31"/>
      <c r="AD354" s="31"/>
      <c r="AE354" s="31"/>
      <c r="AF354" s="31"/>
    </row>
    <row r="355" ht="15.75" hidden="1" customHeight="1">
      <c r="H355" s="81"/>
      <c r="N355" s="85"/>
      <c r="O355" s="85"/>
      <c r="P355" s="86"/>
      <c r="V355" s="31"/>
      <c r="W355" s="31"/>
      <c r="X355" s="31"/>
      <c r="AD355" s="31"/>
      <c r="AE355" s="31"/>
      <c r="AF355" s="31"/>
    </row>
    <row r="356" ht="15.75" hidden="1" customHeight="1">
      <c r="H356" s="81"/>
      <c r="N356" s="85"/>
      <c r="O356" s="85"/>
      <c r="P356" s="86"/>
      <c r="V356" s="31"/>
      <c r="W356" s="31"/>
      <c r="X356" s="31"/>
      <c r="AD356" s="31"/>
      <c r="AE356" s="31"/>
      <c r="AF356" s="31"/>
    </row>
    <row r="357" ht="15.75" hidden="1" customHeight="1">
      <c r="H357" s="81"/>
      <c r="N357" s="85"/>
      <c r="O357" s="85"/>
      <c r="P357" s="86"/>
      <c r="V357" s="31"/>
      <c r="W357" s="31"/>
      <c r="X357" s="31"/>
      <c r="AD357" s="31"/>
      <c r="AE357" s="31"/>
      <c r="AF357" s="31"/>
    </row>
    <row r="358" ht="15.75" hidden="1" customHeight="1">
      <c r="H358" s="81"/>
      <c r="N358" s="85"/>
      <c r="O358" s="85"/>
      <c r="P358" s="86"/>
      <c r="V358" s="31"/>
      <c r="W358" s="31"/>
      <c r="X358" s="31"/>
      <c r="AD358" s="31"/>
      <c r="AE358" s="31"/>
      <c r="AF358" s="31"/>
    </row>
    <row r="359" ht="15.75" hidden="1" customHeight="1">
      <c r="H359" s="81"/>
      <c r="N359" s="85"/>
      <c r="O359" s="85"/>
      <c r="P359" s="86"/>
      <c r="V359" s="31"/>
      <c r="W359" s="31"/>
      <c r="X359" s="31"/>
      <c r="AD359" s="31"/>
      <c r="AE359" s="31"/>
      <c r="AF359" s="31"/>
    </row>
    <row r="360" ht="15.75" hidden="1" customHeight="1">
      <c r="H360" s="81"/>
      <c r="N360" s="85"/>
      <c r="O360" s="85"/>
      <c r="P360" s="86"/>
      <c r="V360" s="31"/>
      <c r="W360" s="31"/>
      <c r="X360" s="31"/>
      <c r="AD360" s="31"/>
      <c r="AE360" s="31"/>
      <c r="AF360" s="31"/>
    </row>
    <row r="361" ht="15.75" hidden="1" customHeight="1">
      <c r="H361" s="81"/>
      <c r="N361" s="85"/>
      <c r="O361" s="85"/>
      <c r="P361" s="86"/>
      <c r="V361" s="31"/>
      <c r="W361" s="31"/>
      <c r="X361" s="31"/>
      <c r="AD361" s="31"/>
      <c r="AE361" s="31"/>
      <c r="AF361" s="31"/>
    </row>
    <row r="362" ht="15.75" hidden="1" customHeight="1">
      <c r="H362" s="81"/>
      <c r="N362" s="85"/>
      <c r="O362" s="85"/>
      <c r="P362" s="86"/>
      <c r="V362" s="31"/>
      <c r="W362" s="31"/>
      <c r="X362" s="31"/>
      <c r="AD362" s="31"/>
      <c r="AE362" s="31"/>
      <c r="AF362" s="31"/>
    </row>
    <row r="363" ht="15.75" hidden="1" customHeight="1">
      <c r="H363" s="81"/>
      <c r="N363" s="85"/>
      <c r="O363" s="85"/>
      <c r="P363" s="86"/>
      <c r="V363" s="31"/>
      <c r="W363" s="31"/>
      <c r="X363" s="31"/>
      <c r="AD363" s="31"/>
      <c r="AE363" s="31"/>
      <c r="AF363" s="31"/>
    </row>
    <row r="364" ht="15.75" hidden="1" customHeight="1">
      <c r="H364" s="81"/>
      <c r="N364" s="85"/>
      <c r="O364" s="85"/>
      <c r="P364" s="86"/>
      <c r="V364" s="31"/>
      <c r="W364" s="31"/>
      <c r="X364" s="31"/>
      <c r="AD364" s="31"/>
      <c r="AE364" s="31"/>
      <c r="AF364" s="31"/>
    </row>
    <row r="365" ht="15.75" hidden="1" customHeight="1">
      <c r="H365" s="81"/>
      <c r="N365" s="85"/>
      <c r="O365" s="85"/>
      <c r="P365" s="86"/>
      <c r="V365" s="31"/>
      <c r="W365" s="31"/>
      <c r="X365" s="31"/>
      <c r="AD365" s="31"/>
      <c r="AE365" s="31"/>
      <c r="AF365" s="31"/>
    </row>
    <row r="366" ht="15.75" hidden="1" customHeight="1">
      <c r="H366" s="81"/>
      <c r="N366" s="85"/>
      <c r="O366" s="85"/>
      <c r="P366" s="86"/>
      <c r="V366" s="31"/>
      <c r="W366" s="31"/>
      <c r="X366" s="31"/>
      <c r="AD366" s="31"/>
      <c r="AE366" s="31"/>
      <c r="AF366" s="31"/>
    </row>
    <row r="367" ht="15.75" hidden="1" customHeight="1">
      <c r="H367" s="81"/>
      <c r="N367" s="85"/>
      <c r="O367" s="85"/>
      <c r="P367" s="86"/>
      <c r="V367" s="31"/>
      <c r="W367" s="31"/>
      <c r="X367" s="31"/>
      <c r="AD367" s="31"/>
      <c r="AE367" s="31"/>
      <c r="AF367" s="31"/>
    </row>
    <row r="368" ht="15.75" hidden="1" customHeight="1">
      <c r="H368" s="81"/>
      <c r="N368" s="85"/>
      <c r="O368" s="85"/>
      <c r="P368" s="86"/>
      <c r="V368" s="31"/>
      <c r="W368" s="31"/>
      <c r="X368" s="31"/>
      <c r="AD368" s="31"/>
      <c r="AE368" s="31"/>
      <c r="AF368" s="31"/>
    </row>
    <row r="369" ht="15.75" hidden="1" customHeight="1">
      <c r="H369" s="81"/>
      <c r="N369" s="85"/>
      <c r="O369" s="85"/>
      <c r="P369" s="86"/>
      <c r="V369" s="31"/>
      <c r="W369" s="31"/>
      <c r="X369" s="31"/>
      <c r="AD369" s="31"/>
      <c r="AE369" s="31"/>
      <c r="AF369" s="31"/>
    </row>
    <row r="370" ht="15.75" hidden="1" customHeight="1">
      <c r="H370" s="81"/>
      <c r="N370" s="85"/>
      <c r="O370" s="85"/>
      <c r="P370" s="86"/>
      <c r="V370" s="31"/>
      <c r="W370" s="31"/>
      <c r="X370" s="31"/>
      <c r="AD370" s="31"/>
      <c r="AE370" s="31"/>
      <c r="AF370" s="31"/>
    </row>
    <row r="371" ht="15.75" hidden="1" customHeight="1">
      <c r="H371" s="81"/>
      <c r="N371" s="85"/>
      <c r="O371" s="85"/>
      <c r="P371" s="86"/>
      <c r="V371" s="31"/>
      <c r="W371" s="31"/>
      <c r="X371" s="31"/>
      <c r="AD371" s="31"/>
      <c r="AE371" s="31"/>
      <c r="AF371" s="31"/>
    </row>
    <row r="372" ht="15.75" hidden="1" customHeight="1">
      <c r="H372" s="81"/>
      <c r="N372" s="85"/>
      <c r="O372" s="85"/>
      <c r="P372" s="86"/>
      <c r="V372" s="31"/>
      <c r="W372" s="31"/>
      <c r="X372" s="31"/>
      <c r="AD372" s="31"/>
      <c r="AE372" s="31"/>
      <c r="AF372" s="31"/>
    </row>
    <row r="373" ht="15.75" hidden="1" customHeight="1">
      <c r="H373" s="81"/>
      <c r="N373" s="85"/>
      <c r="O373" s="85"/>
      <c r="P373" s="86"/>
      <c r="V373" s="31"/>
      <c r="W373" s="31"/>
      <c r="X373" s="31"/>
      <c r="AD373" s="31"/>
      <c r="AE373" s="31"/>
      <c r="AF373" s="31"/>
    </row>
    <row r="374" ht="15.75" hidden="1" customHeight="1">
      <c r="H374" s="81"/>
      <c r="N374" s="85"/>
      <c r="O374" s="85"/>
      <c r="P374" s="86"/>
      <c r="V374" s="31"/>
      <c r="W374" s="31"/>
      <c r="X374" s="31"/>
      <c r="AD374" s="31"/>
      <c r="AE374" s="31"/>
      <c r="AF374" s="31"/>
    </row>
    <row r="375" ht="15.75" hidden="1" customHeight="1">
      <c r="H375" s="81"/>
      <c r="N375" s="85"/>
      <c r="O375" s="85"/>
      <c r="P375" s="86"/>
      <c r="V375" s="31"/>
      <c r="W375" s="31"/>
      <c r="X375" s="31"/>
      <c r="AD375" s="31"/>
      <c r="AE375" s="31"/>
      <c r="AF375" s="31"/>
    </row>
    <row r="376" ht="15.75" hidden="1" customHeight="1">
      <c r="H376" s="81"/>
      <c r="N376" s="85"/>
      <c r="O376" s="85"/>
      <c r="P376" s="86"/>
      <c r="V376" s="31"/>
      <c r="W376" s="31"/>
      <c r="X376" s="31"/>
      <c r="AD376" s="31"/>
      <c r="AE376" s="31"/>
      <c r="AF376" s="31"/>
    </row>
    <row r="377" ht="15.75" hidden="1" customHeight="1">
      <c r="H377" s="81"/>
      <c r="N377" s="85"/>
      <c r="O377" s="85"/>
      <c r="P377" s="86"/>
      <c r="V377" s="31"/>
      <c r="W377" s="31"/>
      <c r="X377" s="31"/>
      <c r="AD377" s="31"/>
      <c r="AE377" s="31"/>
      <c r="AF377" s="31"/>
    </row>
    <row r="378" ht="15.75" hidden="1" customHeight="1">
      <c r="H378" s="81"/>
      <c r="N378" s="85"/>
      <c r="O378" s="85"/>
      <c r="P378" s="86"/>
      <c r="V378" s="31"/>
      <c r="W378" s="31"/>
      <c r="X378" s="31"/>
      <c r="AD378" s="31"/>
      <c r="AE378" s="31"/>
      <c r="AF378" s="31"/>
    </row>
    <row r="379" ht="15.75" hidden="1" customHeight="1">
      <c r="H379" s="81"/>
      <c r="N379" s="85"/>
      <c r="O379" s="85"/>
      <c r="P379" s="86"/>
      <c r="V379" s="31"/>
      <c r="W379" s="31"/>
      <c r="X379" s="31"/>
      <c r="AD379" s="31"/>
      <c r="AE379" s="31"/>
      <c r="AF379" s="31"/>
    </row>
    <row r="380" ht="15.75" hidden="1" customHeight="1">
      <c r="H380" s="81"/>
      <c r="N380" s="85"/>
      <c r="O380" s="85"/>
      <c r="P380" s="86"/>
      <c r="V380" s="31"/>
      <c r="W380" s="31"/>
      <c r="X380" s="31"/>
      <c r="AD380" s="31"/>
      <c r="AE380" s="31"/>
      <c r="AF380" s="31"/>
    </row>
    <row r="381" ht="15.75" hidden="1" customHeight="1">
      <c r="H381" s="81"/>
      <c r="N381" s="85"/>
      <c r="O381" s="85"/>
      <c r="P381" s="86"/>
      <c r="V381" s="31"/>
      <c r="W381" s="31"/>
      <c r="X381" s="31"/>
      <c r="AD381" s="31"/>
      <c r="AE381" s="31"/>
      <c r="AF381" s="31"/>
    </row>
    <row r="382" ht="15.75" hidden="1" customHeight="1">
      <c r="H382" s="81"/>
      <c r="N382" s="85"/>
      <c r="O382" s="85"/>
      <c r="P382" s="86"/>
      <c r="V382" s="31"/>
      <c r="W382" s="31"/>
      <c r="X382" s="31"/>
      <c r="AD382" s="31"/>
      <c r="AE382" s="31"/>
      <c r="AF382" s="31"/>
    </row>
    <row r="383" ht="15.75" hidden="1" customHeight="1">
      <c r="H383" s="81"/>
      <c r="N383" s="85"/>
      <c r="O383" s="85"/>
      <c r="P383" s="86"/>
      <c r="V383" s="31"/>
      <c r="W383" s="31"/>
      <c r="X383" s="31"/>
      <c r="AD383" s="31"/>
      <c r="AE383" s="31"/>
      <c r="AF383" s="31"/>
    </row>
    <row r="384" ht="15.75" hidden="1" customHeight="1">
      <c r="H384" s="81"/>
      <c r="N384" s="85"/>
      <c r="O384" s="85"/>
      <c r="P384" s="86"/>
      <c r="V384" s="31"/>
      <c r="W384" s="31"/>
      <c r="X384" s="31"/>
      <c r="AD384" s="31"/>
      <c r="AE384" s="31"/>
      <c r="AF384" s="31"/>
    </row>
    <row r="385" ht="15.75" hidden="1" customHeight="1">
      <c r="H385" s="81"/>
      <c r="N385" s="85"/>
      <c r="O385" s="85"/>
      <c r="P385" s="86"/>
      <c r="V385" s="31"/>
      <c r="W385" s="31"/>
      <c r="X385" s="31"/>
      <c r="AD385" s="31"/>
      <c r="AE385" s="31"/>
      <c r="AF385" s="31"/>
    </row>
    <row r="386" ht="15.75" hidden="1" customHeight="1">
      <c r="H386" s="81"/>
      <c r="N386" s="85"/>
      <c r="O386" s="85"/>
      <c r="P386" s="86"/>
      <c r="V386" s="31"/>
      <c r="W386" s="31"/>
      <c r="X386" s="31"/>
      <c r="AD386" s="31"/>
      <c r="AE386" s="31"/>
      <c r="AF386" s="31"/>
    </row>
    <row r="387" ht="15.75" hidden="1" customHeight="1">
      <c r="H387" s="81"/>
      <c r="N387" s="85"/>
      <c r="O387" s="85"/>
      <c r="P387" s="86"/>
      <c r="V387" s="31"/>
      <c r="W387" s="31"/>
      <c r="X387" s="31"/>
      <c r="AD387" s="31"/>
      <c r="AE387" s="31"/>
      <c r="AF387" s="31"/>
    </row>
    <row r="388" ht="15.75" hidden="1" customHeight="1">
      <c r="H388" s="81"/>
      <c r="N388" s="85"/>
      <c r="O388" s="85"/>
      <c r="P388" s="86"/>
      <c r="V388" s="31"/>
      <c r="W388" s="31"/>
      <c r="X388" s="31"/>
      <c r="AD388" s="31"/>
      <c r="AE388" s="31"/>
      <c r="AF388" s="31"/>
    </row>
    <row r="389" ht="15.75" hidden="1" customHeight="1">
      <c r="H389" s="81"/>
      <c r="N389" s="85"/>
      <c r="O389" s="85"/>
      <c r="P389" s="86"/>
      <c r="V389" s="31"/>
      <c r="W389" s="31"/>
      <c r="X389" s="31"/>
      <c r="AD389" s="31"/>
      <c r="AE389" s="31"/>
      <c r="AF389" s="31"/>
    </row>
    <row r="390" ht="15.75" hidden="1" customHeight="1">
      <c r="H390" s="81"/>
      <c r="N390" s="85"/>
      <c r="O390" s="85"/>
      <c r="P390" s="86"/>
      <c r="V390" s="31"/>
      <c r="W390" s="31"/>
      <c r="X390" s="31"/>
      <c r="AD390" s="31"/>
      <c r="AE390" s="31"/>
      <c r="AF390" s="31"/>
    </row>
    <row r="391" ht="15.75" hidden="1" customHeight="1">
      <c r="H391" s="81"/>
      <c r="N391" s="85"/>
      <c r="O391" s="85"/>
      <c r="P391" s="86"/>
      <c r="V391" s="31"/>
      <c r="W391" s="31"/>
      <c r="X391" s="31"/>
      <c r="AD391" s="31"/>
      <c r="AE391" s="31"/>
      <c r="AF391" s="31"/>
    </row>
    <row r="392" ht="15.75" hidden="1" customHeight="1">
      <c r="H392" s="81"/>
      <c r="N392" s="85"/>
      <c r="O392" s="85"/>
      <c r="P392" s="86"/>
      <c r="V392" s="31"/>
      <c r="W392" s="31"/>
      <c r="X392" s="31"/>
      <c r="AD392" s="31"/>
      <c r="AE392" s="31"/>
      <c r="AF392" s="31"/>
    </row>
    <row r="393" ht="15.75" hidden="1" customHeight="1">
      <c r="H393" s="81"/>
      <c r="N393" s="85"/>
      <c r="O393" s="85"/>
      <c r="P393" s="86"/>
      <c r="V393" s="31"/>
      <c r="W393" s="31"/>
      <c r="X393" s="31"/>
      <c r="AD393" s="31"/>
      <c r="AE393" s="31"/>
      <c r="AF393" s="31"/>
    </row>
    <row r="394" ht="15.75" hidden="1" customHeight="1">
      <c r="H394" s="81"/>
      <c r="N394" s="85"/>
      <c r="O394" s="85"/>
      <c r="P394" s="86"/>
      <c r="V394" s="31"/>
      <c r="W394" s="31"/>
      <c r="X394" s="31"/>
      <c r="AD394" s="31"/>
      <c r="AE394" s="31"/>
      <c r="AF394" s="31"/>
    </row>
    <row r="395" ht="15.75" hidden="1" customHeight="1">
      <c r="H395" s="81"/>
      <c r="N395" s="85"/>
      <c r="O395" s="85"/>
      <c r="P395" s="86"/>
      <c r="V395" s="31"/>
      <c r="W395" s="31"/>
      <c r="X395" s="31"/>
      <c r="AD395" s="31"/>
      <c r="AE395" s="31"/>
      <c r="AF395" s="31"/>
    </row>
    <row r="396" ht="15.75" hidden="1" customHeight="1">
      <c r="H396" s="81"/>
      <c r="N396" s="85"/>
      <c r="O396" s="85"/>
      <c r="P396" s="86"/>
      <c r="V396" s="31"/>
      <c r="W396" s="31"/>
      <c r="X396" s="31"/>
      <c r="AD396" s="31"/>
      <c r="AE396" s="31"/>
      <c r="AF396" s="31"/>
    </row>
    <row r="397" ht="15.75" hidden="1" customHeight="1">
      <c r="H397" s="81"/>
      <c r="N397" s="85"/>
      <c r="O397" s="85"/>
      <c r="P397" s="86"/>
      <c r="V397" s="31"/>
      <c r="W397" s="31"/>
      <c r="X397" s="31"/>
      <c r="AD397" s="31"/>
      <c r="AE397" s="31"/>
      <c r="AF397" s="31"/>
    </row>
    <row r="398" ht="15.75" hidden="1" customHeight="1">
      <c r="H398" s="81"/>
      <c r="N398" s="85"/>
      <c r="O398" s="85"/>
      <c r="P398" s="86"/>
      <c r="V398" s="31"/>
      <c r="W398" s="31"/>
      <c r="X398" s="31"/>
      <c r="AD398" s="31"/>
      <c r="AE398" s="31"/>
      <c r="AF398" s="31"/>
    </row>
    <row r="399" ht="15.75" hidden="1" customHeight="1">
      <c r="H399" s="81"/>
      <c r="N399" s="85"/>
      <c r="O399" s="85"/>
      <c r="P399" s="86"/>
      <c r="V399" s="31"/>
      <c r="W399" s="31"/>
      <c r="X399" s="31"/>
      <c r="AD399" s="31"/>
      <c r="AE399" s="31"/>
      <c r="AF399" s="31"/>
    </row>
    <row r="400" ht="15.75" hidden="1" customHeight="1">
      <c r="H400" s="81"/>
      <c r="N400" s="85"/>
      <c r="O400" s="85"/>
      <c r="P400" s="86"/>
      <c r="V400" s="31"/>
      <c r="W400" s="31"/>
      <c r="X400" s="31"/>
      <c r="AD400" s="31"/>
      <c r="AE400" s="31"/>
      <c r="AF400" s="31"/>
    </row>
    <row r="401" ht="15.75" hidden="1" customHeight="1">
      <c r="H401" s="81"/>
      <c r="N401" s="85"/>
      <c r="O401" s="85"/>
      <c r="P401" s="86"/>
      <c r="V401" s="31"/>
      <c r="W401" s="31"/>
      <c r="X401" s="31"/>
      <c r="AD401" s="31"/>
      <c r="AE401" s="31"/>
      <c r="AF401" s="31"/>
    </row>
    <row r="402" ht="15.75" hidden="1" customHeight="1">
      <c r="H402" s="81"/>
      <c r="N402" s="85"/>
      <c r="O402" s="85"/>
      <c r="P402" s="86"/>
      <c r="V402" s="31"/>
      <c r="W402" s="31"/>
      <c r="X402" s="31"/>
      <c r="AD402" s="31"/>
      <c r="AE402" s="31"/>
      <c r="AF402" s="31"/>
    </row>
    <row r="403" ht="15.75" hidden="1" customHeight="1">
      <c r="H403" s="81"/>
      <c r="N403" s="85"/>
      <c r="O403" s="85"/>
      <c r="P403" s="86"/>
      <c r="V403" s="31"/>
      <c r="W403" s="31"/>
      <c r="X403" s="31"/>
      <c r="AD403" s="31"/>
      <c r="AE403" s="31"/>
      <c r="AF403" s="31"/>
    </row>
    <row r="404" ht="15.75" hidden="1" customHeight="1">
      <c r="H404" s="81"/>
      <c r="N404" s="85"/>
      <c r="O404" s="85"/>
      <c r="P404" s="86"/>
      <c r="V404" s="31"/>
      <c r="W404" s="31"/>
      <c r="X404" s="31"/>
      <c r="AD404" s="31"/>
      <c r="AE404" s="31"/>
      <c r="AF404" s="31"/>
    </row>
    <row r="405" ht="15.75" hidden="1" customHeight="1">
      <c r="H405" s="81"/>
      <c r="N405" s="85"/>
      <c r="O405" s="85"/>
      <c r="P405" s="86"/>
      <c r="V405" s="31"/>
      <c r="W405" s="31"/>
      <c r="X405" s="31"/>
      <c r="AD405" s="31"/>
      <c r="AE405" s="31"/>
      <c r="AF405" s="31"/>
    </row>
    <row r="406" ht="15.75" hidden="1" customHeight="1">
      <c r="H406" s="81"/>
      <c r="N406" s="85"/>
      <c r="O406" s="85"/>
      <c r="P406" s="86"/>
      <c r="V406" s="31"/>
      <c r="W406" s="31"/>
      <c r="X406" s="31"/>
      <c r="AD406" s="31"/>
      <c r="AE406" s="31"/>
      <c r="AF406" s="31"/>
    </row>
    <row r="407" ht="15.75" hidden="1" customHeight="1">
      <c r="H407" s="81"/>
      <c r="N407" s="85"/>
      <c r="O407" s="85"/>
      <c r="P407" s="86"/>
      <c r="V407" s="31"/>
      <c r="W407" s="31"/>
      <c r="X407" s="31"/>
      <c r="AD407" s="31"/>
      <c r="AE407" s="31"/>
      <c r="AF407" s="31"/>
    </row>
    <row r="408" ht="15.75" hidden="1" customHeight="1">
      <c r="H408" s="81"/>
      <c r="N408" s="85"/>
      <c r="O408" s="85"/>
      <c r="P408" s="86"/>
      <c r="V408" s="31"/>
      <c r="W408" s="31"/>
      <c r="X408" s="31"/>
      <c r="AD408" s="31"/>
      <c r="AE408" s="31"/>
      <c r="AF408" s="31"/>
    </row>
    <row r="409" ht="15.75" hidden="1" customHeight="1">
      <c r="H409" s="81"/>
      <c r="N409" s="85"/>
      <c r="O409" s="85"/>
      <c r="P409" s="86"/>
      <c r="V409" s="31"/>
      <c r="W409" s="31"/>
      <c r="X409" s="31"/>
      <c r="AD409" s="31"/>
      <c r="AE409" s="31"/>
      <c r="AF409" s="31"/>
    </row>
    <row r="410" ht="15.75" hidden="1" customHeight="1">
      <c r="H410" s="81"/>
      <c r="N410" s="85"/>
      <c r="O410" s="85"/>
      <c r="P410" s="86"/>
      <c r="V410" s="31"/>
      <c r="W410" s="31"/>
      <c r="X410" s="31"/>
      <c r="AD410" s="31"/>
      <c r="AE410" s="31"/>
      <c r="AF410" s="31"/>
    </row>
    <row r="411" ht="15.75" hidden="1" customHeight="1">
      <c r="H411" s="81"/>
      <c r="N411" s="85"/>
      <c r="O411" s="85"/>
      <c r="P411" s="86"/>
      <c r="V411" s="31"/>
      <c r="W411" s="31"/>
      <c r="X411" s="31"/>
      <c r="AD411" s="31"/>
      <c r="AE411" s="31"/>
      <c r="AF411" s="31"/>
    </row>
    <row r="412" ht="15.75" hidden="1" customHeight="1">
      <c r="H412" s="81"/>
      <c r="N412" s="85"/>
      <c r="O412" s="85"/>
      <c r="P412" s="86"/>
      <c r="V412" s="31"/>
      <c r="W412" s="31"/>
      <c r="X412" s="31"/>
      <c r="AD412" s="31"/>
      <c r="AE412" s="31"/>
      <c r="AF412" s="31"/>
    </row>
    <row r="413" ht="15.75" hidden="1" customHeight="1">
      <c r="H413" s="81"/>
      <c r="N413" s="85"/>
      <c r="O413" s="85"/>
      <c r="P413" s="86"/>
      <c r="V413" s="31"/>
      <c r="W413" s="31"/>
      <c r="X413" s="31"/>
      <c r="AD413" s="31"/>
      <c r="AE413" s="31"/>
      <c r="AF413" s="31"/>
    </row>
    <row r="414" ht="15.75" hidden="1" customHeight="1">
      <c r="H414" s="81"/>
      <c r="N414" s="85"/>
      <c r="O414" s="85"/>
      <c r="P414" s="86"/>
      <c r="V414" s="31"/>
      <c r="W414" s="31"/>
      <c r="X414" s="31"/>
      <c r="AD414" s="31"/>
      <c r="AE414" s="31"/>
      <c r="AF414" s="31"/>
    </row>
    <row r="415" ht="15.75" hidden="1" customHeight="1">
      <c r="H415" s="81"/>
      <c r="N415" s="85"/>
      <c r="O415" s="85"/>
      <c r="P415" s="86"/>
      <c r="V415" s="31"/>
      <c r="W415" s="31"/>
      <c r="X415" s="31"/>
      <c r="AD415" s="31"/>
      <c r="AE415" s="31"/>
      <c r="AF415" s="31"/>
    </row>
    <row r="416" ht="15.75" hidden="1" customHeight="1">
      <c r="H416" s="81"/>
      <c r="N416" s="85"/>
      <c r="O416" s="85"/>
      <c r="P416" s="86"/>
      <c r="V416" s="31"/>
      <c r="W416" s="31"/>
      <c r="X416" s="31"/>
      <c r="AD416" s="31"/>
      <c r="AE416" s="31"/>
      <c r="AF416" s="31"/>
    </row>
    <row r="417" ht="15.75" hidden="1" customHeight="1">
      <c r="H417" s="81"/>
      <c r="N417" s="85"/>
      <c r="O417" s="85"/>
      <c r="P417" s="86"/>
      <c r="V417" s="31"/>
      <c r="W417" s="31"/>
      <c r="X417" s="31"/>
      <c r="AD417" s="31"/>
      <c r="AE417" s="31"/>
      <c r="AF417" s="31"/>
    </row>
    <row r="418" ht="15.75" hidden="1" customHeight="1">
      <c r="H418" s="81"/>
      <c r="N418" s="85"/>
      <c r="O418" s="85"/>
      <c r="P418" s="86"/>
      <c r="V418" s="31"/>
      <c r="W418" s="31"/>
      <c r="X418" s="31"/>
      <c r="AD418" s="31"/>
      <c r="AE418" s="31"/>
      <c r="AF418" s="31"/>
    </row>
    <row r="419" ht="15.75" hidden="1" customHeight="1">
      <c r="H419" s="81"/>
      <c r="N419" s="85"/>
      <c r="O419" s="85"/>
      <c r="P419" s="86"/>
      <c r="V419" s="31"/>
      <c r="W419" s="31"/>
      <c r="X419" s="31"/>
      <c r="AD419" s="31"/>
      <c r="AE419" s="31"/>
      <c r="AF419" s="31"/>
    </row>
    <row r="420" ht="15.75" hidden="1" customHeight="1">
      <c r="H420" s="81"/>
      <c r="N420" s="85"/>
      <c r="O420" s="85"/>
      <c r="P420" s="86"/>
      <c r="V420" s="31"/>
      <c r="W420" s="31"/>
      <c r="X420" s="31"/>
      <c r="AD420" s="31"/>
      <c r="AE420" s="31"/>
      <c r="AF420" s="31"/>
    </row>
    <row r="421" ht="15.75" hidden="1" customHeight="1">
      <c r="H421" s="81"/>
      <c r="N421" s="85"/>
      <c r="O421" s="85"/>
      <c r="P421" s="86"/>
      <c r="V421" s="31"/>
      <c r="W421" s="31"/>
      <c r="X421" s="31"/>
      <c r="AD421" s="31"/>
      <c r="AE421" s="31"/>
      <c r="AF421" s="31"/>
    </row>
    <row r="422" ht="15.75" hidden="1" customHeight="1">
      <c r="H422" s="81"/>
      <c r="N422" s="85"/>
      <c r="O422" s="85"/>
      <c r="P422" s="86"/>
      <c r="V422" s="31"/>
      <c r="W422" s="31"/>
      <c r="X422" s="31"/>
      <c r="AD422" s="31"/>
      <c r="AE422" s="31"/>
      <c r="AF422" s="31"/>
    </row>
    <row r="423" ht="15.75" hidden="1" customHeight="1">
      <c r="H423" s="81"/>
      <c r="N423" s="85"/>
      <c r="O423" s="85"/>
      <c r="P423" s="86"/>
      <c r="V423" s="31"/>
      <c r="W423" s="31"/>
      <c r="X423" s="31"/>
      <c r="AD423" s="31"/>
      <c r="AE423" s="31"/>
      <c r="AF423" s="31"/>
    </row>
    <row r="424" ht="15.75" hidden="1" customHeight="1">
      <c r="H424" s="81"/>
      <c r="N424" s="85"/>
      <c r="O424" s="85"/>
      <c r="P424" s="86"/>
      <c r="V424" s="31"/>
      <c r="W424" s="31"/>
      <c r="X424" s="31"/>
      <c r="AD424" s="31"/>
      <c r="AE424" s="31"/>
      <c r="AF424" s="31"/>
    </row>
    <row r="425" ht="15.75" hidden="1" customHeight="1">
      <c r="H425" s="81"/>
      <c r="N425" s="85"/>
      <c r="O425" s="85"/>
      <c r="P425" s="86"/>
      <c r="V425" s="31"/>
      <c r="W425" s="31"/>
      <c r="X425" s="31"/>
      <c r="AD425" s="31"/>
      <c r="AE425" s="31"/>
      <c r="AF425" s="31"/>
    </row>
    <row r="426" ht="15.75" hidden="1" customHeight="1">
      <c r="H426" s="81"/>
      <c r="N426" s="85"/>
      <c r="O426" s="85"/>
      <c r="P426" s="86"/>
      <c r="V426" s="31"/>
      <c r="W426" s="31"/>
      <c r="X426" s="31"/>
      <c r="AD426" s="31"/>
      <c r="AE426" s="31"/>
      <c r="AF426" s="31"/>
    </row>
    <row r="427" ht="15.75" hidden="1" customHeight="1">
      <c r="H427" s="81"/>
      <c r="N427" s="85"/>
      <c r="O427" s="85"/>
      <c r="P427" s="86"/>
      <c r="V427" s="31"/>
      <c r="W427" s="31"/>
      <c r="X427" s="31"/>
      <c r="AD427" s="31"/>
      <c r="AE427" s="31"/>
      <c r="AF427" s="31"/>
    </row>
    <row r="428" ht="15.75" hidden="1" customHeight="1">
      <c r="H428" s="81"/>
      <c r="N428" s="85"/>
      <c r="O428" s="85"/>
      <c r="P428" s="86"/>
      <c r="V428" s="31"/>
      <c r="W428" s="31"/>
      <c r="X428" s="31"/>
      <c r="AD428" s="31"/>
      <c r="AE428" s="31"/>
      <c r="AF428" s="31"/>
    </row>
    <row r="429" ht="15.75" hidden="1" customHeight="1">
      <c r="H429" s="81"/>
      <c r="N429" s="85"/>
      <c r="O429" s="85"/>
      <c r="P429" s="86"/>
      <c r="V429" s="31"/>
      <c r="W429" s="31"/>
      <c r="X429" s="31"/>
      <c r="AD429" s="31"/>
      <c r="AE429" s="31"/>
      <c r="AF429" s="31"/>
    </row>
    <row r="430" ht="15.75" hidden="1" customHeight="1">
      <c r="H430" s="81"/>
      <c r="N430" s="85"/>
      <c r="O430" s="85"/>
      <c r="P430" s="86"/>
      <c r="V430" s="31"/>
      <c r="W430" s="31"/>
      <c r="X430" s="31"/>
      <c r="AD430" s="31"/>
      <c r="AE430" s="31"/>
      <c r="AF430" s="31"/>
    </row>
    <row r="431" ht="15.75" hidden="1" customHeight="1">
      <c r="H431" s="81"/>
      <c r="N431" s="85"/>
      <c r="O431" s="85"/>
      <c r="P431" s="86"/>
      <c r="V431" s="31"/>
      <c r="W431" s="31"/>
      <c r="X431" s="31"/>
      <c r="AD431" s="31"/>
      <c r="AE431" s="31"/>
      <c r="AF431" s="31"/>
    </row>
    <row r="432" ht="15.75" hidden="1" customHeight="1">
      <c r="H432" s="81"/>
      <c r="N432" s="85"/>
      <c r="O432" s="85"/>
      <c r="P432" s="86"/>
      <c r="V432" s="31"/>
      <c r="W432" s="31"/>
      <c r="X432" s="31"/>
      <c r="AD432" s="31"/>
      <c r="AE432" s="31"/>
      <c r="AF432" s="31"/>
    </row>
    <row r="433" ht="15.75" hidden="1" customHeight="1">
      <c r="H433" s="81"/>
      <c r="N433" s="85"/>
      <c r="O433" s="85"/>
      <c r="P433" s="86"/>
      <c r="V433" s="31"/>
      <c r="W433" s="31"/>
      <c r="X433" s="31"/>
      <c r="AD433" s="31"/>
      <c r="AE433" s="31"/>
      <c r="AF433" s="31"/>
    </row>
    <row r="434" ht="15.75" hidden="1" customHeight="1">
      <c r="H434" s="81"/>
      <c r="N434" s="85"/>
      <c r="O434" s="85"/>
      <c r="P434" s="86"/>
      <c r="V434" s="31"/>
      <c r="W434" s="31"/>
      <c r="X434" s="31"/>
      <c r="AD434" s="31"/>
      <c r="AE434" s="31"/>
      <c r="AF434" s="31"/>
    </row>
    <row r="435" ht="15.75" hidden="1" customHeight="1">
      <c r="H435" s="81"/>
      <c r="N435" s="85"/>
      <c r="O435" s="85"/>
      <c r="P435" s="86"/>
      <c r="V435" s="31"/>
      <c r="W435" s="31"/>
      <c r="X435" s="31"/>
      <c r="AD435" s="31"/>
      <c r="AE435" s="31"/>
      <c r="AF435" s="31"/>
    </row>
    <row r="436" ht="15.75" hidden="1" customHeight="1">
      <c r="H436" s="81"/>
      <c r="N436" s="85"/>
      <c r="O436" s="85"/>
      <c r="P436" s="86"/>
      <c r="V436" s="31"/>
      <c r="W436" s="31"/>
      <c r="X436" s="31"/>
      <c r="AD436" s="31"/>
      <c r="AE436" s="31"/>
      <c r="AF436" s="31"/>
    </row>
    <row r="437" ht="15.75" hidden="1" customHeight="1">
      <c r="H437" s="81"/>
      <c r="N437" s="85"/>
      <c r="O437" s="85"/>
      <c r="P437" s="86"/>
      <c r="V437" s="31"/>
      <c r="W437" s="31"/>
      <c r="X437" s="31"/>
      <c r="AD437" s="31"/>
      <c r="AE437" s="31"/>
      <c r="AF437" s="31"/>
    </row>
    <row r="438" ht="15.75" hidden="1" customHeight="1">
      <c r="H438" s="81"/>
      <c r="N438" s="85"/>
      <c r="O438" s="85"/>
      <c r="P438" s="86"/>
      <c r="V438" s="31"/>
      <c r="W438" s="31"/>
      <c r="X438" s="31"/>
      <c r="AD438" s="31"/>
      <c r="AE438" s="31"/>
      <c r="AF438" s="31"/>
    </row>
    <row r="439" ht="15.75" hidden="1" customHeight="1">
      <c r="H439" s="81"/>
      <c r="N439" s="85"/>
      <c r="O439" s="85"/>
      <c r="P439" s="86"/>
      <c r="V439" s="31"/>
      <c r="W439" s="31"/>
      <c r="X439" s="31"/>
      <c r="AD439" s="31"/>
      <c r="AE439" s="31"/>
      <c r="AF439" s="31"/>
    </row>
    <row r="440" ht="15.75" hidden="1" customHeight="1">
      <c r="H440" s="81"/>
      <c r="N440" s="85"/>
      <c r="O440" s="85"/>
      <c r="P440" s="86"/>
      <c r="V440" s="31"/>
      <c r="W440" s="31"/>
      <c r="X440" s="31"/>
      <c r="AD440" s="31"/>
      <c r="AE440" s="31"/>
      <c r="AF440" s="31"/>
    </row>
    <row r="441" ht="15.75" hidden="1" customHeight="1">
      <c r="H441" s="81"/>
      <c r="N441" s="85"/>
      <c r="O441" s="85"/>
      <c r="P441" s="86"/>
      <c r="V441" s="31"/>
      <c r="W441" s="31"/>
      <c r="X441" s="31"/>
      <c r="AD441" s="31"/>
      <c r="AE441" s="31"/>
      <c r="AF441" s="31"/>
    </row>
    <row r="442" ht="15.75" hidden="1" customHeight="1">
      <c r="H442" s="81"/>
      <c r="N442" s="85"/>
      <c r="O442" s="85"/>
      <c r="P442" s="86"/>
      <c r="V442" s="31"/>
      <c r="W442" s="31"/>
      <c r="X442" s="31"/>
      <c r="AD442" s="31"/>
      <c r="AE442" s="31"/>
      <c r="AF442" s="31"/>
    </row>
    <row r="443" ht="15.75" hidden="1" customHeight="1">
      <c r="H443" s="81"/>
      <c r="N443" s="85"/>
      <c r="O443" s="85"/>
      <c r="P443" s="86"/>
      <c r="V443" s="31"/>
      <c r="W443" s="31"/>
      <c r="X443" s="31"/>
      <c r="AD443" s="31"/>
      <c r="AE443" s="31"/>
      <c r="AF443" s="31"/>
    </row>
    <row r="444" ht="15.75" hidden="1" customHeight="1">
      <c r="H444" s="81"/>
      <c r="N444" s="85"/>
      <c r="O444" s="85"/>
      <c r="P444" s="86"/>
      <c r="V444" s="31"/>
      <c r="W444" s="31"/>
      <c r="X444" s="31"/>
      <c r="AD444" s="31"/>
      <c r="AE444" s="31"/>
      <c r="AF444" s="31"/>
    </row>
    <row r="445" ht="15.75" hidden="1" customHeight="1">
      <c r="H445" s="81"/>
      <c r="N445" s="85"/>
      <c r="O445" s="85"/>
      <c r="P445" s="86"/>
      <c r="V445" s="31"/>
      <c r="W445" s="31"/>
      <c r="X445" s="31"/>
      <c r="AD445" s="31"/>
      <c r="AE445" s="31"/>
      <c r="AF445" s="31"/>
    </row>
    <row r="446" ht="15.75" hidden="1" customHeight="1">
      <c r="H446" s="81"/>
      <c r="N446" s="85"/>
      <c r="O446" s="85"/>
      <c r="P446" s="86"/>
      <c r="V446" s="31"/>
      <c r="W446" s="31"/>
      <c r="X446" s="31"/>
      <c r="AD446" s="31"/>
      <c r="AE446" s="31"/>
      <c r="AF446" s="31"/>
    </row>
    <row r="447" ht="15.75" hidden="1" customHeight="1">
      <c r="H447" s="81"/>
      <c r="N447" s="85"/>
      <c r="O447" s="85"/>
      <c r="P447" s="86"/>
      <c r="V447" s="31"/>
      <c r="W447" s="31"/>
      <c r="X447" s="31"/>
      <c r="AD447" s="31"/>
      <c r="AE447" s="31"/>
      <c r="AF447" s="31"/>
    </row>
    <row r="448" ht="15.75" hidden="1" customHeight="1">
      <c r="H448" s="81"/>
      <c r="N448" s="85"/>
      <c r="O448" s="85"/>
      <c r="P448" s="86"/>
      <c r="V448" s="31"/>
      <c r="W448" s="31"/>
      <c r="X448" s="31"/>
      <c r="AD448" s="31"/>
      <c r="AE448" s="31"/>
      <c r="AF448" s="31"/>
    </row>
    <row r="449" ht="15.75" hidden="1" customHeight="1">
      <c r="H449" s="81"/>
      <c r="N449" s="85"/>
      <c r="O449" s="85"/>
      <c r="P449" s="86"/>
      <c r="V449" s="31"/>
      <c r="W449" s="31"/>
      <c r="X449" s="31"/>
      <c r="AD449" s="31"/>
      <c r="AE449" s="31"/>
      <c r="AF449" s="31"/>
    </row>
    <row r="450" ht="15.75" hidden="1" customHeight="1">
      <c r="H450" s="81"/>
      <c r="N450" s="85"/>
      <c r="O450" s="85"/>
      <c r="P450" s="86"/>
      <c r="V450" s="31"/>
      <c r="W450" s="31"/>
      <c r="X450" s="31"/>
      <c r="AD450" s="31"/>
      <c r="AE450" s="31"/>
      <c r="AF450" s="31"/>
    </row>
    <row r="451" ht="15.75" hidden="1" customHeight="1">
      <c r="H451" s="81"/>
      <c r="N451" s="85"/>
      <c r="O451" s="85"/>
      <c r="P451" s="86"/>
      <c r="V451" s="31"/>
      <c r="W451" s="31"/>
      <c r="X451" s="31"/>
      <c r="AD451" s="31"/>
      <c r="AE451" s="31"/>
      <c r="AF451" s="31"/>
    </row>
    <row r="452" ht="15.75" hidden="1" customHeight="1">
      <c r="H452" s="81"/>
      <c r="N452" s="85"/>
      <c r="O452" s="85"/>
      <c r="P452" s="86"/>
      <c r="V452" s="31"/>
      <c r="W452" s="31"/>
      <c r="X452" s="31"/>
      <c r="AD452" s="31"/>
      <c r="AE452" s="31"/>
      <c r="AF452" s="31"/>
    </row>
    <row r="453" ht="15.75" hidden="1" customHeight="1">
      <c r="H453" s="81"/>
      <c r="N453" s="85"/>
      <c r="O453" s="85"/>
      <c r="P453" s="86"/>
      <c r="V453" s="31"/>
      <c r="W453" s="31"/>
      <c r="X453" s="31"/>
      <c r="AD453" s="31"/>
      <c r="AE453" s="31"/>
      <c r="AF453" s="31"/>
    </row>
    <row r="454" ht="15.75" hidden="1" customHeight="1">
      <c r="H454" s="81"/>
      <c r="N454" s="85"/>
      <c r="O454" s="85"/>
      <c r="P454" s="86"/>
      <c r="V454" s="31"/>
      <c r="W454" s="31"/>
      <c r="X454" s="31"/>
      <c r="AD454" s="31"/>
      <c r="AE454" s="31"/>
      <c r="AF454" s="31"/>
    </row>
    <row r="455" ht="15.75" hidden="1" customHeight="1">
      <c r="H455" s="81"/>
      <c r="N455" s="85"/>
      <c r="O455" s="85"/>
      <c r="P455" s="86"/>
      <c r="V455" s="31"/>
      <c r="W455" s="31"/>
      <c r="X455" s="31"/>
      <c r="AD455" s="31"/>
      <c r="AE455" s="31"/>
      <c r="AF455" s="31"/>
    </row>
    <row r="456" ht="15.75" hidden="1" customHeight="1">
      <c r="H456" s="81"/>
      <c r="N456" s="85"/>
      <c r="O456" s="85"/>
      <c r="P456" s="86"/>
      <c r="V456" s="31"/>
      <c r="W456" s="31"/>
      <c r="X456" s="31"/>
      <c r="AD456" s="31"/>
      <c r="AE456" s="31"/>
      <c r="AF456" s="31"/>
    </row>
    <row r="457" ht="15.75" hidden="1" customHeight="1">
      <c r="H457" s="81"/>
      <c r="N457" s="85"/>
      <c r="O457" s="85"/>
      <c r="P457" s="86"/>
      <c r="V457" s="31"/>
      <c r="W457" s="31"/>
      <c r="X457" s="31"/>
      <c r="AD457" s="31"/>
      <c r="AE457" s="31"/>
      <c r="AF457" s="31"/>
    </row>
    <row r="458" ht="15.75" hidden="1" customHeight="1">
      <c r="H458" s="81"/>
      <c r="N458" s="85"/>
      <c r="O458" s="85"/>
      <c r="P458" s="86"/>
      <c r="V458" s="31"/>
      <c r="W458" s="31"/>
      <c r="X458" s="31"/>
      <c r="AD458" s="31"/>
      <c r="AE458" s="31"/>
      <c r="AF458" s="31"/>
    </row>
    <row r="459" ht="15.75" hidden="1" customHeight="1">
      <c r="H459" s="81"/>
      <c r="N459" s="85"/>
      <c r="O459" s="85"/>
      <c r="P459" s="86"/>
      <c r="V459" s="31"/>
      <c r="W459" s="31"/>
      <c r="X459" s="31"/>
      <c r="AD459" s="31"/>
      <c r="AE459" s="31"/>
      <c r="AF459" s="31"/>
    </row>
    <row r="460" ht="15.75" hidden="1" customHeight="1">
      <c r="H460" s="81"/>
      <c r="N460" s="85"/>
      <c r="O460" s="85"/>
      <c r="P460" s="86"/>
      <c r="V460" s="31"/>
      <c r="W460" s="31"/>
      <c r="X460" s="31"/>
      <c r="AD460" s="31"/>
      <c r="AE460" s="31"/>
      <c r="AF460" s="31"/>
    </row>
    <row r="461" ht="15.75" hidden="1" customHeight="1">
      <c r="H461" s="81"/>
      <c r="N461" s="85"/>
      <c r="O461" s="85"/>
      <c r="P461" s="86"/>
      <c r="V461" s="31"/>
      <c r="W461" s="31"/>
      <c r="X461" s="31"/>
      <c r="AD461" s="31"/>
      <c r="AE461" s="31"/>
      <c r="AF461" s="31"/>
    </row>
    <row r="462" ht="15.75" hidden="1" customHeight="1">
      <c r="H462" s="81"/>
      <c r="N462" s="85"/>
      <c r="O462" s="85"/>
      <c r="P462" s="86"/>
      <c r="V462" s="31"/>
      <c r="W462" s="31"/>
      <c r="X462" s="31"/>
      <c r="AD462" s="31"/>
      <c r="AE462" s="31"/>
      <c r="AF462" s="31"/>
    </row>
    <row r="463" ht="15.75" hidden="1" customHeight="1">
      <c r="H463" s="81"/>
      <c r="N463" s="85"/>
      <c r="O463" s="85"/>
      <c r="P463" s="86"/>
      <c r="V463" s="31"/>
      <c r="W463" s="31"/>
      <c r="X463" s="31"/>
      <c r="AD463" s="31"/>
      <c r="AE463" s="31"/>
      <c r="AF463" s="31"/>
    </row>
    <row r="464" ht="15.75" hidden="1" customHeight="1">
      <c r="H464" s="81"/>
      <c r="N464" s="85"/>
      <c r="O464" s="85"/>
      <c r="P464" s="86"/>
      <c r="V464" s="31"/>
      <c r="W464" s="31"/>
      <c r="X464" s="31"/>
      <c r="AD464" s="31"/>
      <c r="AE464" s="31"/>
      <c r="AF464" s="31"/>
    </row>
    <row r="465" ht="15.75" hidden="1" customHeight="1">
      <c r="H465" s="81"/>
      <c r="N465" s="85"/>
      <c r="O465" s="85"/>
      <c r="P465" s="86"/>
      <c r="V465" s="31"/>
      <c r="W465" s="31"/>
      <c r="X465" s="31"/>
      <c r="AD465" s="31"/>
      <c r="AE465" s="31"/>
      <c r="AF465" s="31"/>
    </row>
    <row r="466" ht="15.75" hidden="1" customHeight="1">
      <c r="H466" s="81"/>
      <c r="N466" s="85"/>
      <c r="O466" s="85"/>
      <c r="P466" s="86"/>
      <c r="V466" s="31"/>
      <c r="W466" s="31"/>
      <c r="X466" s="31"/>
      <c r="AD466" s="31"/>
      <c r="AE466" s="31"/>
      <c r="AF466" s="31"/>
    </row>
    <row r="467" ht="15.75" hidden="1" customHeight="1">
      <c r="H467" s="81"/>
      <c r="N467" s="85"/>
      <c r="O467" s="85"/>
      <c r="P467" s="86"/>
      <c r="V467" s="31"/>
      <c r="W467" s="31"/>
      <c r="X467" s="31"/>
      <c r="AD467" s="31"/>
      <c r="AE467" s="31"/>
      <c r="AF467" s="31"/>
    </row>
    <row r="468" ht="15.75" hidden="1" customHeight="1">
      <c r="H468" s="81"/>
      <c r="N468" s="85"/>
      <c r="O468" s="85"/>
      <c r="P468" s="86"/>
      <c r="V468" s="31"/>
      <c r="W468" s="31"/>
      <c r="X468" s="31"/>
      <c r="AD468" s="31"/>
      <c r="AE468" s="31"/>
      <c r="AF468" s="31"/>
    </row>
    <row r="469" ht="15.75" hidden="1" customHeight="1">
      <c r="H469" s="81"/>
      <c r="N469" s="85"/>
      <c r="O469" s="85"/>
      <c r="P469" s="86"/>
      <c r="V469" s="31"/>
      <c r="W469" s="31"/>
      <c r="X469" s="31"/>
      <c r="AD469" s="31"/>
      <c r="AE469" s="31"/>
      <c r="AF469" s="31"/>
    </row>
    <row r="470" ht="15.75" hidden="1" customHeight="1">
      <c r="H470" s="81"/>
      <c r="N470" s="85"/>
      <c r="O470" s="85"/>
      <c r="P470" s="86"/>
      <c r="V470" s="31"/>
      <c r="W470" s="31"/>
      <c r="X470" s="31"/>
      <c r="AD470" s="31"/>
      <c r="AE470" s="31"/>
      <c r="AF470" s="31"/>
    </row>
    <row r="471" ht="15.75" hidden="1" customHeight="1">
      <c r="H471" s="81"/>
      <c r="N471" s="85"/>
      <c r="O471" s="85"/>
      <c r="P471" s="86"/>
      <c r="V471" s="31"/>
      <c r="W471" s="31"/>
      <c r="X471" s="31"/>
      <c r="AD471" s="31"/>
      <c r="AE471" s="31"/>
      <c r="AF471" s="31"/>
    </row>
    <row r="472" ht="15.75" hidden="1" customHeight="1">
      <c r="H472" s="81"/>
      <c r="N472" s="85"/>
      <c r="O472" s="85"/>
      <c r="P472" s="86"/>
      <c r="V472" s="31"/>
      <c r="W472" s="31"/>
      <c r="X472" s="31"/>
      <c r="AD472" s="31"/>
      <c r="AE472" s="31"/>
      <c r="AF472" s="31"/>
    </row>
    <row r="473" ht="15.75" hidden="1" customHeight="1">
      <c r="H473" s="81"/>
      <c r="N473" s="85"/>
      <c r="O473" s="85"/>
      <c r="P473" s="86"/>
      <c r="V473" s="31"/>
      <c r="W473" s="31"/>
      <c r="X473" s="31"/>
      <c r="AD473" s="31"/>
      <c r="AE473" s="31"/>
      <c r="AF473" s="31"/>
    </row>
    <row r="474" ht="15.75" hidden="1" customHeight="1">
      <c r="H474" s="81"/>
      <c r="N474" s="85"/>
      <c r="O474" s="85"/>
      <c r="P474" s="86"/>
      <c r="V474" s="31"/>
      <c r="W474" s="31"/>
      <c r="X474" s="31"/>
      <c r="AD474" s="31"/>
      <c r="AE474" s="31"/>
      <c r="AF474" s="31"/>
    </row>
    <row r="475" ht="15.75" hidden="1" customHeight="1">
      <c r="H475" s="81"/>
      <c r="N475" s="85"/>
      <c r="O475" s="85"/>
      <c r="P475" s="86"/>
      <c r="V475" s="31"/>
      <c r="W475" s="31"/>
      <c r="X475" s="31"/>
      <c r="AD475" s="31"/>
      <c r="AE475" s="31"/>
      <c r="AF475" s="31"/>
    </row>
    <row r="476" ht="15.75" hidden="1" customHeight="1">
      <c r="H476" s="81"/>
      <c r="N476" s="85"/>
      <c r="O476" s="85"/>
      <c r="P476" s="86"/>
      <c r="V476" s="31"/>
      <c r="W476" s="31"/>
      <c r="X476" s="31"/>
      <c r="AD476" s="31"/>
      <c r="AE476" s="31"/>
      <c r="AF476" s="31"/>
    </row>
    <row r="477" ht="15.75" hidden="1" customHeight="1">
      <c r="H477" s="81"/>
      <c r="N477" s="85"/>
      <c r="O477" s="85"/>
      <c r="P477" s="86"/>
      <c r="V477" s="31"/>
      <c r="W477" s="31"/>
      <c r="X477" s="31"/>
      <c r="AD477" s="31"/>
      <c r="AE477" s="31"/>
      <c r="AF477" s="31"/>
    </row>
    <row r="478" ht="15.75" hidden="1" customHeight="1">
      <c r="H478" s="81"/>
      <c r="N478" s="85"/>
      <c r="O478" s="85"/>
      <c r="P478" s="86"/>
      <c r="V478" s="31"/>
      <c r="W478" s="31"/>
      <c r="X478" s="31"/>
      <c r="AD478" s="31"/>
      <c r="AE478" s="31"/>
      <c r="AF478" s="31"/>
    </row>
    <row r="479" ht="15.75" hidden="1" customHeight="1">
      <c r="H479" s="81"/>
      <c r="N479" s="85"/>
      <c r="O479" s="85"/>
      <c r="P479" s="86"/>
      <c r="V479" s="31"/>
      <c r="W479" s="31"/>
      <c r="X479" s="31"/>
      <c r="AD479" s="31"/>
      <c r="AE479" s="31"/>
      <c r="AF479" s="31"/>
    </row>
    <row r="480" ht="15.75" hidden="1" customHeight="1">
      <c r="H480" s="81"/>
      <c r="N480" s="85"/>
      <c r="O480" s="85"/>
      <c r="P480" s="86"/>
      <c r="V480" s="31"/>
      <c r="W480" s="31"/>
      <c r="X480" s="31"/>
      <c r="AD480" s="31"/>
      <c r="AE480" s="31"/>
      <c r="AF480" s="31"/>
    </row>
    <row r="481" ht="15.75" hidden="1" customHeight="1">
      <c r="H481" s="81"/>
      <c r="N481" s="85"/>
      <c r="O481" s="85"/>
      <c r="P481" s="86"/>
      <c r="V481" s="31"/>
      <c r="W481" s="31"/>
      <c r="X481" s="31"/>
      <c r="AD481" s="31"/>
      <c r="AE481" s="31"/>
      <c r="AF481" s="31"/>
    </row>
    <row r="482" ht="15.75" hidden="1" customHeight="1">
      <c r="H482" s="81"/>
      <c r="N482" s="85"/>
      <c r="O482" s="85"/>
      <c r="P482" s="86"/>
      <c r="V482" s="31"/>
      <c r="W482" s="31"/>
      <c r="X482" s="31"/>
      <c r="AD482" s="31"/>
      <c r="AE482" s="31"/>
      <c r="AF482" s="31"/>
    </row>
    <row r="483" ht="15.75" hidden="1" customHeight="1">
      <c r="H483" s="81"/>
      <c r="N483" s="85"/>
      <c r="O483" s="85"/>
      <c r="P483" s="86"/>
      <c r="V483" s="31"/>
      <c r="W483" s="31"/>
      <c r="X483" s="31"/>
      <c r="AD483" s="31"/>
      <c r="AE483" s="31"/>
      <c r="AF483" s="31"/>
    </row>
    <row r="484" ht="15.75" hidden="1" customHeight="1">
      <c r="H484" s="81"/>
      <c r="N484" s="85"/>
      <c r="O484" s="85"/>
      <c r="P484" s="86"/>
      <c r="V484" s="31"/>
      <c r="W484" s="31"/>
      <c r="X484" s="31"/>
      <c r="AD484" s="31"/>
      <c r="AE484" s="31"/>
      <c r="AF484" s="31"/>
    </row>
    <row r="485" ht="15.75" hidden="1" customHeight="1">
      <c r="H485" s="81"/>
      <c r="N485" s="85"/>
      <c r="O485" s="85"/>
      <c r="P485" s="86"/>
      <c r="V485" s="31"/>
      <c r="W485" s="31"/>
      <c r="X485" s="31"/>
      <c r="AD485" s="31"/>
      <c r="AE485" s="31"/>
      <c r="AF485" s="31"/>
    </row>
    <row r="486" ht="15.75" hidden="1" customHeight="1">
      <c r="H486" s="81"/>
      <c r="N486" s="85"/>
      <c r="O486" s="85"/>
      <c r="P486" s="86"/>
      <c r="V486" s="31"/>
      <c r="W486" s="31"/>
      <c r="X486" s="31"/>
      <c r="AD486" s="31"/>
      <c r="AE486" s="31"/>
      <c r="AF486" s="31"/>
    </row>
    <row r="487" ht="15.75" hidden="1" customHeight="1">
      <c r="H487" s="81"/>
      <c r="N487" s="85"/>
      <c r="O487" s="85"/>
      <c r="P487" s="86"/>
      <c r="V487" s="31"/>
      <c r="W487" s="31"/>
      <c r="X487" s="31"/>
      <c r="AD487" s="31"/>
      <c r="AE487" s="31"/>
      <c r="AF487" s="31"/>
    </row>
    <row r="488" ht="15.75" hidden="1" customHeight="1">
      <c r="H488" s="81"/>
      <c r="N488" s="85"/>
      <c r="O488" s="85"/>
      <c r="P488" s="86"/>
      <c r="V488" s="31"/>
      <c r="W488" s="31"/>
      <c r="X488" s="31"/>
      <c r="AD488" s="31"/>
      <c r="AE488" s="31"/>
      <c r="AF488" s="31"/>
    </row>
    <row r="489" ht="15.75" hidden="1" customHeight="1">
      <c r="H489" s="81"/>
      <c r="N489" s="85"/>
      <c r="O489" s="85"/>
      <c r="P489" s="86"/>
      <c r="V489" s="31"/>
      <c r="W489" s="31"/>
      <c r="X489" s="31"/>
      <c r="AD489" s="31"/>
      <c r="AE489" s="31"/>
      <c r="AF489" s="31"/>
    </row>
    <row r="490" ht="15.75" hidden="1" customHeight="1">
      <c r="H490" s="81"/>
      <c r="N490" s="85"/>
      <c r="O490" s="85"/>
      <c r="P490" s="86"/>
      <c r="V490" s="31"/>
      <c r="W490" s="31"/>
      <c r="X490" s="31"/>
      <c r="AD490" s="31"/>
      <c r="AE490" s="31"/>
      <c r="AF490" s="31"/>
    </row>
    <row r="491" ht="15.75" hidden="1" customHeight="1">
      <c r="H491" s="81"/>
      <c r="N491" s="85"/>
      <c r="O491" s="85"/>
      <c r="P491" s="86"/>
      <c r="V491" s="31"/>
      <c r="W491" s="31"/>
      <c r="X491" s="31"/>
      <c r="AD491" s="31"/>
      <c r="AE491" s="31"/>
      <c r="AF491" s="31"/>
    </row>
    <row r="492" ht="15.75" hidden="1" customHeight="1">
      <c r="H492" s="81"/>
      <c r="N492" s="85"/>
      <c r="O492" s="85"/>
      <c r="P492" s="86"/>
      <c r="V492" s="31"/>
      <c r="W492" s="31"/>
      <c r="X492" s="31"/>
      <c r="AD492" s="31"/>
      <c r="AE492" s="31"/>
      <c r="AF492" s="31"/>
    </row>
    <row r="493" ht="15.75" hidden="1" customHeight="1">
      <c r="H493" s="81"/>
      <c r="N493" s="85"/>
      <c r="O493" s="85"/>
      <c r="P493" s="86"/>
      <c r="V493" s="31"/>
      <c r="W493" s="31"/>
      <c r="X493" s="31"/>
      <c r="AD493" s="31"/>
      <c r="AE493" s="31"/>
      <c r="AF493" s="31"/>
    </row>
    <row r="494" ht="15.75" hidden="1" customHeight="1">
      <c r="H494" s="81"/>
      <c r="N494" s="85"/>
      <c r="O494" s="85"/>
      <c r="P494" s="86"/>
      <c r="V494" s="31"/>
      <c r="W494" s="31"/>
      <c r="X494" s="31"/>
      <c r="AD494" s="31"/>
      <c r="AE494" s="31"/>
      <c r="AF494" s="31"/>
    </row>
    <row r="495" ht="15.75" hidden="1" customHeight="1">
      <c r="H495" s="81"/>
      <c r="N495" s="85"/>
      <c r="O495" s="85"/>
      <c r="P495" s="86"/>
      <c r="V495" s="31"/>
      <c r="W495" s="31"/>
      <c r="X495" s="31"/>
      <c r="AD495" s="31"/>
      <c r="AE495" s="31"/>
      <c r="AF495" s="31"/>
    </row>
    <row r="496" ht="15.75" hidden="1" customHeight="1">
      <c r="H496" s="81"/>
      <c r="N496" s="85"/>
      <c r="O496" s="85"/>
      <c r="P496" s="86"/>
      <c r="V496" s="31"/>
      <c r="W496" s="31"/>
      <c r="X496" s="31"/>
      <c r="AD496" s="31"/>
      <c r="AE496" s="31"/>
      <c r="AF496" s="31"/>
    </row>
    <row r="497" ht="15.75" hidden="1" customHeight="1">
      <c r="H497" s="81"/>
      <c r="N497" s="85"/>
      <c r="O497" s="85"/>
      <c r="P497" s="86"/>
      <c r="V497" s="31"/>
      <c r="W497" s="31"/>
      <c r="X497" s="31"/>
      <c r="AD497" s="31"/>
      <c r="AE497" s="31"/>
      <c r="AF497" s="31"/>
    </row>
    <row r="498" ht="15.75" hidden="1" customHeight="1">
      <c r="H498" s="81"/>
      <c r="N498" s="85"/>
      <c r="O498" s="85"/>
      <c r="P498" s="86"/>
      <c r="V498" s="31"/>
      <c r="W498" s="31"/>
      <c r="X498" s="31"/>
      <c r="AD498" s="31"/>
      <c r="AE498" s="31"/>
      <c r="AF498" s="31"/>
    </row>
    <row r="499" ht="15.75" hidden="1" customHeight="1">
      <c r="H499" s="81"/>
      <c r="N499" s="85"/>
      <c r="O499" s="85"/>
      <c r="P499" s="86"/>
      <c r="V499" s="31"/>
      <c r="W499" s="31"/>
      <c r="X499" s="31"/>
      <c r="AD499" s="31"/>
      <c r="AE499" s="31"/>
      <c r="AF499" s="31"/>
    </row>
    <row r="500" ht="15.75" hidden="1" customHeight="1">
      <c r="H500" s="81"/>
      <c r="N500" s="85"/>
      <c r="O500" s="85"/>
      <c r="P500" s="86"/>
      <c r="V500" s="31"/>
      <c r="W500" s="31"/>
      <c r="X500" s="31"/>
      <c r="AD500" s="31"/>
      <c r="AE500" s="31"/>
      <c r="AF500" s="31"/>
    </row>
    <row r="501" ht="15.75" hidden="1" customHeight="1">
      <c r="H501" s="81"/>
      <c r="N501" s="85"/>
      <c r="O501" s="85"/>
      <c r="P501" s="86"/>
      <c r="V501" s="31"/>
      <c r="W501" s="31"/>
      <c r="X501" s="31"/>
      <c r="AD501" s="31"/>
      <c r="AE501" s="31"/>
      <c r="AF501" s="31"/>
    </row>
    <row r="502" ht="15.75" hidden="1" customHeight="1">
      <c r="H502" s="81"/>
      <c r="N502" s="85"/>
      <c r="O502" s="85"/>
      <c r="P502" s="86"/>
      <c r="V502" s="31"/>
      <c r="W502" s="31"/>
      <c r="X502" s="31"/>
      <c r="AD502" s="31"/>
      <c r="AE502" s="31"/>
      <c r="AF502" s="31"/>
    </row>
    <row r="503" ht="15.75" hidden="1" customHeight="1">
      <c r="H503" s="81"/>
      <c r="N503" s="85"/>
      <c r="O503" s="85"/>
      <c r="P503" s="86"/>
      <c r="V503" s="31"/>
      <c r="W503" s="31"/>
      <c r="X503" s="31"/>
      <c r="AD503" s="31"/>
      <c r="AE503" s="31"/>
      <c r="AF503" s="31"/>
    </row>
    <row r="504" ht="15.75" hidden="1" customHeight="1">
      <c r="H504" s="81"/>
      <c r="N504" s="85"/>
      <c r="O504" s="85"/>
      <c r="P504" s="86"/>
      <c r="V504" s="31"/>
      <c r="W504" s="31"/>
      <c r="X504" s="31"/>
      <c r="AD504" s="31"/>
      <c r="AE504" s="31"/>
      <c r="AF504" s="31"/>
    </row>
    <row r="505" ht="15.75" hidden="1" customHeight="1">
      <c r="H505" s="81"/>
      <c r="N505" s="85"/>
      <c r="O505" s="85"/>
      <c r="P505" s="86"/>
      <c r="V505" s="31"/>
      <c r="W505" s="31"/>
      <c r="X505" s="31"/>
      <c r="AD505" s="31"/>
      <c r="AE505" s="31"/>
      <c r="AF505" s="31"/>
    </row>
    <row r="506" ht="15.75" hidden="1" customHeight="1">
      <c r="H506" s="81"/>
      <c r="N506" s="85"/>
      <c r="O506" s="85"/>
      <c r="P506" s="86"/>
      <c r="V506" s="31"/>
      <c r="W506" s="31"/>
      <c r="X506" s="31"/>
      <c r="AD506" s="31"/>
      <c r="AE506" s="31"/>
      <c r="AF506" s="31"/>
    </row>
    <row r="507" ht="15.75" hidden="1" customHeight="1">
      <c r="H507" s="81"/>
      <c r="N507" s="85"/>
      <c r="O507" s="85"/>
      <c r="P507" s="86"/>
      <c r="V507" s="31"/>
      <c r="W507" s="31"/>
      <c r="X507" s="31"/>
      <c r="AD507" s="31"/>
      <c r="AE507" s="31"/>
      <c r="AF507" s="31"/>
    </row>
    <row r="508" ht="15.75" hidden="1" customHeight="1">
      <c r="H508" s="81"/>
      <c r="N508" s="85"/>
      <c r="O508" s="85"/>
      <c r="P508" s="86"/>
      <c r="V508" s="31"/>
      <c r="W508" s="31"/>
      <c r="X508" s="31"/>
      <c r="AD508" s="31"/>
      <c r="AE508" s="31"/>
      <c r="AF508" s="31"/>
    </row>
    <row r="509" ht="15.75" hidden="1" customHeight="1">
      <c r="H509" s="81"/>
      <c r="N509" s="85"/>
      <c r="O509" s="85"/>
      <c r="P509" s="86"/>
      <c r="V509" s="31"/>
      <c r="W509" s="31"/>
      <c r="X509" s="31"/>
      <c r="AD509" s="31"/>
      <c r="AE509" s="31"/>
      <c r="AF509" s="31"/>
    </row>
    <row r="510" ht="15.75" hidden="1" customHeight="1">
      <c r="H510" s="81"/>
      <c r="N510" s="85"/>
      <c r="O510" s="85"/>
      <c r="P510" s="86"/>
      <c r="V510" s="31"/>
      <c r="W510" s="31"/>
      <c r="X510" s="31"/>
      <c r="AD510" s="31"/>
      <c r="AE510" s="31"/>
      <c r="AF510" s="31"/>
    </row>
    <row r="511" ht="15.75" hidden="1" customHeight="1">
      <c r="H511" s="81"/>
      <c r="N511" s="85"/>
      <c r="O511" s="85"/>
      <c r="P511" s="86"/>
      <c r="V511" s="31"/>
      <c r="W511" s="31"/>
      <c r="X511" s="31"/>
      <c r="AD511" s="31"/>
      <c r="AE511" s="31"/>
      <c r="AF511" s="31"/>
    </row>
    <row r="512" ht="15.75" hidden="1" customHeight="1">
      <c r="H512" s="81"/>
      <c r="N512" s="85"/>
      <c r="O512" s="85"/>
      <c r="P512" s="86"/>
      <c r="V512" s="31"/>
      <c r="W512" s="31"/>
      <c r="X512" s="31"/>
      <c r="AD512" s="31"/>
      <c r="AE512" s="31"/>
      <c r="AF512" s="31"/>
    </row>
    <row r="513" ht="15.75" hidden="1" customHeight="1">
      <c r="H513" s="81"/>
      <c r="N513" s="85"/>
      <c r="O513" s="85"/>
      <c r="P513" s="86"/>
      <c r="V513" s="31"/>
      <c r="W513" s="31"/>
      <c r="X513" s="31"/>
      <c r="AD513" s="31"/>
      <c r="AE513" s="31"/>
      <c r="AF513" s="31"/>
    </row>
    <row r="514" ht="15.75" hidden="1" customHeight="1">
      <c r="H514" s="81"/>
      <c r="N514" s="85"/>
      <c r="O514" s="85"/>
      <c r="P514" s="86"/>
      <c r="V514" s="31"/>
      <c r="W514" s="31"/>
      <c r="X514" s="31"/>
      <c r="AD514" s="31"/>
      <c r="AE514" s="31"/>
      <c r="AF514" s="31"/>
    </row>
    <row r="515" ht="15.75" hidden="1" customHeight="1">
      <c r="H515" s="81"/>
      <c r="N515" s="85"/>
      <c r="O515" s="85"/>
      <c r="P515" s="86"/>
      <c r="V515" s="31"/>
      <c r="W515" s="31"/>
      <c r="X515" s="31"/>
      <c r="AD515" s="31"/>
      <c r="AE515" s="31"/>
      <c r="AF515" s="31"/>
    </row>
    <row r="516" ht="15.75" hidden="1" customHeight="1">
      <c r="H516" s="81"/>
      <c r="N516" s="85"/>
      <c r="O516" s="85"/>
      <c r="P516" s="86"/>
      <c r="V516" s="31"/>
      <c r="W516" s="31"/>
      <c r="X516" s="31"/>
      <c r="AD516" s="31"/>
      <c r="AE516" s="31"/>
      <c r="AF516" s="31"/>
    </row>
    <row r="517" ht="15.75" hidden="1" customHeight="1">
      <c r="H517" s="81"/>
      <c r="N517" s="85"/>
      <c r="O517" s="85"/>
      <c r="P517" s="86"/>
      <c r="V517" s="31"/>
      <c r="W517" s="31"/>
      <c r="X517" s="31"/>
      <c r="AD517" s="31"/>
      <c r="AE517" s="31"/>
      <c r="AF517" s="31"/>
    </row>
    <row r="518" ht="15.75" hidden="1" customHeight="1">
      <c r="H518" s="81"/>
      <c r="N518" s="85"/>
      <c r="O518" s="85"/>
      <c r="P518" s="86"/>
      <c r="V518" s="31"/>
      <c r="W518" s="31"/>
      <c r="X518" s="31"/>
      <c r="AD518" s="31"/>
      <c r="AE518" s="31"/>
      <c r="AF518" s="31"/>
    </row>
    <row r="519" ht="15.75" hidden="1" customHeight="1">
      <c r="H519" s="81"/>
      <c r="N519" s="85"/>
      <c r="O519" s="85"/>
      <c r="P519" s="86"/>
      <c r="V519" s="31"/>
      <c r="W519" s="31"/>
      <c r="X519" s="31"/>
      <c r="AD519" s="31"/>
      <c r="AE519" s="31"/>
      <c r="AF519" s="31"/>
    </row>
    <row r="520" ht="15.75" hidden="1" customHeight="1">
      <c r="H520" s="81"/>
      <c r="N520" s="85"/>
      <c r="O520" s="85"/>
      <c r="P520" s="86"/>
      <c r="V520" s="31"/>
      <c r="W520" s="31"/>
      <c r="X520" s="31"/>
      <c r="AD520" s="31"/>
      <c r="AE520" s="31"/>
      <c r="AF520" s="31"/>
    </row>
    <row r="521" ht="15.75" hidden="1" customHeight="1">
      <c r="H521" s="81"/>
      <c r="N521" s="85"/>
      <c r="O521" s="85"/>
      <c r="P521" s="86"/>
      <c r="V521" s="31"/>
      <c r="W521" s="31"/>
      <c r="X521" s="31"/>
      <c r="AD521" s="31"/>
      <c r="AE521" s="31"/>
      <c r="AF521" s="31"/>
    </row>
    <row r="522" ht="15.75" hidden="1" customHeight="1">
      <c r="H522" s="81"/>
      <c r="N522" s="85"/>
      <c r="O522" s="85"/>
      <c r="P522" s="86"/>
      <c r="V522" s="31"/>
      <c r="W522" s="31"/>
      <c r="X522" s="31"/>
      <c r="AD522" s="31"/>
      <c r="AE522" s="31"/>
      <c r="AF522" s="31"/>
    </row>
    <row r="523" ht="15.75" hidden="1" customHeight="1">
      <c r="H523" s="81"/>
      <c r="N523" s="85"/>
      <c r="O523" s="85"/>
      <c r="P523" s="86"/>
      <c r="V523" s="31"/>
      <c r="W523" s="31"/>
      <c r="X523" s="31"/>
      <c r="AD523" s="31"/>
      <c r="AE523" s="31"/>
      <c r="AF523" s="31"/>
    </row>
    <row r="524" ht="15.75" hidden="1" customHeight="1">
      <c r="H524" s="81"/>
      <c r="N524" s="85"/>
      <c r="O524" s="85"/>
      <c r="P524" s="86"/>
      <c r="V524" s="31"/>
      <c r="W524" s="31"/>
      <c r="X524" s="31"/>
      <c r="AD524" s="31"/>
      <c r="AE524" s="31"/>
      <c r="AF524" s="31"/>
    </row>
    <row r="525" ht="15.75" hidden="1" customHeight="1">
      <c r="H525" s="81"/>
      <c r="N525" s="85"/>
      <c r="O525" s="85"/>
      <c r="P525" s="86"/>
      <c r="V525" s="31"/>
      <c r="W525" s="31"/>
      <c r="X525" s="31"/>
      <c r="AD525" s="31"/>
      <c r="AE525" s="31"/>
      <c r="AF525" s="31"/>
    </row>
    <row r="526" ht="15.75" hidden="1" customHeight="1">
      <c r="H526" s="81"/>
      <c r="N526" s="85"/>
      <c r="O526" s="85"/>
      <c r="P526" s="86"/>
      <c r="V526" s="31"/>
      <c r="W526" s="31"/>
      <c r="X526" s="31"/>
      <c r="AD526" s="31"/>
      <c r="AE526" s="31"/>
      <c r="AF526" s="31"/>
    </row>
    <row r="527" ht="15.75" hidden="1" customHeight="1">
      <c r="H527" s="81"/>
      <c r="N527" s="85"/>
      <c r="O527" s="85"/>
      <c r="P527" s="86"/>
      <c r="V527" s="31"/>
      <c r="W527" s="31"/>
      <c r="X527" s="31"/>
      <c r="AD527" s="31"/>
      <c r="AE527" s="31"/>
      <c r="AF527" s="31"/>
    </row>
    <row r="528" ht="15.75" hidden="1" customHeight="1">
      <c r="H528" s="81"/>
      <c r="N528" s="85"/>
      <c r="O528" s="85"/>
      <c r="P528" s="86"/>
      <c r="V528" s="31"/>
      <c r="W528" s="31"/>
      <c r="X528" s="31"/>
      <c r="AD528" s="31"/>
      <c r="AE528" s="31"/>
      <c r="AF528" s="31"/>
    </row>
    <row r="529" ht="15.75" hidden="1" customHeight="1">
      <c r="H529" s="81"/>
      <c r="N529" s="85"/>
      <c r="O529" s="85"/>
      <c r="P529" s="86"/>
      <c r="V529" s="31"/>
      <c r="W529" s="31"/>
      <c r="X529" s="31"/>
      <c r="AD529" s="31"/>
      <c r="AE529" s="31"/>
      <c r="AF529" s="31"/>
    </row>
    <row r="530" ht="15.75" hidden="1" customHeight="1">
      <c r="H530" s="81"/>
      <c r="N530" s="85"/>
      <c r="O530" s="85"/>
      <c r="P530" s="86"/>
      <c r="V530" s="31"/>
      <c r="W530" s="31"/>
      <c r="X530" s="31"/>
      <c r="AD530" s="31"/>
      <c r="AE530" s="31"/>
      <c r="AF530" s="31"/>
    </row>
    <row r="531" ht="15.75" hidden="1" customHeight="1">
      <c r="H531" s="81"/>
      <c r="N531" s="85"/>
      <c r="O531" s="85"/>
      <c r="P531" s="86"/>
      <c r="V531" s="31"/>
      <c r="W531" s="31"/>
      <c r="X531" s="31"/>
      <c r="AD531" s="31"/>
      <c r="AE531" s="31"/>
      <c r="AF531" s="31"/>
    </row>
    <row r="532" ht="15.75" hidden="1" customHeight="1">
      <c r="H532" s="81"/>
      <c r="N532" s="85"/>
      <c r="O532" s="85"/>
      <c r="P532" s="86"/>
      <c r="V532" s="31"/>
      <c r="W532" s="31"/>
      <c r="X532" s="31"/>
      <c r="AD532" s="31"/>
      <c r="AE532" s="31"/>
      <c r="AF532" s="31"/>
    </row>
    <row r="533" ht="15.75" hidden="1" customHeight="1">
      <c r="H533" s="81"/>
      <c r="N533" s="85"/>
      <c r="O533" s="85"/>
      <c r="P533" s="86"/>
      <c r="V533" s="31"/>
      <c r="W533" s="31"/>
      <c r="X533" s="31"/>
      <c r="AD533" s="31"/>
      <c r="AE533" s="31"/>
      <c r="AF533" s="31"/>
    </row>
    <row r="534" ht="15.75" hidden="1" customHeight="1">
      <c r="H534" s="81"/>
      <c r="N534" s="85"/>
      <c r="O534" s="85"/>
      <c r="P534" s="86"/>
      <c r="V534" s="31"/>
      <c r="W534" s="31"/>
      <c r="X534" s="31"/>
      <c r="AD534" s="31"/>
      <c r="AE534" s="31"/>
      <c r="AF534" s="31"/>
    </row>
    <row r="535" ht="15.75" hidden="1" customHeight="1">
      <c r="H535" s="81"/>
      <c r="N535" s="85"/>
      <c r="O535" s="85"/>
      <c r="P535" s="86"/>
      <c r="V535" s="31"/>
      <c r="W535" s="31"/>
      <c r="X535" s="31"/>
      <c r="AD535" s="31"/>
      <c r="AE535" s="31"/>
      <c r="AF535" s="31"/>
    </row>
    <row r="536" ht="15.75" hidden="1" customHeight="1">
      <c r="H536" s="81"/>
      <c r="N536" s="85"/>
      <c r="O536" s="85"/>
      <c r="P536" s="86"/>
      <c r="V536" s="31"/>
      <c r="W536" s="31"/>
      <c r="X536" s="31"/>
      <c r="AD536" s="31"/>
      <c r="AE536" s="31"/>
      <c r="AF536" s="31"/>
    </row>
    <row r="537" ht="15.75" hidden="1" customHeight="1">
      <c r="H537" s="81"/>
      <c r="N537" s="85"/>
      <c r="O537" s="85"/>
      <c r="P537" s="86"/>
      <c r="V537" s="31"/>
      <c r="W537" s="31"/>
      <c r="X537" s="31"/>
      <c r="AD537" s="31"/>
      <c r="AE537" s="31"/>
      <c r="AF537" s="31"/>
    </row>
    <row r="538" ht="15.75" hidden="1" customHeight="1">
      <c r="H538" s="81"/>
      <c r="N538" s="85"/>
      <c r="O538" s="85"/>
      <c r="P538" s="86"/>
      <c r="V538" s="31"/>
      <c r="W538" s="31"/>
      <c r="X538" s="31"/>
      <c r="AD538" s="31"/>
      <c r="AE538" s="31"/>
      <c r="AF538" s="31"/>
    </row>
    <row r="539" ht="15.75" hidden="1" customHeight="1">
      <c r="H539" s="81"/>
      <c r="N539" s="85"/>
      <c r="O539" s="85"/>
      <c r="P539" s="86"/>
      <c r="V539" s="31"/>
      <c r="W539" s="31"/>
      <c r="X539" s="31"/>
      <c r="AD539" s="31"/>
      <c r="AE539" s="31"/>
      <c r="AF539" s="31"/>
    </row>
    <row r="540" ht="15.75" hidden="1" customHeight="1">
      <c r="H540" s="81"/>
      <c r="N540" s="85"/>
      <c r="O540" s="85"/>
      <c r="P540" s="86"/>
      <c r="V540" s="31"/>
      <c r="W540" s="31"/>
      <c r="X540" s="31"/>
      <c r="AD540" s="31"/>
      <c r="AE540" s="31"/>
      <c r="AF540" s="31"/>
    </row>
    <row r="541" ht="15.75" hidden="1" customHeight="1">
      <c r="H541" s="81"/>
      <c r="N541" s="85"/>
      <c r="O541" s="85"/>
      <c r="P541" s="86"/>
      <c r="V541" s="31"/>
      <c r="W541" s="31"/>
      <c r="X541" s="31"/>
      <c r="AD541" s="31"/>
      <c r="AE541" s="31"/>
      <c r="AF541" s="31"/>
    </row>
    <row r="542" ht="15.75" hidden="1" customHeight="1">
      <c r="H542" s="81"/>
      <c r="N542" s="85"/>
      <c r="O542" s="85"/>
      <c r="P542" s="86"/>
      <c r="V542" s="31"/>
      <c r="W542" s="31"/>
      <c r="X542" s="31"/>
      <c r="AD542" s="31"/>
      <c r="AE542" s="31"/>
      <c r="AF542" s="31"/>
    </row>
    <row r="543" ht="15.75" hidden="1" customHeight="1">
      <c r="H543" s="81"/>
      <c r="N543" s="85"/>
      <c r="O543" s="85"/>
      <c r="P543" s="86"/>
      <c r="V543" s="31"/>
      <c r="W543" s="31"/>
      <c r="X543" s="31"/>
      <c r="AD543" s="31"/>
      <c r="AE543" s="31"/>
      <c r="AF543" s="31"/>
    </row>
    <row r="544" ht="15.75" hidden="1" customHeight="1">
      <c r="H544" s="81"/>
      <c r="N544" s="85"/>
      <c r="O544" s="85"/>
      <c r="P544" s="86"/>
      <c r="V544" s="31"/>
      <c r="W544" s="31"/>
      <c r="X544" s="31"/>
      <c r="AD544" s="31"/>
      <c r="AE544" s="31"/>
      <c r="AF544" s="31"/>
    </row>
    <row r="545" ht="15.75" hidden="1" customHeight="1">
      <c r="H545" s="81"/>
      <c r="N545" s="85"/>
      <c r="O545" s="85"/>
      <c r="P545" s="86"/>
      <c r="V545" s="31"/>
      <c r="W545" s="31"/>
      <c r="X545" s="31"/>
      <c r="AD545" s="31"/>
      <c r="AE545" s="31"/>
      <c r="AF545" s="31"/>
    </row>
    <row r="546" ht="15.75" hidden="1" customHeight="1">
      <c r="H546" s="81"/>
      <c r="N546" s="85"/>
      <c r="O546" s="85"/>
      <c r="P546" s="86"/>
      <c r="V546" s="31"/>
      <c r="W546" s="31"/>
      <c r="X546" s="31"/>
      <c r="AD546" s="31"/>
      <c r="AE546" s="31"/>
      <c r="AF546" s="31"/>
    </row>
    <row r="547" ht="15.75" hidden="1" customHeight="1">
      <c r="H547" s="81"/>
      <c r="N547" s="85"/>
      <c r="O547" s="85"/>
      <c r="P547" s="86"/>
      <c r="V547" s="31"/>
      <c r="W547" s="31"/>
      <c r="X547" s="31"/>
      <c r="AD547" s="31"/>
      <c r="AE547" s="31"/>
      <c r="AF547" s="31"/>
    </row>
    <row r="548" ht="15.75" hidden="1" customHeight="1">
      <c r="H548" s="81"/>
      <c r="N548" s="85"/>
      <c r="O548" s="85"/>
      <c r="P548" s="86"/>
      <c r="V548" s="31"/>
      <c r="W548" s="31"/>
      <c r="X548" s="31"/>
      <c r="AD548" s="31"/>
      <c r="AE548" s="31"/>
      <c r="AF548" s="31"/>
    </row>
    <row r="549" ht="15.75" hidden="1" customHeight="1">
      <c r="H549" s="81"/>
      <c r="N549" s="85"/>
      <c r="O549" s="85"/>
      <c r="P549" s="86"/>
      <c r="V549" s="31"/>
      <c r="W549" s="31"/>
      <c r="X549" s="31"/>
      <c r="AD549" s="31"/>
      <c r="AE549" s="31"/>
      <c r="AF549" s="31"/>
    </row>
    <row r="550" ht="15.75" hidden="1" customHeight="1">
      <c r="H550" s="81"/>
      <c r="N550" s="85"/>
      <c r="O550" s="85"/>
      <c r="P550" s="86"/>
      <c r="V550" s="31"/>
      <c r="W550" s="31"/>
      <c r="X550" s="31"/>
      <c r="AD550" s="31"/>
      <c r="AE550" s="31"/>
      <c r="AF550" s="31"/>
    </row>
    <row r="551" ht="15.75" hidden="1" customHeight="1">
      <c r="H551" s="81"/>
      <c r="N551" s="85"/>
      <c r="O551" s="85"/>
      <c r="P551" s="86"/>
      <c r="V551" s="31"/>
      <c r="W551" s="31"/>
      <c r="X551" s="31"/>
      <c r="AD551" s="31"/>
      <c r="AE551" s="31"/>
      <c r="AF551" s="31"/>
    </row>
    <row r="552" ht="15.75" hidden="1" customHeight="1">
      <c r="H552" s="81"/>
      <c r="N552" s="85"/>
      <c r="O552" s="85"/>
      <c r="P552" s="86"/>
      <c r="V552" s="31"/>
      <c r="W552" s="31"/>
      <c r="X552" s="31"/>
      <c r="AD552" s="31"/>
      <c r="AE552" s="31"/>
      <c r="AF552" s="31"/>
    </row>
    <row r="553" ht="15.75" hidden="1" customHeight="1">
      <c r="H553" s="81"/>
      <c r="N553" s="85"/>
      <c r="O553" s="85"/>
      <c r="P553" s="86"/>
      <c r="V553" s="31"/>
      <c r="W553" s="31"/>
      <c r="X553" s="31"/>
      <c r="AD553" s="31"/>
      <c r="AE553" s="31"/>
      <c r="AF553" s="31"/>
    </row>
    <row r="554" ht="15.75" hidden="1" customHeight="1">
      <c r="H554" s="81"/>
      <c r="N554" s="85"/>
      <c r="O554" s="85"/>
      <c r="P554" s="86"/>
      <c r="V554" s="31"/>
      <c r="W554" s="31"/>
      <c r="X554" s="31"/>
      <c r="AD554" s="31"/>
      <c r="AE554" s="31"/>
      <c r="AF554" s="31"/>
    </row>
    <row r="555" ht="15.75" hidden="1" customHeight="1">
      <c r="H555" s="81"/>
      <c r="N555" s="85"/>
      <c r="O555" s="85"/>
      <c r="P555" s="86"/>
      <c r="V555" s="31"/>
      <c r="W555" s="31"/>
      <c r="X555" s="31"/>
      <c r="AD555" s="31"/>
      <c r="AE555" s="31"/>
      <c r="AF555" s="31"/>
    </row>
    <row r="556" ht="15.75" hidden="1" customHeight="1">
      <c r="H556" s="81"/>
      <c r="N556" s="85"/>
      <c r="O556" s="85"/>
      <c r="P556" s="86"/>
      <c r="V556" s="31"/>
      <c r="W556" s="31"/>
      <c r="X556" s="31"/>
      <c r="AD556" s="31"/>
      <c r="AE556" s="31"/>
      <c r="AF556" s="31"/>
    </row>
    <row r="557" ht="15.75" hidden="1" customHeight="1">
      <c r="H557" s="81"/>
      <c r="N557" s="85"/>
      <c r="O557" s="85"/>
      <c r="P557" s="86"/>
      <c r="V557" s="31"/>
      <c r="W557" s="31"/>
      <c r="X557" s="31"/>
      <c r="AD557" s="31"/>
      <c r="AE557" s="31"/>
      <c r="AF557" s="31"/>
    </row>
    <row r="558" ht="15.75" hidden="1" customHeight="1">
      <c r="H558" s="81"/>
      <c r="N558" s="85"/>
      <c r="O558" s="85"/>
      <c r="P558" s="86"/>
      <c r="V558" s="31"/>
      <c r="W558" s="31"/>
      <c r="X558" s="31"/>
      <c r="AD558" s="31"/>
      <c r="AE558" s="31"/>
      <c r="AF558" s="31"/>
    </row>
    <row r="559" ht="15.75" hidden="1" customHeight="1">
      <c r="H559" s="81"/>
      <c r="N559" s="85"/>
      <c r="O559" s="85"/>
      <c r="P559" s="86"/>
      <c r="V559" s="31"/>
      <c r="W559" s="31"/>
      <c r="X559" s="31"/>
      <c r="AD559" s="31"/>
      <c r="AE559" s="31"/>
      <c r="AF559" s="31"/>
    </row>
    <row r="560" ht="15.75" hidden="1" customHeight="1">
      <c r="H560" s="81"/>
      <c r="N560" s="85"/>
      <c r="O560" s="85"/>
      <c r="P560" s="86"/>
      <c r="V560" s="31"/>
      <c r="W560" s="31"/>
      <c r="X560" s="31"/>
      <c r="AD560" s="31"/>
      <c r="AE560" s="31"/>
      <c r="AF560" s="31"/>
    </row>
    <row r="561" ht="15.75" hidden="1" customHeight="1">
      <c r="H561" s="81"/>
      <c r="N561" s="85"/>
      <c r="O561" s="85"/>
      <c r="P561" s="86"/>
      <c r="V561" s="31"/>
      <c r="W561" s="31"/>
      <c r="X561" s="31"/>
      <c r="AD561" s="31"/>
      <c r="AE561" s="31"/>
      <c r="AF561" s="31"/>
    </row>
    <row r="562" ht="15.75" hidden="1" customHeight="1">
      <c r="H562" s="81"/>
      <c r="N562" s="85"/>
      <c r="O562" s="85"/>
      <c r="P562" s="86"/>
      <c r="V562" s="31"/>
      <c r="W562" s="31"/>
      <c r="X562" s="31"/>
      <c r="AD562" s="31"/>
      <c r="AE562" s="31"/>
      <c r="AF562" s="31"/>
    </row>
    <row r="563" ht="15.75" hidden="1" customHeight="1">
      <c r="H563" s="81"/>
      <c r="N563" s="85"/>
      <c r="O563" s="85"/>
      <c r="P563" s="86"/>
      <c r="V563" s="31"/>
      <c r="W563" s="31"/>
      <c r="X563" s="31"/>
      <c r="AD563" s="31"/>
      <c r="AE563" s="31"/>
      <c r="AF563" s="31"/>
    </row>
    <row r="564" ht="15.75" hidden="1" customHeight="1">
      <c r="H564" s="81"/>
      <c r="N564" s="85"/>
      <c r="O564" s="85"/>
      <c r="P564" s="86"/>
      <c r="V564" s="31"/>
      <c r="W564" s="31"/>
      <c r="X564" s="31"/>
      <c r="AD564" s="31"/>
      <c r="AE564" s="31"/>
      <c r="AF564" s="31"/>
    </row>
    <row r="565" ht="15.75" hidden="1" customHeight="1">
      <c r="H565" s="81"/>
      <c r="N565" s="85"/>
      <c r="O565" s="85"/>
      <c r="P565" s="86"/>
      <c r="V565" s="31"/>
      <c r="W565" s="31"/>
      <c r="X565" s="31"/>
      <c r="AD565" s="31"/>
      <c r="AE565" s="31"/>
      <c r="AF565" s="31"/>
    </row>
    <row r="566" ht="15.75" hidden="1" customHeight="1">
      <c r="H566" s="81"/>
      <c r="N566" s="85"/>
      <c r="O566" s="85"/>
      <c r="P566" s="86"/>
      <c r="V566" s="31"/>
      <c r="W566" s="31"/>
      <c r="X566" s="31"/>
      <c r="AD566" s="31"/>
      <c r="AE566" s="31"/>
      <c r="AF566" s="31"/>
    </row>
    <row r="567" ht="15.75" hidden="1" customHeight="1">
      <c r="H567" s="81"/>
      <c r="N567" s="85"/>
      <c r="O567" s="85"/>
      <c r="P567" s="86"/>
      <c r="V567" s="31"/>
      <c r="W567" s="31"/>
      <c r="X567" s="31"/>
      <c r="AD567" s="31"/>
      <c r="AE567" s="31"/>
      <c r="AF567" s="31"/>
    </row>
    <row r="568" ht="15.75" hidden="1" customHeight="1">
      <c r="H568" s="81"/>
      <c r="N568" s="85"/>
      <c r="O568" s="85"/>
      <c r="P568" s="86"/>
      <c r="V568" s="31"/>
      <c r="W568" s="31"/>
      <c r="X568" s="31"/>
      <c r="AD568" s="31"/>
      <c r="AE568" s="31"/>
      <c r="AF568" s="31"/>
    </row>
    <row r="569" ht="15.75" hidden="1" customHeight="1">
      <c r="H569" s="81"/>
      <c r="N569" s="85"/>
      <c r="O569" s="85"/>
      <c r="P569" s="86"/>
      <c r="V569" s="31"/>
      <c r="W569" s="31"/>
      <c r="X569" s="31"/>
      <c r="AD569" s="31"/>
      <c r="AE569" s="31"/>
      <c r="AF569" s="31"/>
    </row>
    <row r="570" ht="15.75" hidden="1" customHeight="1">
      <c r="H570" s="81"/>
      <c r="N570" s="85"/>
      <c r="O570" s="85"/>
      <c r="P570" s="86"/>
      <c r="V570" s="31"/>
      <c r="W570" s="31"/>
      <c r="X570" s="31"/>
      <c r="AD570" s="31"/>
      <c r="AE570" s="31"/>
      <c r="AF570" s="31"/>
    </row>
    <row r="571" ht="15.75" hidden="1" customHeight="1">
      <c r="H571" s="81"/>
      <c r="N571" s="85"/>
      <c r="O571" s="85"/>
      <c r="P571" s="86"/>
      <c r="V571" s="31"/>
      <c r="W571" s="31"/>
      <c r="X571" s="31"/>
      <c r="AD571" s="31"/>
      <c r="AE571" s="31"/>
      <c r="AF571" s="31"/>
    </row>
    <row r="572" ht="15.75" hidden="1" customHeight="1">
      <c r="H572" s="81"/>
      <c r="N572" s="85"/>
      <c r="O572" s="85"/>
      <c r="P572" s="86"/>
      <c r="V572" s="31"/>
      <c r="W572" s="31"/>
      <c r="X572" s="31"/>
      <c r="AD572" s="31"/>
      <c r="AE572" s="31"/>
      <c r="AF572" s="31"/>
    </row>
    <row r="573" ht="15.75" hidden="1" customHeight="1">
      <c r="H573" s="81"/>
      <c r="N573" s="85"/>
      <c r="O573" s="85"/>
      <c r="P573" s="86"/>
      <c r="V573" s="31"/>
      <c r="W573" s="31"/>
      <c r="X573" s="31"/>
      <c r="AD573" s="31"/>
      <c r="AE573" s="31"/>
      <c r="AF573" s="31"/>
    </row>
    <row r="574" ht="15.75" hidden="1" customHeight="1">
      <c r="H574" s="81"/>
      <c r="N574" s="85"/>
      <c r="O574" s="85"/>
      <c r="P574" s="86"/>
      <c r="V574" s="31"/>
      <c r="W574" s="31"/>
      <c r="X574" s="31"/>
      <c r="AD574" s="31"/>
      <c r="AE574" s="31"/>
      <c r="AF574" s="31"/>
    </row>
    <row r="575" ht="15.75" hidden="1" customHeight="1">
      <c r="H575" s="81"/>
      <c r="N575" s="85"/>
      <c r="O575" s="85"/>
      <c r="P575" s="86"/>
      <c r="V575" s="31"/>
      <c r="W575" s="31"/>
      <c r="X575" s="31"/>
      <c r="AD575" s="31"/>
      <c r="AE575" s="31"/>
      <c r="AF575" s="31"/>
    </row>
    <row r="576" ht="15.75" hidden="1" customHeight="1">
      <c r="H576" s="81"/>
      <c r="N576" s="85"/>
      <c r="O576" s="85"/>
      <c r="P576" s="86"/>
      <c r="V576" s="31"/>
      <c r="W576" s="31"/>
      <c r="X576" s="31"/>
      <c r="AD576" s="31"/>
      <c r="AE576" s="31"/>
      <c r="AF576" s="31"/>
    </row>
    <row r="577" ht="15.75" hidden="1" customHeight="1">
      <c r="H577" s="81"/>
      <c r="N577" s="85"/>
      <c r="O577" s="85"/>
      <c r="P577" s="86"/>
      <c r="V577" s="31"/>
      <c r="W577" s="31"/>
      <c r="X577" s="31"/>
      <c r="AD577" s="31"/>
      <c r="AE577" s="31"/>
      <c r="AF577" s="31"/>
    </row>
    <row r="578" ht="15.75" hidden="1" customHeight="1">
      <c r="H578" s="81"/>
      <c r="N578" s="85"/>
      <c r="O578" s="85"/>
      <c r="P578" s="86"/>
      <c r="V578" s="31"/>
      <c r="W578" s="31"/>
      <c r="X578" s="31"/>
      <c r="AD578" s="31"/>
      <c r="AE578" s="31"/>
      <c r="AF578" s="31"/>
    </row>
    <row r="579" ht="15.75" hidden="1" customHeight="1">
      <c r="H579" s="81"/>
      <c r="N579" s="85"/>
      <c r="O579" s="85"/>
      <c r="P579" s="86"/>
      <c r="V579" s="31"/>
      <c r="W579" s="31"/>
      <c r="X579" s="31"/>
      <c r="AD579" s="31"/>
      <c r="AE579" s="31"/>
      <c r="AF579" s="31"/>
    </row>
    <row r="580" ht="15.75" hidden="1" customHeight="1">
      <c r="H580" s="81"/>
      <c r="N580" s="85"/>
      <c r="O580" s="85"/>
      <c r="P580" s="86"/>
      <c r="V580" s="31"/>
      <c r="W580" s="31"/>
      <c r="X580" s="31"/>
      <c r="AD580" s="31"/>
      <c r="AE580" s="31"/>
      <c r="AF580" s="31"/>
    </row>
    <row r="581" ht="15.75" hidden="1" customHeight="1">
      <c r="H581" s="81"/>
      <c r="N581" s="85"/>
      <c r="O581" s="85"/>
      <c r="P581" s="86"/>
      <c r="V581" s="31"/>
      <c r="W581" s="31"/>
      <c r="X581" s="31"/>
      <c r="AD581" s="31"/>
      <c r="AE581" s="31"/>
      <c r="AF581" s="31"/>
    </row>
    <row r="582" ht="15.75" hidden="1" customHeight="1">
      <c r="H582" s="81"/>
      <c r="N582" s="85"/>
      <c r="O582" s="85"/>
      <c r="P582" s="86"/>
      <c r="V582" s="31"/>
      <c r="W582" s="31"/>
      <c r="X582" s="31"/>
      <c r="AD582" s="31"/>
      <c r="AE582" s="31"/>
      <c r="AF582" s="31"/>
    </row>
    <row r="583" ht="15.75" hidden="1" customHeight="1">
      <c r="H583" s="81"/>
      <c r="N583" s="85"/>
      <c r="O583" s="85"/>
      <c r="P583" s="86"/>
      <c r="V583" s="31"/>
      <c r="W583" s="31"/>
      <c r="X583" s="31"/>
      <c r="AD583" s="31"/>
      <c r="AE583" s="31"/>
      <c r="AF583" s="31"/>
    </row>
    <row r="584" ht="15.75" hidden="1" customHeight="1">
      <c r="H584" s="81"/>
      <c r="N584" s="85"/>
      <c r="O584" s="85"/>
      <c r="P584" s="86"/>
      <c r="V584" s="31"/>
      <c r="W584" s="31"/>
      <c r="X584" s="31"/>
      <c r="AD584" s="31"/>
      <c r="AE584" s="31"/>
      <c r="AF584" s="31"/>
    </row>
    <row r="585" ht="15.75" hidden="1" customHeight="1">
      <c r="H585" s="81"/>
      <c r="N585" s="85"/>
      <c r="O585" s="85"/>
      <c r="P585" s="86"/>
      <c r="V585" s="31"/>
      <c r="W585" s="31"/>
      <c r="X585" s="31"/>
      <c r="AD585" s="31"/>
      <c r="AE585" s="31"/>
      <c r="AF585" s="31"/>
    </row>
    <row r="586" ht="15.75" hidden="1" customHeight="1">
      <c r="H586" s="81"/>
      <c r="N586" s="85"/>
      <c r="O586" s="85"/>
      <c r="P586" s="86"/>
      <c r="V586" s="31"/>
      <c r="W586" s="31"/>
      <c r="X586" s="31"/>
      <c r="AD586" s="31"/>
      <c r="AE586" s="31"/>
      <c r="AF586" s="31"/>
    </row>
    <row r="587" ht="15.75" hidden="1" customHeight="1">
      <c r="H587" s="81"/>
      <c r="N587" s="85"/>
      <c r="O587" s="85"/>
      <c r="P587" s="86"/>
      <c r="V587" s="31"/>
      <c r="W587" s="31"/>
      <c r="X587" s="31"/>
      <c r="AD587" s="31"/>
      <c r="AE587" s="31"/>
      <c r="AF587" s="31"/>
    </row>
    <row r="588" ht="15.75" hidden="1" customHeight="1">
      <c r="H588" s="81"/>
      <c r="N588" s="85"/>
      <c r="O588" s="85"/>
      <c r="P588" s="86"/>
      <c r="V588" s="31"/>
      <c r="W588" s="31"/>
      <c r="X588" s="31"/>
      <c r="AD588" s="31"/>
      <c r="AE588" s="31"/>
      <c r="AF588" s="31"/>
    </row>
    <row r="589" ht="15.75" hidden="1" customHeight="1">
      <c r="H589" s="81"/>
      <c r="N589" s="85"/>
      <c r="O589" s="85"/>
      <c r="P589" s="86"/>
      <c r="V589" s="31"/>
      <c r="W589" s="31"/>
      <c r="X589" s="31"/>
      <c r="AD589" s="31"/>
      <c r="AE589" s="31"/>
      <c r="AF589" s="31"/>
    </row>
    <row r="590" ht="15.75" hidden="1" customHeight="1">
      <c r="H590" s="81"/>
      <c r="N590" s="85"/>
      <c r="O590" s="85"/>
      <c r="P590" s="86"/>
      <c r="V590" s="31"/>
      <c r="W590" s="31"/>
      <c r="X590" s="31"/>
      <c r="AD590" s="31"/>
      <c r="AE590" s="31"/>
      <c r="AF590" s="31"/>
    </row>
    <row r="591" ht="15.75" hidden="1" customHeight="1">
      <c r="H591" s="81"/>
      <c r="N591" s="85"/>
      <c r="O591" s="85"/>
      <c r="P591" s="86"/>
      <c r="V591" s="31"/>
      <c r="W591" s="31"/>
      <c r="X591" s="31"/>
      <c r="AD591" s="31"/>
      <c r="AE591" s="31"/>
      <c r="AF591" s="31"/>
    </row>
    <row r="592" ht="15.75" hidden="1" customHeight="1">
      <c r="H592" s="81"/>
      <c r="N592" s="85"/>
      <c r="O592" s="85"/>
      <c r="P592" s="86"/>
      <c r="V592" s="31"/>
      <c r="W592" s="31"/>
      <c r="X592" s="31"/>
      <c r="AD592" s="31"/>
      <c r="AE592" s="31"/>
      <c r="AF592" s="31"/>
    </row>
    <row r="593" ht="15.75" hidden="1" customHeight="1">
      <c r="H593" s="81"/>
      <c r="N593" s="85"/>
      <c r="O593" s="85"/>
      <c r="P593" s="86"/>
      <c r="V593" s="31"/>
      <c r="W593" s="31"/>
      <c r="X593" s="31"/>
      <c r="AD593" s="31"/>
      <c r="AE593" s="31"/>
      <c r="AF593" s="31"/>
    </row>
    <row r="594" ht="15.75" hidden="1" customHeight="1">
      <c r="H594" s="81"/>
      <c r="N594" s="85"/>
      <c r="O594" s="85"/>
      <c r="P594" s="86"/>
      <c r="V594" s="31"/>
      <c r="W594" s="31"/>
      <c r="X594" s="31"/>
      <c r="AD594" s="31"/>
      <c r="AE594" s="31"/>
      <c r="AF594" s="31"/>
    </row>
    <row r="595" ht="15.75" hidden="1" customHeight="1">
      <c r="H595" s="81"/>
      <c r="N595" s="85"/>
      <c r="O595" s="85"/>
      <c r="P595" s="86"/>
      <c r="V595" s="31"/>
      <c r="W595" s="31"/>
      <c r="X595" s="31"/>
      <c r="AD595" s="31"/>
      <c r="AE595" s="31"/>
      <c r="AF595" s="31"/>
    </row>
    <row r="596" ht="15.75" hidden="1" customHeight="1">
      <c r="H596" s="81"/>
      <c r="N596" s="85"/>
      <c r="O596" s="85"/>
      <c r="P596" s="86"/>
      <c r="V596" s="31"/>
      <c r="W596" s="31"/>
      <c r="X596" s="31"/>
      <c r="AD596" s="31"/>
      <c r="AE596" s="31"/>
      <c r="AF596" s="31"/>
    </row>
    <row r="597" ht="15.75" hidden="1" customHeight="1">
      <c r="H597" s="81"/>
      <c r="N597" s="85"/>
      <c r="O597" s="85"/>
      <c r="P597" s="86"/>
      <c r="V597" s="31"/>
      <c r="W597" s="31"/>
      <c r="X597" s="31"/>
      <c r="AD597" s="31"/>
      <c r="AE597" s="31"/>
      <c r="AF597" s="31"/>
    </row>
    <row r="598" ht="15.75" hidden="1" customHeight="1">
      <c r="H598" s="81"/>
      <c r="N598" s="85"/>
      <c r="O598" s="85"/>
      <c r="P598" s="86"/>
      <c r="V598" s="31"/>
      <c r="W598" s="31"/>
      <c r="X598" s="31"/>
      <c r="AD598" s="31"/>
      <c r="AE598" s="31"/>
      <c r="AF598" s="31"/>
    </row>
    <row r="599" ht="15.75" hidden="1" customHeight="1">
      <c r="H599" s="81"/>
      <c r="N599" s="85"/>
      <c r="O599" s="85"/>
      <c r="P599" s="86"/>
      <c r="V599" s="31"/>
      <c r="W599" s="31"/>
      <c r="X599" s="31"/>
      <c r="AD599" s="31"/>
      <c r="AE599" s="31"/>
      <c r="AF599" s="31"/>
    </row>
    <row r="600" ht="15.75" hidden="1" customHeight="1">
      <c r="H600" s="81"/>
      <c r="N600" s="85"/>
      <c r="O600" s="85"/>
      <c r="P600" s="86"/>
      <c r="V600" s="31"/>
      <c r="W600" s="31"/>
      <c r="X600" s="31"/>
      <c r="AD600" s="31"/>
      <c r="AE600" s="31"/>
      <c r="AF600" s="31"/>
    </row>
    <row r="601" ht="15.75" hidden="1" customHeight="1">
      <c r="H601" s="81"/>
      <c r="N601" s="85"/>
      <c r="O601" s="85"/>
      <c r="P601" s="86"/>
      <c r="V601" s="31"/>
      <c r="W601" s="31"/>
      <c r="X601" s="31"/>
      <c r="AD601" s="31"/>
      <c r="AE601" s="31"/>
      <c r="AF601" s="31"/>
    </row>
    <row r="602" ht="15.75" hidden="1" customHeight="1">
      <c r="H602" s="81"/>
      <c r="N602" s="85"/>
      <c r="O602" s="85"/>
      <c r="P602" s="86"/>
      <c r="V602" s="31"/>
      <c r="W602" s="31"/>
      <c r="X602" s="31"/>
      <c r="AD602" s="31"/>
      <c r="AE602" s="31"/>
      <c r="AF602" s="31"/>
    </row>
    <row r="603" ht="15.75" hidden="1" customHeight="1">
      <c r="H603" s="81"/>
      <c r="N603" s="85"/>
      <c r="O603" s="85"/>
      <c r="P603" s="86"/>
      <c r="V603" s="31"/>
      <c r="W603" s="31"/>
      <c r="X603" s="31"/>
      <c r="AD603" s="31"/>
      <c r="AE603" s="31"/>
      <c r="AF603" s="31"/>
    </row>
    <row r="604" ht="15.75" hidden="1" customHeight="1">
      <c r="H604" s="81"/>
      <c r="N604" s="85"/>
      <c r="O604" s="85"/>
      <c r="P604" s="86"/>
      <c r="V604" s="31"/>
      <c r="W604" s="31"/>
      <c r="X604" s="31"/>
      <c r="AD604" s="31"/>
      <c r="AE604" s="31"/>
      <c r="AF604" s="31"/>
    </row>
    <row r="605" ht="15.75" hidden="1" customHeight="1">
      <c r="H605" s="81"/>
      <c r="N605" s="85"/>
      <c r="O605" s="85"/>
      <c r="P605" s="86"/>
      <c r="V605" s="31"/>
      <c r="W605" s="31"/>
      <c r="X605" s="31"/>
      <c r="AD605" s="31"/>
      <c r="AE605" s="31"/>
      <c r="AF605" s="31"/>
    </row>
    <row r="606" ht="15.75" hidden="1" customHeight="1">
      <c r="H606" s="81"/>
      <c r="N606" s="85"/>
      <c r="O606" s="85"/>
      <c r="P606" s="86"/>
      <c r="V606" s="31"/>
      <c r="W606" s="31"/>
      <c r="X606" s="31"/>
      <c r="AD606" s="31"/>
      <c r="AE606" s="31"/>
      <c r="AF606" s="31"/>
    </row>
    <row r="607" ht="15.75" hidden="1" customHeight="1">
      <c r="H607" s="81"/>
      <c r="N607" s="85"/>
      <c r="O607" s="85"/>
      <c r="P607" s="86"/>
      <c r="V607" s="31"/>
      <c r="W607" s="31"/>
      <c r="X607" s="31"/>
      <c r="AD607" s="31"/>
      <c r="AE607" s="31"/>
      <c r="AF607" s="31"/>
    </row>
    <row r="608" ht="15.75" hidden="1" customHeight="1">
      <c r="H608" s="81"/>
      <c r="N608" s="85"/>
      <c r="O608" s="85"/>
      <c r="P608" s="86"/>
      <c r="V608" s="31"/>
      <c r="W608" s="31"/>
      <c r="X608" s="31"/>
      <c r="AD608" s="31"/>
      <c r="AE608" s="31"/>
      <c r="AF608" s="31"/>
    </row>
    <row r="609" ht="15.75" hidden="1" customHeight="1">
      <c r="H609" s="81"/>
      <c r="N609" s="85"/>
      <c r="O609" s="85"/>
      <c r="P609" s="86"/>
      <c r="V609" s="31"/>
      <c r="W609" s="31"/>
      <c r="X609" s="31"/>
      <c r="AD609" s="31"/>
      <c r="AE609" s="31"/>
      <c r="AF609" s="31"/>
    </row>
    <row r="610" ht="15.75" hidden="1" customHeight="1">
      <c r="H610" s="81"/>
      <c r="N610" s="85"/>
      <c r="O610" s="85"/>
      <c r="P610" s="86"/>
      <c r="V610" s="31"/>
      <c r="W610" s="31"/>
      <c r="X610" s="31"/>
      <c r="AD610" s="31"/>
      <c r="AE610" s="31"/>
      <c r="AF610" s="31"/>
    </row>
    <row r="611" ht="15.75" hidden="1" customHeight="1">
      <c r="H611" s="81"/>
      <c r="N611" s="85"/>
      <c r="O611" s="85"/>
      <c r="P611" s="86"/>
      <c r="V611" s="31"/>
      <c r="W611" s="31"/>
      <c r="X611" s="31"/>
      <c r="AD611" s="31"/>
      <c r="AE611" s="31"/>
      <c r="AF611" s="31"/>
    </row>
    <row r="612" ht="15.75" hidden="1" customHeight="1">
      <c r="H612" s="81"/>
      <c r="N612" s="85"/>
      <c r="O612" s="85"/>
      <c r="P612" s="86"/>
      <c r="V612" s="31"/>
      <c r="W612" s="31"/>
      <c r="X612" s="31"/>
      <c r="AD612" s="31"/>
      <c r="AE612" s="31"/>
      <c r="AF612" s="31"/>
    </row>
    <row r="613" ht="15.75" hidden="1" customHeight="1">
      <c r="H613" s="81"/>
      <c r="N613" s="85"/>
      <c r="O613" s="85"/>
      <c r="P613" s="86"/>
      <c r="V613" s="31"/>
      <c r="W613" s="31"/>
      <c r="X613" s="31"/>
      <c r="AD613" s="31"/>
      <c r="AE613" s="31"/>
      <c r="AF613" s="31"/>
    </row>
    <row r="614" ht="15.75" hidden="1" customHeight="1">
      <c r="H614" s="81"/>
      <c r="N614" s="85"/>
      <c r="O614" s="85"/>
      <c r="P614" s="86"/>
      <c r="V614" s="31"/>
      <c r="W614" s="31"/>
      <c r="X614" s="31"/>
      <c r="AD614" s="31"/>
      <c r="AE614" s="31"/>
      <c r="AF614" s="31"/>
    </row>
    <row r="615" ht="15.75" hidden="1" customHeight="1">
      <c r="H615" s="81"/>
      <c r="N615" s="85"/>
      <c r="O615" s="85"/>
      <c r="P615" s="86"/>
      <c r="V615" s="31"/>
      <c r="W615" s="31"/>
      <c r="X615" s="31"/>
      <c r="AD615" s="31"/>
      <c r="AE615" s="31"/>
      <c r="AF615" s="31"/>
    </row>
    <row r="616" ht="15.75" hidden="1" customHeight="1">
      <c r="H616" s="81"/>
      <c r="N616" s="85"/>
      <c r="O616" s="85"/>
      <c r="P616" s="86"/>
      <c r="V616" s="31"/>
      <c r="W616" s="31"/>
      <c r="X616" s="31"/>
      <c r="AD616" s="31"/>
      <c r="AE616" s="31"/>
      <c r="AF616" s="31"/>
    </row>
    <row r="617" ht="15.75" hidden="1" customHeight="1">
      <c r="H617" s="81"/>
      <c r="N617" s="85"/>
      <c r="O617" s="85"/>
      <c r="P617" s="86"/>
      <c r="V617" s="31"/>
      <c r="W617" s="31"/>
      <c r="X617" s="31"/>
      <c r="AD617" s="31"/>
      <c r="AE617" s="31"/>
      <c r="AF617" s="31"/>
    </row>
    <row r="618" ht="15.75" hidden="1" customHeight="1">
      <c r="H618" s="81"/>
      <c r="N618" s="85"/>
      <c r="O618" s="85"/>
      <c r="P618" s="86"/>
      <c r="V618" s="31"/>
      <c r="W618" s="31"/>
      <c r="X618" s="31"/>
      <c r="AD618" s="31"/>
      <c r="AE618" s="31"/>
      <c r="AF618" s="31"/>
    </row>
    <row r="619" ht="15.75" hidden="1" customHeight="1">
      <c r="H619" s="81"/>
      <c r="N619" s="85"/>
      <c r="O619" s="85"/>
      <c r="P619" s="86"/>
      <c r="V619" s="31"/>
      <c r="W619" s="31"/>
      <c r="X619" s="31"/>
      <c r="AD619" s="31"/>
      <c r="AE619" s="31"/>
      <c r="AF619" s="31"/>
    </row>
    <row r="620" ht="15.75" hidden="1" customHeight="1">
      <c r="H620" s="81"/>
      <c r="N620" s="85"/>
      <c r="O620" s="85"/>
      <c r="P620" s="86"/>
      <c r="V620" s="31"/>
      <c r="W620" s="31"/>
      <c r="X620" s="31"/>
      <c r="AD620" s="31"/>
      <c r="AE620" s="31"/>
      <c r="AF620" s="31"/>
    </row>
    <row r="621" ht="15.75" hidden="1" customHeight="1">
      <c r="H621" s="81"/>
      <c r="N621" s="85"/>
      <c r="O621" s="85"/>
      <c r="P621" s="86"/>
      <c r="V621" s="31"/>
      <c r="W621" s="31"/>
      <c r="X621" s="31"/>
      <c r="AD621" s="31"/>
      <c r="AE621" s="31"/>
      <c r="AF621" s="31"/>
    </row>
    <row r="622" ht="15.75" hidden="1" customHeight="1">
      <c r="H622" s="81"/>
      <c r="N622" s="85"/>
      <c r="O622" s="85"/>
      <c r="P622" s="86"/>
      <c r="V622" s="31"/>
      <c r="W622" s="31"/>
      <c r="X622" s="31"/>
      <c r="AD622" s="31"/>
      <c r="AE622" s="31"/>
      <c r="AF622" s="31"/>
    </row>
    <row r="623" ht="15.75" hidden="1" customHeight="1">
      <c r="H623" s="81"/>
      <c r="N623" s="85"/>
      <c r="O623" s="85"/>
      <c r="P623" s="86"/>
      <c r="V623" s="31"/>
      <c r="W623" s="31"/>
      <c r="X623" s="31"/>
      <c r="AD623" s="31"/>
      <c r="AE623" s="31"/>
      <c r="AF623" s="31"/>
    </row>
    <row r="624" ht="15.75" hidden="1" customHeight="1">
      <c r="H624" s="81"/>
      <c r="N624" s="85"/>
      <c r="O624" s="85"/>
      <c r="P624" s="86"/>
      <c r="V624" s="31"/>
      <c r="W624" s="31"/>
      <c r="X624" s="31"/>
      <c r="AD624" s="31"/>
      <c r="AE624" s="31"/>
      <c r="AF624" s="31"/>
    </row>
    <row r="625" ht="15.75" hidden="1" customHeight="1">
      <c r="H625" s="81"/>
      <c r="N625" s="85"/>
      <c r="O625" s="85"/>
      <c r="P625" s="86"/>
      <c r="V625" s="31"/>
      <c r="W625" s="31"/>
      <c r="X625" s="31"/>
      <c r="AD625" s="31"/>
      <c r="AE625" s="31"/>
      <c r="AF625" s="31"/>
    </row>
    <row r="626" ht="15.75" hidden="1" customHeight="1">
      <c r="H626" s="81"/>
      <c r="N626" s="85"/>
      <c r="O626" s="85"/>
      <c r="P626" s="86"/>
      <c r="V626" s="31"/>
      <c r="W626" s="31"/>
      <c r="X626" s="31"/>
      <c r="AD626" s="31"/>
      <c r="AE626" s="31"/>
      <c r="AF626" s="31"/>
    </row>
    <row r="627" ht="15.75" hidden="1" customHeight="1">
      <c r="H627" s="81"/>
      <c r="N627" s="85"/>
      <c r="O627" s="85"/>
      <c r="P627" s="86"/>
      <c r="V627" s="31"/>
      <c r="W627" s="31"/>
      <c r="X627" s="31"/>
      <c r="AD627" s="31"/>
      <c r="AE627" s="31"/>
      <c r="AF627" s="31"/>
    </row>
    <row r="628" ht="15.75" hidden="1" customHeight="1">
      <c r="H628" s="81"/>
      <c r="N628" s="85"/>
      <c r="O628" s="85"/>
      <c r="P628" s="86"/>
      <c r="V628" s="31"/>
      <c r="W628" s="31"/>
      <c r="X628" s="31"/>
      <c r="AD628" s="31"/>
      <c r="AE628" s="31"/>
      <c r="AF628" s="31"/>
    </row>
    <row r="629" ht="15.75" hidden="1" customHeight="1">
      <c r="H629" s="81"/>
      <c r="N629" s="85"/>
      <c r="O629" s="85"/>
      <c r="P629" s="86"/>
      <c r="V629" s="31"/>
      <c r="W629" s="31"/>
      <c r="X629" s="31"/>
      <c r="AD629" s="31"/>
      <c r="AE629" s="31"/>
      <c r="AF629" s="31"/>
    </row>
    <row r="630" ht="15.75" hidden="1" customHeight="1">
      <c r="H630" s="81"/>
      <c r="N630" s="85"/>
      <c r="O630" s="85"/>
      <c r="P630" s="86"/>
      <c r="V630" s="31"/>
      <c r="W630" s="31"/>
      <c r="X630" s="31"/>
      <c r="AD630" s="31"/>
      <c r="AE630" s="31"/>
      <c r="AF630" s="31"/>
    </row>
    <row r="631" ht="15.75" hidden="1" customHeight="1">
      <c r="H631" s="81"/>
      <c r="N631" s="85"/>
      <c r="O631" s="85"/>
      <c r="P631" s="86"/>
      <c r="V631" s="31"/>
      <c r="W631" s="31"/>
      <c r="X631" s="31"/>
      <c r="AD631" s="31"/>
      <c r="AE631" s="31"/>
      <c r="AF631" s="31"/>
    </row>
    <row r="632" ht="15.75" hidden="1" customHeight="1">
      <c r="H632" s="81"/>
      <c r="N632" s="85"/>
      <c r="O632" s="85"/>
      <c r="P632" s="86"/>
      <c r="V632" s="31"/>
      <c r="W632" s="31"/>
      <c r="X632" s="31"/>
      <c r="AD632" s="31"/>
      <c r="AE632" s="31"/>
      <c r="AF632" s="31"/>
    </row>
    <row r="633" ht="15.75" hidden="1" customHeight="1">
      <c r="H633" s="81"/>
      <c r="N633" s="85"/>
      <c r="O633" s="85"/>
      <c r="P633" s="86"/>
      <c r="V633" s="31"/>
      <c r="W633" s="31"/>
      <c r="X633" s="31"/>
      <c r="AD633" s="31"/>
      <c r="AE633" s="31"/>
      <c r="AF633" s="31"/>
    </row>
    <row r="634" ht="15.75" hidden="1" customHeight="1">
      <c r="H634" s="81"/>
      <c r="N634" s="85"/>
      <c r="O634" s="85"/>
      <c r="P634" s="86"/>
      <c r="V634" s="31"/>
      <c r="W634" s="31"/>
      <c r="X634" s="31"/>
      <c r="AD634" s="31"/>
      <c r="AE634" s="31"/>
      <c r="AF634" s="31"/>
    </row>
    <row r="635" ht="15.75" hidden="1" customHeight="1">
      <c r="H635" s="81"/>
      <c r="N635" s="85"/>
      <c r="O635" s="85"/>
      <c r="P635" s="86"/>
      <c r="V635" s="31"/>
      <c r="W635" s="31"/>
      <c r="X635" s="31"/>
      <c r="AD635" s="31"/>
      <c r="AE635" s="31"/>
      <c r="AF635" s="31"/>
    </row>
    <row r="636" ht="15.75" hidden="1" customHeight="1">
      <c r="H636" s="81"/>
      <c r="N636" s="85"/>
      <c r="O636" s="85"/>
      <c r="P636" s="86"/>
      <c r="V636" s="31"/>
      <c r="W636" s="31"/>
      <c r="X636" s="31"/>
      <c r="AD636" s="31"/>
      <c r="AE636" s="31"/>
      <c r="AF636" s="31"/>
    </row>
    <row r="637" ht="15.75" hidden="1" customHeight="1">
      <c r="H637" s="81"/>
      <c r="N637" s="85"/>
      <c r="O637" s="85"/>
      <c r="P637" s="86"/>
      <c r="V637" s="31"/>
      <c r="W637" s="31"/>
      <c r="X637" s="31"/>
      <c r="AD637" s="31"/>
      <c r="AE637" s="31"/>
      <c r="AF637" s="31"/>
    </row>
    <row r="638" ht="15.75" hidden="1" customHeight="1">
      <c r="H638" s="81"/>
      <c r="N638" s="85"/>
      <c r="O638" s="85"/>
      <c r="P638" s="86"/>
      <c r="V638" s="31"/>
      <c r="W638" s="31"/>
      <c r="X638" s="31"/>
      <c r="AD638" s="31"/>
      <c r="AE638" s="31"/>
      <c r="AF638" s="31"/>
    </row>
    <row r="639" ht="15.75" hidden="1" customHeight="1">
      <c r="H639" s="81"/>
      <c r="N639" s="85"/>
      <c r="O639" s="85"/>
      <c r="P639" s="86"/>
      <c r="V639" s="31"/>
      <c r="W639" s="31"/>
      <c r="X639" s="31"/>
      <c r="AD639" s="31"/>
      <c r="AE639" s="31"/>
      <c r="AF639" s="31"/>
    </row>
    <row r="640" ht="15.75" hidden="1" customHeight="1">
      <c r="H640" s="81"/>
      <c r="N640" s="85"/>
      <c r="O640" s="85"/>
      <c r="P640" s="86"/>
      <c r="V640" s="31"/>
      <c r="W640" s="31"/>
      <c r="X640" s="31"/>
      <c r="AD640" s="31"/>
      <c r="AE640" s="31"/>
      <c r="AF640" s="31"/>
    </row>
    <row r="641" ht="15.75" hidden="1" customHeight="1">
      <c r="H641" s="81"/>
      <c r="N641" s="85"/>
      <c r="O641" s="85"/>
      <c r="P641" s="86"/>
      <c r="V641" s="31"/>
      <c r="W641" s="31"/>
      <c r="X641" s="31"/>
      <c r="AD641" s="31"/>
      <c r="AE641" s="31"/>
      <c r="AF641" s="31"/>
    </row>
    <row r="642" ht="15.75" hidden="1" customHeight="1">
      <c r="H642" s="81"/>
      <c r="N642" s="85"/>
      <c r="O642" s="85"/>
      <c r="P642" s="86"/>
      <c r="V642" s="31"/>
      <c r="W642" s="31"/>
      <c r="X642" s="31"/>
      <c r="AD642" s="31"/>
      <c r="AE642" s="31"/>
      <c r="AF642" s="31"/>
    </row>
    <row r="643" ht="15.75" hidden="1" customHeight="1">
      <c r="H643" s="81"/>
      <c r="N643" s="85"/>
      <c r="O643" s="85"/>
      <c r="P643" s="86"/>
      <c r="V643" s="31"/>
      <c r="W643" s="31"/>
      <c r="X643" s="31"/>
      <c r="AD643" s="31"/>
      <c r="AE643" s="31"/>
      <c r="AF643" s="31"/>
    </row>
    <row r="644" ht="15.75" hidden="1" customHeight="1">
      <c r="H644" s="81"/>
      <c r="N644" s="85"/>
      <c r="O644" s="85"/>
      <c r="P644" s="86"/>
      <c r="V644" s="31"/>
      <c r="W644" s="31"/>
      <c r="X644" s="31"/>
      <c r="AD644" s="31"/>
      <c r="AE644" s="31"/>
      <c r="AF644" s="31"/>
    </row>
    <row r="645" ht="15.75" hidden="1" customHeight="1">
      <c r="H645" s="81"/>
      <c r="N645" s="85"/>
      <c r="O645" s="85"/>
      <c r="P645" s="86"/>
      <c r="V645" s="31"/>
      <c r="W645" s="31"/>
      <c r="X645" s="31"/>
      <c r="AD645" s="31"/>
      <c r="AE645" s="31"/>
      <c r="AF645" s="31"/>
    </row>
    <row r="646" ht="15.75" hidden="1" customHeight="1">
      <c r="H646" s="81"/>
      <c r="N646" s="85"/>
      <c r="O646" s="85"/>
      <c r="P646" s="86"/>
      <c r="V646" s="31"/>
      <c r="W646" s="31"/>
      <c r="X646" s="31"/>
      <c r="AD646" s="31"/>
      <c r="AE646" s="31"/>
      <c r="AF646" s="31"/>
    </row>
    <row r="647" ht="15.75" hidden="1" customHeight="1">
      <c r="H647" s="81"/>
      <c r="N647" s="85"/>
      <c r="O647" s="85"/>
      <c r="P647" s="86"/>
      <c r="V647" s="31"/>
      <c r="W647" s="31"/>
      <c r="X647" s="31"/>
      <c r="AD647" s="31"/>
      <c r="AE647" s="31"/>
      <c r="AF647" s="31"/>
    </row>
    <row r="648" ht="15.75" hidden="1" customHeight="1">
      <c r="H648" s="81"/>
      <c r="N648" s="85"/>
      <c r="O648" s="85"/>
      <c r="P648" s="86"/>
      <c r="V648" s="31"/>
      <c r="W648" s="31"/>
      <c r="X648" s="31"/>
      <c r="AD648" s="31"/>
      <c r="AE648" s="31"/>
      <c r="AF648" s="31"/>
    </row>
    <row r="649" ht="15.75" hidden="1" customHeight="1">
      <c r="H649" s="81"/>
      <c r="N649" s="85"/>
      <c r="O649" s="85"/>
      <c r="P649" s="86"/>
      <c r="V649" s="31"/>
      <c r="W649" s="31"/>
      <c r="X649" s="31"/>
      <c r="AD649" s="31"/>
      <c r="AE649" s="31"/>
      <c r="AF649" s="31"/>
    </row>
    <row r="650" ht="15.75" hidden="1" customHeight="1">
      <c r="H650" s="81"/>
      <c r="N650" s="85"/>
      <c r="O650" s="85"/>
      <c r="P650" s="86"/>
      <c r="V650" s="31"/>
      <c r="W650" s="31"/>
      <c r="X650" s="31"/>
      <c r="AD650" s="31"/>
      <c r="AE650" s="31"/>
      <c r="AF650" s="31"/>
    </row>
    <row r="651" ht="15.75" hidden="1" customHeight="1">
      <c r="H651" s="81"/>
      <c r="N651" s="85"/>
      <c r="O651" s="85"/>
      <c r="P651" s="86"/>
      <c r="V651" s="31"/>
      <c r="W651" s="31"/>
      <c r="X651" s="31"/>
      <c r="AD651" s="31"/>
      <c r="AE651" s="31"/>
      <c r="AF651" s="31"/>
    </row>
    <row r="652" ht="15.75" hidden="1" customHeight="1">
      <c r="H652" s="81"/>
      <c r="N652" s="85"/>
      <c r="O652" s="85"/>
      <c r="P652" s="86"/>
      <c r="V652" s="31"/>
      <c r="W652" s="31"/>
      <c r="X652" s="31"/>
      <c r="AD652" s="31"/>
      <c r="AE652" s="31"/>
      <c r="AF652" s="31"/>
    </row>
    <row r="653" ht="15.75" hidden="1" customHeight="1">
      <c r="H653" s="81"/>
      <c r="N653" s="85"/>
      <c r="O653" s="85"/>
      <c r="P653" s="86"/>
      <c r="V653" s="31"/>
      <c r="W653" s="31"/>
      <c r="X653" s="31"/>
      <c r="AD653" s="31"/>
      <c r="AE653" s="31"/>
      <c r="AF653" s="31"/>
    </row>
    <row r="654" ht="15.75" hidden="1" customHeight="1">
      <c r="H654" s="81"/>
      <c r="N654" s="85"/>
      <c r="O654" s="85"/>
      <c r="P654" s="86"/>
      <c r="V654" s="31"/>
      <c r="W654" s="31"/>
      <c r="X654" s="31"/>
      <c r="AD654" s="31"/>
      <c r="AE654" s="31"/>
      <c r="AF654" s="31"/>
    </row>
    <row r="655" ht="15.75" hidden="1" customHeight="1">
      <c r="H655" s="81"/>
      <c r="N655" s="85"/>
      <c r="O655" s="85"/>
      <c r="P655" s="86"/>
      <c r="V655" s="31"/>
      <c r="W655" s="31"/>
      <c r="X655" s="31"/>
      <c r="AD655" s="31"/>
      <c r="AE655" s="31"/>
      <c r="AF655" s="31"/>
    </row>
    <row r="656" ht="15.75" hidden="1" customHeight="1">
      <c r="H656" s="81"/>
      <c r="N656" s="85"/>
      <c r="O656" s="85"/>
      <c r="P656" s="86"/>
      <c r="V656" s="31"/>
      <c r="W656" s="31"/>
      <c r="X656" s="31"/>
      <c r="AD656" s="31"/>
      <c r="AE656" s="31"/>
      <c r="AF656" s="31"/>
    </row>
    <row r="657" ht="15.75" hidden="1" customHeight="1">
      <c r="H657" s="81"/>
      <c r="N657" s="85"/>
      <c r="O657" s="85"/>
      <c r="P657" s="86"/>
      <c r="V657" s="31"/>
      <c r="W657" s="31"/>
      <c r="X657" s="31"/>
      <c r="AD657" s="31"/>
      <c r="AE657" s="31"/>
      <c r="AF657" s="31"/>
    </row>
    <row r="658" ht="15.75" hidden="1" customHeight="1">
      <c r="H658" s="81"/>
      <c r="N658" s="85"/>
      <c r="O658" s="85"/>
      <c r="P658" s="86"/>
      <c r="V658" s="31"/>
      <c r="W658" s="31"/>
      <c r="X658" s="31"/>
      <c r="AD658" s="31"/>
      <c r="AE658" s="31"/>
      <c r="AF658" s="31"/>
    </row>
    <row r="659" ht="15.75" hidden="1" customHeight="1">
      <c r="H659" s="81"/>
      <c r="N659" s="85"/>
      <c r="O659" s="85"/>
      <c r="P659" s="86"/>
      <c r="V659" s="31"/>
      <c r="W659" s="31"/>
      <c r="X659" s="31"/>
      <c r="AD659" s="31"/>
      <c r="AE659" s="31"/>
      <c r="AF659" s="31"/>
    </row>
    <row r="660" ht="15.75" hidden="1" customHeight="1">
      <c r="H660" s="81"/>
      <c r="N660" s="85"/>
      <c r="O660" s="85"/>
      <c r="P660" s="86"/>
      <c r="V660" s="31"/>
      <c r="W660" s="31"/>
      <c r="X660" s="31"/>
      <c r="AD660" s="31"/>
      <c r="AE660" s="31"/>
      <c r="AF660" s="31"/>
    </row>
    <row r="661" ht="15.75" hidden="1" customHeight="1">
      <c r="H661" s="81"/>
      <c r="N661" s="85"/>
      <c r="O661" s="85"/>
      <c r="P661" s="86"/>
      <c r="V661" s="31"/>
      <c r="W661" s="31"/>
      <c r="X661" s="31"/>
      <c r="AD661" s="31"/>
      <c r="AE661" s="31"/>
      <c r="AF661" s="31"/>
    </row>
    <row r="662" ht="15.75" hidden="1" customHeight="1">
      <c r="H662" s="81"/>
      <c r="N662" s="85"/>
      <c r="O662" s="85"/>
      <c r="P662" s="86"/>
      <c r="V662" s="31"/>
      <c r="W662" s="31"/>
      <c r="X662" s="31"/>
      <c r="AD662" s="31"/>
      <c r="AE662" s="31"/>
      <c r="AF662" s="31"/>
    </row>
    <row r="663" ht="15.75" hidden="1" customHeight="1">
      <c r="H663" s="81"/>
      <c r="N663" s="85"/>
      <c r="O663" s="85"/>
      <c r="P663" s="86"/>
      <c r="V663" s="31"/>
      <c r="W663" s="31"/>
      <c r="X663" s="31"/>
      <c r="AD663" s="31"/>
      <c r="AE663" s="31"/>
      <c r="AF663" s="31"/>
    </row>
    <row r="664" ht="15.75" hidden="1" customHeight="1">
      <c r="H664" s="81"/>
      <c r="N664" s="85"/>
      <c r="O664" s="85"/>
      <c r="P664" s="86"/>
      <c r="V664" s="31"/>
      <c r="W664" s="31"/>
      <c r="X664" s="31"/>
      <c r="AD664" s="31"/>
      <c r="AE664" s="31"/>
      <c r="AF664" s="31"/>
    </row>
    <row r="665" ht="15.75" hidden="1" customHeight="1">
      <c r="H665" s="81"/>
      <c r="N665" s="85"/>
      <c r="O665" s="85"/>
      <c r="P665" s="86"/>
      <c r="V665" s="31"/>
      <c r="W665" s="31"/>
      <c r="X665" s="31"/>
      <c r="AD665" s="31"/>
      <c r="AE665" s="31"/>
      <c r="AF665" s="31"/>
    </row>
    <row r="666" ht="15.75" hidden="1" customHeight="1">
      <c r="H666" s="81"/>
      <c r="N666" s="85"/>
      <c r="O666" s="85"/>
      <c r="P666" s="86"/>
      <c r="V666" s="31"/>
      <c r="W666" s="31"/>
      <c r="X666" s="31"/>
      <c r="AD666" s="31"/>
      <c r="AE666" s="31"/>
      <c r="AF666" s="31"/>
    </row>
    <row r="667" ht="15.75" hidden="1" customHeight="1">
      <c r="H667" s="81"/>
      <c r="N667" s="85"/>
      <c r="O667" s="85"/>
      <c r="P667" s="86"/>
      <c r="V667" s="31"/>
      <c r="W667" s="31"/>
      <c r="X667" s="31"/>
      <c r="AD667" s="31"/>
      <c r="AE667" s="31"/>
      <c r="AF667" s="31"/>
    </row>
    <row r="668" ht="15.75" hidden="1" customHeight="1">
      <c r="H668" s="81"/>
      <c r="N668" s="85"/>
      <c r="O668" s="85"/>
      <c r="P668" s="86"/>
      <c r="V668" s="31"/>
      <c r="W668" s="31"/>
      <c r="X668" s="31"/>
      <c r="AD668" s="31"/>
      <c r="AE668" s="31"/>
      <c r="AF668" s="31"/>
    </row>
    <row r="669" ht="15.75" hidden="1" customHeight="1">
      <c r="H669" s="81"/>
      <c r="N669" s="85"/>
      <c r="O669" s="85"/>
      <c r="P669" s="86"/>
      <c r="V669" s="31"/>
      <c r="W669" s="31"/>
      <c r="X669" s="31"/>
      <c r="AD669" s="31"/>
      <c r="AE669" s="31"/>
      <c r="AF669" s="31"/>
    </row>
    <row r="670" ht="15.75" hidden="1" customHeight="1">
      <c r="H670" s="81"/>
      <c r="N670" s="85"/>
      <c r="O670" s="85"/>
      <c r="P670" s="86"/>
      <c r="V670" s="31"/>
      <c r="W670" s="31"/>
      <c r="X670" s="31"/>
      <c r="AD670" s="31"/>
      <c r="AE670" s="31"/>
      <c r="AF670" s="31"/>
    </row>
    <row r="671" ht="15.75" hidden="1" customHeight="1">
      <c r="H671" s="81"/>
      <c r="N671" s="85"/>
      <c r="O671" s="85"/>
      <c r="P671" s="86"/>
      <c r="V671" s="31"/>
      <c r="W671" s="31"/>
      <c r="X671" s="31"/>
      <c r="AD671" s="31"/>
      <c r="AE671" s="31"/>
      <c r="AF671" s="31"/>
    </row>
    <row r="672" ht="15.75" hidden="1" customHeight="1">
      <c r="H672" s="81"/>
      <c r="N672" s="85"/>
      <c r="O672" s="85"/>
      <c r="P672" s="86"/>
      <c r="V672" s="31"/>
      <c r="W672" s="31"/>
      <c r="X672" s="31"/>
      <c r="AD672" s="31"/>
      <c r="AE672" s="31"/>
      <c r="AF672" s="31"/>
    </row>
    <row r="673" ht="15.75" hidden="1" customHeight="1">
      <c r="H673" s="81"/>
      <c r="N673" s="85"/>
      <c r="O673" s="85"/>
      <c r="P673" s="86"/>
      <c r="V673" s="31"/>
      <c r="W673" s="31"/>
      <c r="X673" s="31"/>
      <c r="AD673" s="31"/>
      <c r="AE673" s="31"/>
      <c r="AF673" s="31"/>
    </row>
    <row r="674" ht="15.75" hidden="1" customHeight="1">
      <c r="H674" s="81"/>
      <c r="N674" s="85"/>
      <c r="O674" s="85"/>
      <c r="P674" s="86"/>
      <c r="V674" s="31"/>
      <c r="W674" s="31"/>
      <c r="X674" s="31"/>
      <c r="AD674" s="31"/>
      <c r="AE674" s="31"/>
      <c r="AF674" s="31"/>
    </row>
    <row r="675" ht="15.75" hidden="1" customHeight="1">
      <c r="H675" s="81"/>
      <c r="N675" s="85"/>
      <c r="O675" s="85"/>
      <c r="P675" s="86"/>
      <c r="V675" s="31"/>
      <c r="W675" s="31"/>
      <c r="X675" s="31"/>
      <c r="AD675" s="31"/>
      <c r="AE675" s="31"/>
      <c r="AF675" s="31"/>
    </row>
    <row r="676" ht="15.75" hidden="1" customHeight="1">
      <c r="H676" s="81"/>
      <c r="N676" s="85"/>
      <c r="O676" s="85"/>
      <c r="P676" s="86"/>
      <c r="V676" s="31"/>
      <c r="W676" s="31"/>
      <c r="X676" s="31"/>
      <c r="AD676" s="31"/>
      <c r="AE676" s="31"/>
      <c r="AF676" s="31"/>
    </row>
    <row r="677" ht="15.75" hidden="1" customHeight="1">
      <c r="H677" s="81"/>
      <c r="N677" s="85"/>
      <c r="O677" s="85"/>
      <c r="P677" s="86"/>
      <c r="V677" s="31"/>
      <c r="W677" s="31"/>
      <c r="X677" s="31"/>
      <c r="AD677" s="31"/>
      <c r="AE677" s="31"/>
      <c r="AF677" s="31"/>
    </row>
    <row r="678" ht="15.75" hidden="1" customHeight="1">
      <c r="H678" s="81"/>
      <c r="N678" s="85"/>
      <c r="O678" s="85"/>
      <c r="P678" s="86"/>
      <c r="V678" s="31"/>
      <c r="W678" s="31"/>
      <c r="X678" s="31"/>
      <c r="AD678" s="31"/>
      <c r="AE678" s="31"/>
      <c r="AF678" s="31"/>
    </row>
    <row r="679" ht="15.75" hidden="1" customHeight="1">
      <c r="H679" s="81"/>
      <c r="N679" s="85"/>
      <c r="O679" s="85"/>
      <c r="P679" s="86"/>
      <c r="V679" s="31"/>
      <c r="W679" s="31"/>
      <c r="X679" s="31"/>
      <c r="AD679" s="31"/>
      <c r="AE679" s="31"/>
      <c r="AF679" s="31"/>
    </row>
    <row r="680" ht="15.75" hidden="1" customHeight="1">
      <c r="H680" s="81"/>
      <c r="N680" s="85"/>
      <c r="O680" s="85"/>
      <c r="P680" s="86"/>
      <c r="V680" s="31"/>
      <c r="W680" s="31"/>
      <c r="X680" s="31"/>
      <c r="AD680" s="31"/>
      <c r="AE680" s="31"/>
      <c r="AF680" s="31"/>
    </row>
    <row r="681" ht="15.75" hidden="1" customHeight="1">
      <c r="H681" s="81"/>
      <c r="N681" s="85"/>
      <c r="O681" s="85"/>
      <c r="P681" s="86"/>
      <c r="V681" s="31"/>
      <c r="W681" s="31"/>
      <c r="X681" s="31"/>
      <c r="AD681" s="31"/>
      <c r="AE681" s="31"/>
      <c r="AF681" s="31"/>
    </row>
    <row r="682" ht="15.75" hidden="1" customHeight="1">
      <c r="H682" s="81"/>
      <c r="N682" s="85"/>
      <c r="O682" s="85"/>
      <c r="P682" s="86"/>
      <c r="V682" s="31"/>
      <c r="W682" s="31"/>
      <c r="X682" s="31"/>
      <c r="AD682" s="31"/>
      <c r="AE682" s="31"/>
      <c r="AF682" s="31"/>
    </row>
    <row r="683" ht="15.75" hidden="1" customHeight="1">
      <c r="H683" s="81"/>
      <c r="N683" s="85"/>
      <c r="O683" s="85"/>
      <c r="P683" s="86"/>
      <c r="V683" s="31"/>
      <c r="W683" s="31"/>
      <c r="X683" s="31"/>
      <c r="AD683" s="31"/>
      <c r="AE683" s="31"/>
      <c r="AF683" s="31"/>
    </row>
    <row r="684" ht="15.75" hidden="1" customHeight="1">
      <c r="H684" s="81"/>
      <c r="N684" s="85"/>
      <c r="O684" s="85"/>
      <c r="P684" s="86"/>
      <c r="V684" s="31"/>
      <c r="W684" s="31"/>
      <c r="X684" s="31"/>
      <c r="AD684" s="31"/>
      <c r="AE684" s="31"/>
      <c r="AF684" s="31"/>
    </row>
    <row r="685" ht="15.75" hidden="1" customHeight="1">
      <c r="H685" s="81"/>
      <c r="N685" s="85"/>
      <c r="O685" s="85"/>
      <c r="P685" s="86"/>
      <c r="V685" s="31"/>
      <c r="W685" s="31"/>
      <c r="X685" s="31"/>
      <c r="AD685" s="31"/>
      <c r="AE685" s="31"/>
      <c r="AF685" s="31"/>
    </row>
    <row r="686" ht="15.75" hidden="1" customHeight="1">
      <c r="H686" s="81"/>
      <c r="N686" s="85"/>
      <c r="O686" s="85"/>
      <c r="P686" s="86"/>
      <c r="V686" s="31"/>
      <c r="W686" s="31"/>
      <c r="X686" s="31"/>
      <c r="AD686" s="31"/>
      <c r="AE686" s="31"/>
      <c r="AF686" s="31"/>
    </row>
    <row r="687" ht="15.75" hidden="1" customHeight="1">
      <c r="H687" s="81"/>
      <c r="N687" s="85"/>
      <c r="O687" s="85"/>
      <c r="P687" s="86"/>
      <c r="V687" s="31"/>
      <c r="W687" s="31"/>
      <c r="X687" s="31"/>
      <c r="AD687" s="31"/>
      <c r="AE687" s="31"/>
      <c r="AF687" s="31"/>
    </row>
    <row r="688" ht="15.75" hidden="1" customHeight="1">
      <c r="H688" s="81"/>
      <c r="N688" s="85"/>
      <c r="O688" s="85"/>
      <c r="P688" s="86"/>
      <c r="V688" s="31"/>
      <c r="W688" s="31"/>
      <c r="X688" s="31"/>
      <c r="AD688" s="31"/>
      <c r="AE688" s="31"/>
      <c r="AF688" s="31"/>
    </row>
    <row r="689" ht="15.75" hidden="1" customHeight="1">
      <c r="H689" s="81"/>
      <c r="N689" s="85"/>
      <c r="O689" s="85"/>
      <c r="P689" s="86"/>
      <c r="V689" s="31"/>
      <c r="W689" s="31"/>
      <c r="X689" s="31"/>
      <c r="AD689" s="31"/>
      <c r="AE689" s="31"/>
      <c r="AF689" s="31"/>
    </row>
    <row r="690" ht="15.75" hidden="1" customHeight="1">
      <c r="H690" s="81"/>
      <c r="N690" s="85"/>
      <c r="O690" s="85"/>
      <c r="P690" s="86"/>
      <c r="V690" s="31"/>
      <c r="W690" s="31"/>
      <c r="X690" s="31"/>
      <c r="AD690" s="31"/>
      <c r="AE690" s="31"/>
      <c r="AF690" s="31"/>
    </row>
    <row r="691" ht="15.75" hidden="1" customHeight="1">
      <c r="H691" s="81"/>
      <c r="N691" s="85"/>
      <c r="O691" s="85"/>
      <c r="P691" s="86"/>
      <c r="V691" s="31"/>
      <c r="W691" s="31"/>
      <c r="X691" s="31"/>
      <c r="AD691" s="31"/>
      <c r="AE691" s="31"/>
      <c r="AF691" s="31"/>
    </row>
    <row r="692" ht="15.75" hidden="1" customHeight="1">
      <c r="H692" s="81"/>
      <c r="N692" s="85"/>
      <c r="O692" s="85"/>
      <c r="P692" s="86"/>
      <c r="V692" s="31"/>
      <c r="W692" s="31"/>
      <c r="X692" s="31"/>
      <c r="AD692" s="31"/>
      <c r="AE692" s="31"/>
      <c r="AF692" s="31"/>
    </row>
    <row r="693" ht="15.75" hidden="1" customHeight="1">
      <c r="H693" s="81"/>
      <c r="N693" s="85"/>
      <c r="O693" s="85"/>
      <c r="P693" s="86"/>
      <c r="V693" s="31"/>
      <c r="W693" s="31"/>
      <c r="X693" s="31"/>
      <c r="AD693" s="31"/>
      <c r="AE693" s="31"/>
      <c r="AF693" s="31"/>
    </row>
    <row r="694" ht="15.75" hidden="1" customHeight="1">
      <c r="H694" s="81"/>
      <c r="N694" s="85"/>
      <c r="O694" s="85"/>
      <c r="P694" s="86"/>
      <c r="V694" s="31"/>
      <c r="W694" s="31"/>
      <c r="X694" s="31"/>
      <c r="AD694" s="31"/>
      <c r="AE694" s="31"/>
      <c r="AF694" s="31"/>
    </row>
    <row r="695" ht="15.75" hidden="1" customHeight="1">
      <c r="H695" s="81"/>
      <c r="N695" s="85"/>
      <c r="O695" s="85"/>
      <c r="P695" s="86"/>
      <c r="V695" s="31"/>
      <c r="W695" s="31"/>
      <c r="X695" s="31"/>
      <c r="AD695" s="31"/>
      <c r="AE695" s="31"/>
      <c r="AF695" s="31"/>
    </row>
    <row r="696" ht="15.75" hidden="1" customHeight="1">
      <c r="H696" s="81"/>
      <c r="N696" s="85"/>
      <c r="O696" s="85"/>
      <c r="P696" s="86"/>
      <c r="V696" s="31"/>
      <c r="W696" s="31"/>
      <c r="X696" s="31"/>
      <c r="AD696" s="31"/>
      <c r="AE696" s="31"/>
      <c r="AF696" s="31"/>
    </row>
    <row r="697" ht="15.75" hidden="1" customHeight="1">
      <c r="H697" s="81"/>
      <c r="N697" s="85"/>
      <c r="O697" s="85"/>
      <c r="P697" s="86"/>
      <c r="V697" s="31"/>
      <c r="W697" s="31"/>
      <c r="X697" s="31"/>
      <c r="AD697" s="31"/>
      <c r="AE697" s="31"/>
      <c r="AF697" s="31"/>
    </row>
    <row r="698" ht="15.75" hidden="1" customHeight="1">
      <c r="H698" s="81"/>
      <c r="N698" s="85"/>
      <c r="O698" s="85"/>
      <c r="P698" s="86"/>
      <c r="V698" s="31"/>
      <c r="W698" s="31"/>
      <c r="X698" s="31"/>
      <c r="AD698" s="31"/>
      <c r="AE698" s="31"/>
      <c r="AF698" s="31"/>
    </row>
    <row r="699" ht="15.75" hidden="1" customHeight="1">
      <c r="H699" s="81"/>
      <c r="N699" s="85"/>
      <c r="O699" s="85"/>
      <c r="P699" s="86"/>
      <c r="V699" s="31"/>
      <c r="W699" s="31"/>
      <c r="X699" s="31"/>
      <c r="AD699" s="31"/>
      <c r="AE699" s="31"/>
      <c r="AF699" s="31"/>
    </row>
    <row r="700" ht="15.75" hidden="1" customHeight="1">
      <c r="H700" s="81"/>
      <c r="N700" s="85"/>
      <c r="O700" s="85"/>
      <c r="P700" s="86"/>
      <c r="V700" s="31"/>
      <c r="W700" s="31"/>
      <c r="X700" s="31"/>
      <c r="AD700" s="31"/>
      <c r="AE700" s="31"/>
      <c r="AF700" s="31"/>
    </row>
    <row r="701" ht="15.75" hidden="1" customHeight="1">
      <c r="H701" s="81"/>
      <c r="N701" s="85"/>
      <c r="O701" s="85"/>
      <c r="P701" s="86"/>
      <c r="V701" s="31"/>
      <c r="W701" s="31"/>
      <c r="X701" s="31"/>
      <c r="AD701" s="31"/>
      <c r="AE701" s="31"/>
      <c r="AF701" s="31"/>
    </row>
    <row r="702" ht="15.75" hidden="1" customHeight="1">
      <c r="H702" s="81"/>
      <c r="N702" s="85"/>
      <c r="O702" s="85"/>
      <c r="P702" s="86"/>
      <c r="V702" s="31"/>
      <c r="W702" s="31"/>
      <c r="X702" s="31"/>
      <c r="AD702" s="31"/>
      <c r="AE702" s="31"/>
      <c r="AF702" s="31"/>
    </row>
    <row r="703" ht="15.75" hidden="1" customHeight="1">
      <c r="H703" s="81"/>
      <c r="N703" s="85"/>
      <c r="O703" s="85"/>
      <c r="P703" s="86"/>
      <c r="V703" s="31"/>
      <c r="W703" s="31"/>
      <c r="X703" s="31"/>
      <c r="AD703" s="31"/>
      <c r="AE703" s="31"/>
      <c r="AF703" s="31"/>
    </row>
    <row r="704" ht="15.75" hidden="1" customHeight="1">
      <c r="H704" s="81"/>
      <c r="N704" s="85"/>
      <c r="O704" s="85"/>
      <c r="P704" s="86"/>
      <c r="V704" s="31"/>
      <c r="W704" s="31"/>
      <c r="X704" s="31"/>
      <c r="AD704" s="31"/>
      <c r="AE704" s="31"/>
      <c r="AF704" s="31"/>
    </row>
    <row r="705" ht="15.75" hidden="1" customHeight="1">
      <c r="H705" s="81"/>
      <c r="N705" s="85"/>
      <c r="O705" s="85"/>
      <c r="P705" s="86"/>
      <c r="V705" s="31"/>
      <c r="W705" s="31"/>
      <c r="X705" s="31"/>
      <c r="AD705" s="31"/>
      <c r="AE705" s="31"/>
      <c r="AF705" s="31"/>
    </row>
    <row r="706" ht="15.75" hidden="1" customHeight="1">
      <c r="H706" s="81"/>
      <c r="N706" s="85"/>
      <c r="O706" s="85"/>
      <c r="P706" s="86"/>
      <c r="V706" s="31"/>
      <c r="W706" s="31"/>
      <c r="X706" s="31"/>
      <c r="AD706" s="31"/>
      <c r="AE706" s="31"/>
      <c r="AF706" s="31"/>
    </row>
    <row r="707" ht="15.75" hidden="1" customHeight="1">
      <c r="H707" s="81"/>
      <c r="N707" s="85"/>
      <c r="O707" s="85"/>
      <c r="P707" s="86"/>
      <c r="V707" s="31"/>
      <c r="W707" s="31"/>
      <c r="X707" s="31"/>
      <c r="AD707" s="31"/>
      <c r="AE707" s="31"/>
      <c r="AF707" s="31"/>
    </row>
    <row r="708" ht="15.75" hidden="1" customHeight="1">
      <c r="H708" s="81"/>
      <c r="N708" s="85"/>
      <c r="O708" s="85"/>
      <c r="P708" s="86"/>
      <c r="V708" s="31"/>
      <c r="W708" s="31"/>
      <c r="X708" s="31"/>
      <c r="AD708" s="31"/>
      <c r="AE708" s="31"/>
      <c r="AF708" s="31"/>
    </row>
    <row r="709" ht="15.75" hidden="1" customHeight="1">
      <c r="H709" s="81"/>
      <c r="N709" s="85"/>
      <c r="O709" s="85"/>
      <c r="P709" s="86"/>
      <c r="V709" s="31"/>
      <c r="W709" s="31"/>
      <c r="X709" s="31"/>
      <c r="AD709" s="31"/>
      <c r="AE709" s="31"/>
      <c r="AF709" s="31"/>
    </row>
    <row r="710" ht="15.75" hidden="1" customHeight="1">
      <c r="H710" s="81"/>
      <c r="N710" s="85"/>
      <c r="O710" s="85"/>
      <c r="P710" s="86"/>
      <c r="V710" s="31"/>
      <c r="W710" s="31"/>
      <c r="X710" s="31"/>
      <c r="AD710" s="31"/>
      <c r="AE710" s="31"/>
      <c r="AF710" s="31"/>
    </row>
    <row r="711" ht="15.75" hidden="1" customHeight="1">
      <c r="H711" s="81"/>
      <c r="N711" s="85"/>
      <c r="O711" s="85"/>
      <c r="P711" s="86"/>
      <c r="V711" s="31"/>
      <c r="W711" s="31"/>
      <c r="X711" s="31"/>
      <c r="AD711" s="31"/>
      <c r="AE711" s="31"/>
      <c r="AF711" s="31"/>
    </row>
    <row r="712" ht="15.75" hidden="1" customHeight="1">
      <c r="H712" s="81"/>
      <c r="N712" s="85"/>
      <c r="O712" s="85"/>
      <c r="P712" s="86"/>
      <c r="V712" s="31"/>
      <c r="W712" s="31"/>
      <c r="X712" s="31"/>
      <c r="AD712" s="31"/>
      <c r="AE712" s="31"/>
      <c r="AF712" s="31"/>
    </row>
    <row r="713" ht="15.75" hidden="1" customHeight="1">
      <c r="H713" s="81"/>
      <c r="N713" s="85"/>
      <c r="O713" s="85"/>
      <c r="P713" s="86"/>
      <c r="V713" s="31"/>
      <c r="W713" s="31"/>
      <c r="X713" s="31"/>
      <c r="AD713" s="31"/>
      <c r="AE713" s="31"/>
      <c r="AF713" s="31"/>
    </row>
    <row r="714" ht="15.75" hidden="1" customHeight="1">
      <c r="H714" s="81"/>
      <c r="N714" s="85"/>
      <c r="O714" s="85"/>
      <c r="P714" s="86"/>
      <c r="V714" s="31"/>
      <c r="W714" s="31"/>
      <c r="X714" s="31"/>
      <c r="AD714" s="31"/>
      <c r="AE714" s="31"/>
      <c r="AF714" s="31"/>
    </row>
    <row r="715" ht="15.75" hidden="1" customHeight="1">
      <c r="H715" s="81"/>
      <c r="N715" s="85"/>
      <c r="O715" s="85"/>
      <c r="P715" s="86"/>
      <c r="V715" s="31"/>
      <c r="W715" s="31"/>
      <c r="X715" s="31"/>
      <c r="AD715" s="31"/>
      <c r="AE715" s="31"/>
      <c r="AF715" s="31"/>
    </row>
    <row r="716" ht="15.75" hidden="1" customHeight="1">
      <c r="H716" s="81"/>
      <c r="N716" s="85"/>
      <c r="O716" s="85"/>
      <c r="P716" s="86"/>
      <c r="V716" s="31"/>
      <c r="W716" s="31"/>
      <c r="X716" s="31"/>
      <c r="AD716" s="31"/>
      <c r="AE716" s="31"/>
      <c r="AF716" s="31"/>
    </row>
    <row r="717" ht="15.75" hidden="1" customHeight="1">
      <c r="H717" s="81"/>
      <c r="N717" s="85"/>
      <c r="O717" s="85"/>
      <c r="P717" s="86"/>
      <c r="V717" s="31"/>
      <c r="W717" s="31"/>
      <c r="X717" s="31"/>
      <c r="AD717" s="31"/>
      <c r="AE717" s="31"/>
      <c r="AF717" s="31"/>
    </row>
    <row r="718" ht="15.75" hidden="1" customHeight="1">
      <c r="H718" s="81"/>
      <c r="N718" s="85"/>
      <c r="O718" s="85"/>
      <c r="P718" s="86"/>
      <c r="V718" s="31"/>
      <c r="W718" s="31"/>
      <c r="X718" s="31"/>
      <c r="AD718" s="31"/>
      <c r="AE718" s="31"/>
      <c r="AF718" s="31"/>
    </row>
    <row r="719" ht="15.75" hidden="1" customHeight="1">
      <c r="H719" s="81"/>
      <c r="N719" s="85"/>
      <c r="O719" s="85"/>
      <c r="P719" s="86"/>
      <c r="V719" s="31"/>
      <c r="W719" s="31"/>
      <c r="X719" s="31"/>
      <c r="AD719" s="31"/>
      <c r="AE719" s="31"/>
      <c r="AF719" s="31"/>
    </row>
    <row r="720" ht="15.75" hidden="1" customHeight="1">
      <c r="H720" s="81"/>
      <c r="N720" s="85"/>
      <c r="O720" s="85"/>
      <c r="P720" s="86"/>
      <c r="V720" s="31"/>
      <c r="W720" s="31"/>
      <c r="X720" s="31"/>
      <c r="AD720" s="31"/>
      <c r="AE720" s="31"/>
      <c r="AF720" s="31"/>
    </row>
    <row r="721" ht="15.75" hidden="1" customHeight="1">
      <c r="H721" s="81"/>
      <c r="N721" s="85"/>
      <c r="O721" s="85"/>
      <c r="P721" s="86"/>
      <c r="V721" s="31"/>
      <c r="W721" s="31"/>
      <c r="X721" s="31"/>
      <c r="AD721" s="31"/>
      <c r="AE721" s="31"/>
      <c r="AF721" s="31"/>
    </row>
    <row r="722" ht="15.75" hidden="1" customHeight="1">
      <c r="H722" s="81"/>
      <c r="N722" s="85"/>
      <c r="O722" s="85"/>
      <c r="P722" s="86"/>
      <c r="V722" s="31"/>
      <c r="W722" s="31"/>
      <c r="X722" s="31"/>
      <c r="AD722" s="31"/>
      <c r="AE722" s="31"/>
      <c r="AF722" s="31"/>
    </row>
    <row r="723" ht="15.75" hidden="1" customHeight="1">
      <c r="H723" s="81"/>
      <c r="N723" s="85"/>
      <c r="O723" s="85"/>
      <c r="P723" s="86"/>
      <c r="V723" s="31"/>
      <c r="W723" s="31"/>
      <c r="X723" s="31"/>
      <c r="AD723" s="31"/>
      <c r="AE723" s="31"/>
      <c r="AF723" s="31"/>
    </row>
    <row r="724" ht="15.75" hidden="1" customHeight="1">
      <c r="H724" s="81"/>
      <c r="N724" s="85"/>
      <c r="O724" s="85"/>
      <c r="P724" s="86"/>
      <c r="V724" s="31"/>
      <c r="W724" s="31"/>
      <c r="X724" s="31"/>
      <c r="AD724" s="31"/>
      <c r="AE724" s="31"/>
      <c r="AF724" s="31"/>
    </row>
    <row r="725" ht="15.75" hidden="1" customHeight="1">
      <c r="H725" s="81"/>
      <c r="N725" s="85"/>
      <c r="O725" s="85"/>
      <c r="P725" s="86"/>
      <c r="V725" s="31"/>
      <c r="W725" s="31"/>
      <c r="X725" s="31"/>
      <c r="AD725" s="31"/>
      <c r="AE725" s="31"/>
      <c r="AF725" s="31"/>
    </row>
    <row r="726" ht="15.75" hidden="1" customHeight="1">
      <c r="H726" s="81"/>
      <c r="N726" s="85"/>
      <c r="O726" s="85"/>
      <c r="P726" s="86"/>
      <c r="V726" s="31"/>
      <c r="W726" s="31"/>
      <c r="X726" s="31"/>
      <c r="AD726" s="31"/>
      <c r="AE726" s="31"/>
      <c r="AF726" s="31"/>
    </row>
    <row r="727" ht="15.75" hidden="1" customHeight="1">
      <c r="H727" s="81"/>
      <c r="N727" s="85"/>
      <c r="O727" s="85"/>
      <c r="P727" s="86"/>
      <c r="V727" s="31"/>
      <c r="W727" s="31"/>
      <c r="X727" s="31"/>
      <c r="AD727" s="31"/>
      <c r="AE727" s="31"/>
      <c r="AF727" s="31"/>
    </row>
    <row r="728" ht="15.75" hidden="1" customHeight="1">
      <c r="H728" s="81"/>
      <c r="N728" s="85"/>
      <c r="O728" s="85"/>
      <c r="P728" s="86"/>
      <c r="V728" s="31"/>
      <c r="W728" s="31"/>
      <c r="X728" s="31"/>
      <c r="AD728" s="31"/>
      <c r="AE728" s="31"/>
      <c r="AF728" s="31"/>
    </row>
    <row r="729" ht="15.75" hidden="1" customHeight="1">
      <c r="H729" s="81"/>
      <c r="N729" s="85"/>
      <c r="O729" s="85"/>
      <c r="P729" s="86"/>
      <c r="V729" s="31"/>
      <c r="W729" s="31"/>
      <c r="X729" s="31"/>
      <c r="AD729" s="31"/>
      <c r="AE729" s="31"/>
      <c r="AF729" s="31"/>
    </row>
    <row r="730" ht="15.75" hidden="1" customHeight="1">
      <c r="H730" s="81"/>
      <c r="N730" s="85"/>
      <c r="O730" s="85"/>
      <c r="P730" s="86"/>
      <c r="V730" s="31"/>
      <c r="W730" s="31"/>
      <c r="X730" s="31"/>
      <c r="AD730" s="31"/>
      <c r="AE730" s="31"/>
      <c r="AF730" s="31"/>
    </row>
    <row r="731" ht="15.75" hidden="1" customHeight="1">
      <c r="H731" s="81"/>
      <c r="N731" s="85"/>
      <c r="O731" s="85"/>
      <c r="P731" s="86"/>
      <c r="V731" s="31"/>
      <c r="W731" s="31"/>
      <c r="X731" s="31"/>
      <c r="AD731" s="31"/>
      <c r="AE731" s="31"/>
      <c r="AF731" s="31"/>
    </row>
    <row r="732" ht="15.75" hidden="1" customHeight="1">
      <c r="H732" s="81"/>
      <c r="N732" s="85"/>
      <c r="O732" s="85"/>
      <c r="P732" s="86"/>
      <c r="V732" s="31"/>
      <c r="W732" s="31"/>
      <c r="X732" s="31"/>
      <c r="AD732" s="31"/>
      <c r="AE732" s="31"/>
      <c r="AF732" s="31"/>
    </row>
    <row r="733" ht="15.75" hidden="1" customHeight="1">
      <c r="H733" s="81"/>
      <c r="N733" s="85"/>
      <c r="O733" s="85"/>
      <c r="P733" s="86"/>
      <c r="V733" s="31"/>
      <c r="W733" s="31"/>
      <c r="X733" s="31"/>
      <c r="AD733" s="31"/>
      <c r="AE733" s="31"/>
      <c r="AF733" s="31"/>
    </row>
    <row r="734" ht="15.75" hidden="1" customHeight="1">
      <c r="H734" s="81"/>
      <c r="N734" s="85"/>
      <c r="O734" s="85"/>
      <c r="P734" s="86"/>
      <c r="V734" s="31"/>
      <c r="W734" s="31"/>
      <c r="X734" s="31"/>
      <c r="AD734" s="31"/>
      <c r="AE734" s="31"/>
      <c r="AF734" s="31"/>
    </row>
    <row r="735" ht="15.75" hidden="1" customHeight="1">
      <c r="H735" s="81"/>
      <c r="N735" s="85"/>
      <c r="O735" s="85"/>
      <c r="P735" s="86"/>
      <c r="V735" s="31"/>
      <c r="W735" s="31"/>
      <c r="X735" s="31"/>
      <c r="AD735" s="31"/>
      <c r="AE735" s="31"/>
      <c r="AF735" s="31"/>
    </row>
    <row r="736" ht="15.75" hidden="1" customHeight="1">
      <c r="H736" s="81"/>
      <c r="N736" s="85"/>
      <c r="O736" s="85"/>
      <c r="P736" s="86"/>
      <c r="V736" s="31"/>
      <c r="W736" s="31"/>
      <c r="X736" s="31"/>
      <c r="AD736" s="31"/>
      <c r="AE736" s="31"/>
      <c r="AF736" s="31"/>
    </row>
    <row r="737" ht="15.75" hidden="1" customHeight="1">
      <c r="H737" s="81"/>
      <c r="N737" s="85"/>
      <c r="O737" s="85"/>
      <c r="P737" s="86"/>
      <c r="V737" s="31"/>
      <c r="W737" s="31"/>
      <c r="X737" s="31"/>
      <c r="AD737" s="31"/>
      <c r="AE737" s="31"/>
      <c r="AF737" s="31"/>
    </row>
    <row r="738" ht="15.75" hidden="1" customHeight="1">
      <c r="H738" s="81"/>
      <c r="N738" s="85"/>
      <c r="O738" s="85"/>
      <c r="P738" s="86"/>
      <c r="V738" s="31"/>
      <c r="W738" s="31"/>
      <c r="X738" s="31"/>
      <c r="AD738" s="31"/>
      <c r="AE738" s="31"/>
      <c r="AF738" s="31"/>
    </row>
    <row r="739" ht="15.75" hidden="1" customHeight="1">
      <c r="H739" s="81"/>
      <c r="N739" s="85"/>
      <c r="O739" s="85"/>
      <c r="P739" s="86"/>
      <c r="V739" s="31"/>
      <c r="W739" s="31"/>
      <c r="X739" s="31"/>
      <c r="AD739" s="31"/>
      <c r="AE739" s="31"/>
      <c r="AF739" s="31"/>
    </row>
    <row r="740" ht="15.75" hidden="1" customHeight="1">
      <c r="H740" s="81"/>
      <c r="N740" s="85"/>
      <c r="O740" s="85"/>
      <c r="P740" s="86"/>
      <c r="V740" s="31"/>
      <c r="W740" s="31"/>
      <c r="X740" s="31"/>
      <c r="AD740" s="31"/>
      <c r="AE740" s="31"/>
      <c r="AF740" s="31"/>
    </row>
    <row r="741" ht="15.75" hidden="1" customHeight="1">
      <c r="H741" s="81"/>
      <c r="N741" s="85"/>
      <c r="O741" s="85"/>
      <c r="P741" s="86"/>
      <c r="V741" s="31"/>
      <c r="W741" s="31"/>
      <c r="X741" s="31"/>
      <c r="AD741" s="31"/>
      <c r="AE741" s="31"/>
      <c r="AF741" s="31"/>
    </row>
    <row r="742" ht="15.75" hidden="1" customHeight="1">
      <c r="H742" s="81"/>
      <c r="N742" s="85"/>
      <c r="O742" s="85"/>
      <c r="P742" s="86"/>
      <c r="V742" s="31"/>
      <c r="W742" s="31"/>
      <c r="X742" s="31"/>
      <c r="AD742" s="31"/>
      <c r="AE742" s="31"/>
      <c r="AF742" s="31"/>
    </row>
    <row r="743" ht="15.75" hidden="1" customHeight="1">
      <c r="H743" s="81"/>
      <c r="N743" s="85"/>
      <c r="O743" s="85"/>
      <c r="P743" s="86"/>
      <c r="V743" s="31"/>
      <c r="W743" s="31"/>
      <c r="X743" s="31"/>
      <c r="AD743" s="31"/>
      <c r="AE743" s="31"/>
      <c r="AF743" s="31"/>
    </row>
    <row r="744" ht="15.75" hidden="1" customHeight="1">
      <c r="H744" s="81"/>
      <c r="N744" s="85"/>
      <c r="O744" s="85"/>
      <c r="P744" s="86"/>
      <c r="V744" s="31"/>
      <c r="W744" s="31"/>
      <c r="X744" s="31"/>
      <c r="AD744" s="31"/>
      <c r="AE744" s="31"/>
      <c r="AF744" s="31"/>
    </row>
    <row r="745" ht="15.75" hidden="1" customHeight="1">
      <c r="H745" s="81"/>
      <c r="N745" s="85"/>
      <c r="O745" s="85"/>
      <c r="P745" s="86"/>
      <c r="V745" s="31"/>
      <c r="W745" s="31"/>
      <c r="X745" s="31"/>
      <c r="AD745" s="31"/>
      <c r="AE745" s="31"/>
      <c r="AF745" s="31"/>
    </row>
    <row r="746" ht="15.75" hidden="1" customHeight="1">
      <c r="H746" s="81"/>
      <c r="N746" s="85"/>
      <c r="O746" s="85"/>
      <c r="P746" s="86"/>
      <c r="V746" s="31"/>
      <c r="W746" s="31"/>
      <c r="X746" s="31"/>
      <c r="AD746" s="31"/>
      <c r="AE746" s="31"/>
      <c r="AF746" s="31"/>
    </row>
    <row r="747" ht="15.75" hidden="1" customHeight="1">
      <c r="H747" s="81"/>
      <c r="N747" s="85"/>
      <c r="O747" s="85"/>
      <c r="P747" s="86"/>
      <c r="V747" s="31"/>
      <c r="W747" s="31"/>
      <c r="X747" s="31"/>
      <c r="AD747" s="31"/>
      <c r="AE747" s="31"/>
      <c r="AF747" s="31"/>
    </row>
    <row r="748" ht="15.75" hidden="1" customHeight="1">
      <c r="H748" s="81"/>
      <c r="N748" s="85"/>
      <c r="O748" s="85"/>
      <c r="P748" s="86"/>
      <c r="V748" s="31"/>
      <c r="W748" s="31"/>
      <c r="X748" s="31"/>
      <c r="AD748" s="31"/>
      <c r="AE748" s="31"/>
      <c r="AF748" s="31"/>
    </row>
    <row r="749" ht="15.75" hidden="1" customHeight="1">
      <c r="H749" s="81"/>
      <c r="N749" s="85"/>
      <c r="O749" s="85"/>
      <c r="P749" s="86"/>
      <c r="V749" s="31"/>
      <c r="W749" s="31"/>
      <c r="X749" s="31"/>
      <c r="AD749" s="31"/>
      <c r="AE749" s="31"/>
      <c r="AF749" s="31"/>
    </row>
    <row r="750" ht="15.75" hidden="1" customHeight="1">
      <c r="H750" s="81"/>
      <c r="N750" s="85"/>
      <c r="O750" s="85"/>
      <c r="P750" s="86"/>
      <c r="V750" s="31"/>
      <c r="W750" s="31"/>
      <c r="X750" s="31"/>
      <c r="AD750" s="31"/>
      <c r="AE750" s="31"/>
      <c r="AF750" s="31"/>
    </row>
    <row r="751" ht="15.75" hidden="1" customHeight="1">
      <c r="H751" s="81"/>
      <c r="N751" s="85"/>
      <c r="O751" s="85"/>
      <c r="P751" s="86"/>
      <c r="V751" s="31"/>
      <c r="W751" s="31"/>
      <c r="X751" s="31"/>
      <c r="AD751" s="31"/>
      <c r="AE751" s="31"/>
      <c r="AF751" s="31"/>
    </row>
    <row r="752" ht="15.75" hidden="1" customHeight="1">
      <c r="H752" s="81"/>
      <c r="N752" s="85"/>
      <c r="O752" s="85"/>
      <c r="P752" s="86"/>
      <c r="V752" s="31"/>
      <c r="W752" s="31"/>
      <c r="X752" s="31"/>
      <c r="AD752" s="31"/>
      <c r="AE752" s="31"/>
      <c r="AF752" s="31"/>
    </row>
    <row r="753" ht="15.75" hidden="1" customHeight="1">
      <c r="H753" s="81"/>
      <c r="N753" s="85"/>
      <c r="O753" s="85"/>
      <c r="P753" s="86"/>
      <c r="V753" s="31"/>
      <c r="W753" s="31"/>
      <c r="X753" s="31"/>
      <c r="AD753" s="31"/>
      <c r="AE753" s="31"/>
      <c r="AF753" s="31"/>
    </row>
    <row r="754" ht="15.75" hidden="1" customHeight="1">
      <c r="H754" s="81"/>
      <c r="N754" s="85"/>
      <c r="O754" s="85"/>
      <c r="P754" s="86"/>
      <c r="V754" s="31"/>
      <c r="W754" s="31"/>
      <c r="X754" s="31"/>
      <c r="AD754" s="31"/>
      <c r="AE754" s="31"/>
      <c r="AF754" s="31"/>
    </row>
    <row r="755" ht="15.75" hidden="1" customHeight="1">
      <c r="H755" s="81"/>
      <c r="N755" s="85"/>
      <c r="O755" s="85"/>
      <c r="P755" s="86"/>
      <c r="V755" s="31"/>
      <c r="W755" s="31"/>
      <c r="X755" s="31"/>
      <c r="AD755" s="31"/>
      <c r="AE755" s="31"/>
      <c r="AF755" s="31"/>
    </row>
    <row r="756" ht="15.75" hidden="1" customHeight="1">
      <c r="H756" s="81"/>
      <c r="N756" s="85"/>
      <c r="O756" s="85"/>
      <c r="P756" s="86"/>
      <c r="V756" s="31"/>
      <c r="W756" s="31"/>
      <c r="X756" s="31"/>
      <c r="AD756" s="31"/>
      <c r="AE756" s="31"/>
      <c r="AF756" s="31"/>
    </row>
    <row r="757" ht="15.75" hidden="1" customHeight="1">
      <c r="H757" s="81"/>
      <c r="N757" s="85"/>
      <c r="O757" s="85"/>
      <c r="P757" s="86"/>
      <c r="V757" s="31"/>
      <c r="W757" s="31"/>
      <c r="X757" s="31"/>
      <c r="AD757" s="31"/>
      <c r="AE757" s="31"/>
      <c r="AF757" s="31"/>
    </row>
    <row r="758" ht="15.75" hidden="1" customHeight="1">
      <c r="H758" s="81"/>
      <c r="N758" s="85"/>
      <c r="O758" s="85"/>
      <c r="P758" s="86"/>
      <c r="V758" s="31"/>
      <c r="W758" s="31"/>
      <c r="X758" s="31"/>
      <c r="AD758" s="31"/>
      <c r="AE758" s="31"/>
      <c r="AF758" s="31"/>
    </row>
    <row r="759" ht="15.75" hidden="1" customHeight="1">
      <c r="H759" s="81"/>
      <c r="N759" s="85"/>
      <c r="O759" s="85"/>
      <c r="P759" s="86"/>
      <c r="V759" s="31"/>
      <c r="W759" s="31"/>
      <c r="X759" s="31"/>
      <c r="AD759" s="31"/>
      <c r="AE759" s="31"/>
      <c r="AF759" s="31"/>
    </row>
    <row r="760" ht="15.75" hidden="1" customHeight="1">
      <c r="H760" s="81"/>
      <c r="N760" s="85"/>
      <c r="O760" s="85"/>
      <c r="P760" s="86"/>
      <c r="V760" s="31"/>
      <c r="W760" s="31"/>
      <c r="X760" s="31"/>
      <c r="AD760" s="31"/>
      <c r="AE760" s="31"/>
      <c r="AF760" s="31"/>
    </row>
    <row r="761" ht="15.75" hidden="1" customHeight="1">
      <c r="H761" s="81"/>
      <c r="N761" s="85"/>
      <c r="O761" s="85"/>
      <c r="P761" s="86"/>
      <c r="V761" s="31"/>
      <c r="W761" s="31"/>
      <c r="X761" s="31"/>
      <c r="AD761" s="31"/>
      <c r="AE761" s="31"/>
      <c r="AF761" s="31"/>
    </row>
    <row r="762" ht="15.75" hidden="1" customHeight="1">
      <c r="H762" s="81"/>
      <c r="N762" s="85"/>
      <c r="O762" s="85"/>
      <c r="P762" s="86"/>
      <c r="V762" s="31"/>
      <c r="W762" s="31"/>
      <c r="X762" s="31"/>
      <c r="AD762" s="31"/>
      <c r="AE762" s="31"/>
      <c r="AF762" s="31"/>
    </row>
    <row r="763" ht="15.75" hidden="1" customHeight="1">
      <c r="H763" s="81"/>
      <c r="N763" s="85"/>
      <c r="O763" s="85"/>
      <c r="P763" s="86"/>
      <c r="V763" s="31"/>
      <c r="W763" s="31"/>
      <c r="X763" s="31"/>
      <c r="AD763" s="31"/>
      <c r="AE763" s="31"/>
      <c r="AF763" s="31"/>
    </row>
    <row r="764" ht="15.75" hidden="1" customHeight="1">
      <c r="H764" s="81"/>
      <c r="N764" s="85"/>
      <c r="O764" s="85"/>
      <c r="P764" s="86"/>
      <c r="V764" s="31"/>
      <c r="W764" s="31"/>
      <c r="X764" s="31"/>
      <c r="AD764" s="31"/>
      <c r="AE764" s="31"/>
      <c r="AF764" s="31"/>
    </row>
    <row r="765" ht="15.75" hidden="1" customHeight="1">
      <c r="H765" s="81"/>
      <c r="N765" s="85"/>
      <c r="O765" s="85"/>
      <c r="P765" s="86"/>
      <c r="V765" s="31"/>
      <c r="W765" s="31"/>
      <c r="X765" s="31"/>
      <c r="AD765" s="31"/>
      <c r="AE765" s="31"/>
      <c r="AF765" s="31"/>
    </row>
    <row r="766" ht="15.75" hidden="1" customHeight="1">
      <c r="H766" s="81"/>
      <c r="N766" s="85"/>
      <c r="O766" s="85"/>
      <c r="P766" s="86"/>
      <c r="V766" s="31"/>
      <c r="W766" s="31"/>
      <c r="X766" s="31"/>
      <c r="AD766" s="31"/>
      <c r="AE766" s="31"/>
      <c r="AF766" s="31"/>
    </row>
    <row r="767" ht="15.75" hidden="1" customHeight="1">
      <c r="H767" s="81"/>
      <c r="N767" s="85"/>
      <c r="O767" s="85"/>
      <c r="P767" s="86"/>
      <c r="V767" s="31"/>
      <c r="W767" s="31"/>
      <c r="X767" s="31"/>
      <c r="AD767" s="31"/>
      <c r="AE767" s="31"/>
      <c r="AF767" s="31"/>
    </row>
    <row r="768" ht="15.75" hidden="1" customHeight="1">
      <c r="H768" s="81"/>
      <c r="N768" s="85"/>
      <c r="O768" s="85"/>
      <c r="P768" s="86"/>
      <c r="V768" s="31"/>
      <c r="W768" s="31"/>
      <c r="X768" s="31"/>
      <c r="AD768" s="31"/>
      <c r="AE768" s="31"/>
      <c r="AF768" s="31"/>
    </row>
    <row r="769" ht="15.75" hidden="1" customHeight="1">
      <c r="H769" s="81"/>
      <c r="N769" s="85"/>
      <c r="O769" s="85"/>
      <c r="P769" s="86"/>
      <c r="V769" s="31"/>
      <c r="W769" s="31"/>
      <c r="X769" s="31"/>
      <c r="AD769" s="31"/>
      <c r="AE769" s="31"/>
      <c r="AF769" s="31"/>
    </row>
    <row r="770" ht="15.75" hidden="1" customHeight="1">
      <c r="H770" s="81"/>
      <c r="N770" s="85"/>
      <c r="O770" s="85"/>
      <c r="P770" s="86"/>
      <c r="V770" s="31"/>
      <c r="W770" s="31"/>
      <c r="X770" s="31"/>
      <c r="AD770" s="31"/>
      <c r="AE770" s="31"/>
      <c r="AF770" s="31"/>
    </row>
    <row r="771" ht="15.75" hidden="1" customHeight="1">
      <c r="H771" s="81"/>
      <c r="N771" s="85"/>
      <c r="O771" s="85"/>
      <c r="P771" s="86"/>
      <c r="V771" s="31"/>
      <c r="W771" s="31"/>
      <c r="X771" s="31"/>
      <c r="AD771" s="31"/>
      <c r="AE771" s="31"/>
      <c r="AF771" s="31"/>
    </row>
    <row r="772" ht="15.75" hidden="1" customHeight="1">
      <c r="H772" s="81"/>
      <c r="N772" s="85"/>
      <c r="O772" s="85"/>
      <c r="P772" s="86"/>
      <c r="V772" s="31"/>
      <c r="W772" s="31"/>
      <c r="X772" s="31"/>
      <c r="AD772" s="31"/>
      <c r="AE772" s="31"/>
      <c r="AF772" s="31"/>
    </row>
    <row r="773" ht="15.75" hidden="1" customHeight="1">
      <c r="H773" s="81"/>
      <c r="N773" s="85"/>
      <c r="O773" s="85"/>
      <c r="P773" s="86"/>
      <c r="V773" s="31"/>
      <c r="W773" s="31"/>
      <c r="X773" s="31"/>
      <c r="AD773" s="31"/>
      <c r="AE773" s="31"/>
      <c r="AF773" s="31"/>
    </row>
    <row r="774" ht="15.75" hidden="1" customHeight="1">
      <c r="H774" s="81"/>
      <c r="N774" s="85"/>
      <c r="O774" s="85"/>
      <c r="P774" s="86"/>
      <c r="V774" s="31"/>
      <c r="W774" s="31"/>
      <c r="X774" s="31"/>
      <c r="AD774" s="31"/>
      <c r="AE774" s="31"/>
      <c r="AF774" s="31"/>
    </row>
    <row r="775" ht="15.75" hidden="1" customHeight="1">
      <c r="H775" s="81"/>
      <c r="N775" s="85"/>
      <c r="O775" s="85"/>
      <c r="P775" s="86"/>
      <c r="V775" s="31"/>
      <c r="W775" s="31"/>
      <c r="X775" s="31"/>
      <c r="AD775" s="31"/>
      <c r="AE775" s="31"/>
      <c r="AF775" s="31"/>
    </row>
    <row r="776" ht="15.75" hidden="1" customHeight="1">
      <c r="H776" s="81"/>
      <c r="N776" s="85"/>
      <c r="O776" s="85"/>
      <c r="P776" s="86"/>
      <c r="V776" s="31"/>
      <c r="W776" s="31"/>
      <c r="X776" s="31"/>
      <c r="AD776" s="31"/>
      <c r="AE776" s="31"/>
      <c r="AF776" s="31"/>
    </row>
    <row r="777" ht="15.75" hidden="1" customHeight="1">
      <c r="H777" s="81"/>
      <c r="N777" s="85"/>
      <c r="O777" s="85"/>
      <c r="P777" s="86"/>
      <c r="V777" s="31"/>
      <c r="W777" s="31"/>
      <c r="X777" s="31"/>
      <c r="AD777" s="31"/>
      <c r="AE777" s="31"/>
      <c r="AF777" s="31"/>
    </row>
    <row r="778" ht="15.75" hidden="1" customHeight="1">
      <c r="H778" s="81"/>
      <c r="N778" s="85"/>
      <c r="O778" s="85"/>
      <c r="P778" s="86"/>
      <c r="V778" s="31"/>
      <c r="W778" s="31"/>
      <c r="X778" s="31"/>
      <c r="AD778" s="31"/>
      <c r="AE778" s="31"/>
      <c r="AF778" s="31"/>
    </row>
    <row r="779" ht="15.75" hidden="1" customHeight="1">
      <c r="H779" s="81"/>
      <c r="N779" s="85"/>
      <c r="O779" s="85"/>
      <c r="P779" s="86"/>
      <c r="V779" s="31"/>
      <c r="W779" s="31"/>
      <c r="X779" s="31"/>
      <c r="AD779" s="31"/>
      <c r="AE779" s="31"/>
      <c r="AF779" s="31"/>
    </row>
    <row r="780" ht="15.75" hidden="1" customHeight="1">
      <c r="H780" s="81"/>
      <c r="N780" s="85"/>
      <c r="O780" s="85"/>
      <c r="P780" s="86"/>
      <c r="V780" s="31"/>
      <c r="W780" s="31"/>
      <c r="X780" s="31"/>
      <c r="AD780" s="31"/>
      <c r="AE780" s="31"/>
      <c r="AF780" s="31"/>
    </row>
    <row r="781" ht="15.75" hidden="1" customHeight="1">
      <c r="H781" s="81"/>
      <c r="N781" s="85"/>
      <c r="O781" s="85"/>
      <c r="P781" s="86"/>
      <c r="V781" s="31"/>
      <c r="W781" s="31"/>
      <c r="X781" s="31"/>
      <c r="AD781" s="31"/>
      <c r="AE781" s="31"/>
      <c r="AF781" s="31"/>
    </row>
    <row r="782" ht="15.75" hidden="1" customHeight="1">
      <c r="H782" s="81"/>
      <c r="N782" s="85"/>
      <c r="O782" s="85"/>
      <c r="P782" s="86"/>
      <c r="V782" s="31"/>
      <c r="W782" s="31"/>
      <c r="X782" s="31"/>
      <c r="AD782" s="31"/>
      <c r="AE782" s="31"/>
      <c r="AF782" s="31"/>
    </row>
    <row r="783" ht="15.75" hidden="1" customHeight="1">
      <c r="H783" s="81"/>
      <c r="N783" s="85"/>
      <c r="O783" s="85"/>
      <c r="P783" s="86"/>
      <c r="V783" s="31"/>
      <c r="W783" s="31"/>
      <c r="X783" s="31"/>
      <c r="AD783" s="31"/>
      <c r="AE783" s="31"/>
      <c r="AF783" s="31"/>
    </row>
    <row r="784" ht="15.75" hidden="1" customHeight="1">
      <c r="H784" s="81"/>
      <c r="N784" s="85"/>
      <c r="O784" s="85"/>
      <c r="P784" s="86"/>
      <c r="V784" s="31"/>
      <c r="W784" s="31"/>
      <c r="X784" s="31"/>
      <c r="AD784" s="31"/>
      <c r="AE784" s="31"/>
      <c r="AF784" s="31"/>
    </row>
    <row r="785" ht="15.75" hidden="1" customHeight="1">
      <c r="H785" s="81"/>
      <c r="N785" s="85"/>
      <c r="O785" s="85"/>
      <c r="P785" s="86"/>
      <c r="V785" s="31"/>
      <c r="W785" s="31"/>
      <c r="X785" s="31"/>
      <c r="AD785" s="31"/>
      <c r="AE785" s="31"/>
      <c r="AF785" s="31"/>
    </row>
    <row r="786" ht="15.75" hidden="1" customHeight="1">
      <c r="H786" s="81"/>
      <c r="N786" s="85"/>
      <c r="O786" s="85"/>
      <c r="P786" s="86"/>
      <c r="V786" s="31"/>
      <c r="W786" s="31"/>
      <c r="X786" s="31"/>
      <c r="AD786" s="31"/>
      <c r="AE786" s="31"/>
      <c r="AF786" s="31"/>
    </row>
    <row r="787" ht="15.75" hidden="1" customHeight="1">
      <c r="H787" s="81"/>
      <c r="N787" s="85"/>
      <c r="O787" s="85"/>
      <c r="P787" s="86"/>
      <c r="V787" s="31"/>
      <c r="W787" s="31"/>
      <c r="X787" s="31"/>
      <c r="AD787" s="31"/>
      <c r="AE787" s="31"/>
      <c r="AF787" s="31"/>
    </row>
    <row r="788" ht="15.75" hidden="1" customHeight="1">
      <c r="H788" s="81"/>
      <c r="N788" s="85"/>
      <c r="O788" s="85"/>
      <c r="P788" s="86"/>
      <c r="V788" s="31"/>
      <c r="W788" s="31"/>
      <c r="X788" s="31"/>
      <c r="AD788" s="31"/>
      <c r="AE788" s="31"/>
      <c r="AF788" s="31"/>
    </row>
    <row r="789" ht="15.75" hidden="1" customHeight="1">
      <c r="H789" s="81"/>
      <c r="N789" s="85"/>
      <c r="O789" s="85"/>
      <c r="P789" s="86"/>
      <c r="V789" s="31"/>
      <c r="W789" s="31"/>
      <c r="X789" s="31"/>
      <c r="AD789" s="31"/>
      <c r="AE789" s="31"/>
      <c r="AF789" s="31"/>
    </row>
    <row r="790" ht="15.75" hidden="1" customHeight="1">
      <c r="H790" s="81"/>
      <c r="N790" s="85"/>
      <c r="O790" s="85"/>
      <c r="P790" s="86"/>
      <c r="V790" s="31"/>
      <c r="W790" s="31"/>
      <c r="X790" s="31"/>
      <c r="AD790" s="31"/>
      <c r="AE790" s="31"/>
      <c r="AF790" s="31"/>
    </row>
    <row r="791" ht="15.75" hidden="1" customHeight="1">
      <c r="H791" s="81"/>
      <c r="N791" s="85"/>
      <c r="O791" s="85"/>
      <c r="P791" s="86"/>
      <c r="V791" s="31"/>
      <c r="W791" s="31"/>
      <c r="X791" s="31"/>
      <c r="AD791" s="31"/>
      <c r="AE791" s="31"/>
      <c r="AF791" s="31"/>
    </row>
    <row r="792" ht="15.75" hidden="1" customHeight="1">
      <c r="H792" s="81"/>
      <c r="N792" s="85"/>
      <c r="O792" s="85"/>
      <c r="P792" s="86"/>
      <c r="V792" s="31"/>
      <c r="W792" s="31"/>
      <c r="X792" s="31"/>
      <c r="AD792" s="31"/>
      <c r="AE792" s="31"/>
      <c r="AF792" s="31"/>
    </row>
    <row r="793" ht="15.75" hidden="1" customHeight="1">
      <c r="H793" s="81"/>
      <c r="N793" s="85"/>
      <c r="O793" s="85"/>
      <c r="P793" s="86"/>
      <c r="V793" s="31"/>
      <c r="W793" s="31"/>
      <c r="X793" s="31"/>
      <c r="AD793" s="31"/>
      <c r="AE793" s="31"/>
      <c r="AF793" s="31"/>
    </row>
    <row r="794" ht="15.75" hidden="1" customHeight="1">
      <c r="H794" s="81"/>
      <c r="N794" s="85"/>
      <c r="O794" s="85"/>
      <c r="P794" s="86"/>
      <c r="V794" s="31"/>
      <c r="W794" s="31"/>
      <c r="X794" s="31"/>
      <c r="AD794" s="31"/>
      <c r="AE794" s="31"/>
      <c r="AF794" s="31"/>
    </row>
    <row r="795" ht="15.75" hidden="1" customHeight="1">
      <c r="H795" s="81"/>
      <c r="N795" s="85"/>
      <c r="O795" s="85"/>
      <c r="P795" s="86"/>
      <c r="V795" s="31"/>
      <c r="W795" s="31"/>
      <c r="X795" s="31"/>
      <c r="AD795" s="31"/>
      <c r="AE795" s="31"/>
      <c r="AF795" s="31"/>
    </row>
    <row r="796" ht="15.75" hidden="1" customHeight="1">
      <c r="H796" s="81"/>
      <c r="N796" s="85"/>
      <c r="O796" s="85"/>
      <c r="P796" s="86"/>
      <c r="V796" s="31"/>
      <c r="W796" s="31"/>
      <c r="X796" s="31"/>
      <c r="AD796" s="31"/>
      <c r="AE796" s="31"/>
      <c r="AF796" s="31"/>
    </row>
    <row r="797" ht="15.75" hidden="1" customHeight="1">
      <c r="H797" s="81"/>
      <c r="N797" s="85"/>
      <c r="O797" s="85"/>
      <c r="P797" s="86"/>
      <c r="V797" s="31"/>
      <c r="W797" s="31"/>
      <c r="X797" s="31"/>
      <c r="AD797" s="31"/>
      <c r="AE797" s="31"/>
      <c r="AF797" s="31"/>
    </row>
    <row r="798" ht="15.75" hidden="1" customHeight="1">
      <c r="H798" s="81"/>
      <c r="N798" s="85"/>
      <c r="O798" s="85"/>
      <c r="P798" s="86"/>
      <c r="V798" s="31"/>
      <c r="W798" s="31"/>
      <c r="X798" s="31"/>
      <c r="AD798" s="31"/>
      <c r="AE798" s="31"/>
      <c r="AF798" s="31"/>
    </row>
    <row r="799" ht="15.75" hidden="1" customHeight="1">
      <c r="H799" s="81"/>
      <c r="N799" s="85"/>
      <c r="O799" s="85"/>
      <c r="P799" s="86"/>
      <c r="V799" s="31"/>
      <c r="W799" s="31"/>
      <c r="X799" s="31"/>
      <c r="AD799" s="31"/>
      <c r="AE799" s="31"/>
      <c r="AF799" s="31"/>
    </row>
    <row r="800" ht="15.75" hidden="1" customHeight="1">
      <c r="H800" s="81"/>
      <c r="N800" s="85"/>
      <c r="O800" s="85"/>
      <c r="P800" s="86"/>
      <c r="V800" s="31"/>
      <c r="W800" s="31"/>
      <c r="X800" s="31"/>
      <c r="AD800" s="31"/>
      <c r="AE800" s="31"/>
      <c r="AF800" s="31"/>
    </row>
    <row r="801" ht="15.75" hidden="1" customHeight="1">
      <c r="H801" s="81"/>
      <c r="N801" s="85"/>
      <c r="O801" s="85"/>
      <c r="P801" s="86"/>
      <c r="V801" s="31"/>
      <c r="W801" s="31"/>
      <c r="X801" s="31"/>
      <c r="AD801" s="31"/>
      <c r="AE801" s="31"/>
      <c r="AF801" s="31"/>
    </row>
    <row r="802" ht="15.75" hidden="1" customHeight="1">
      <c r="H802" s="81"/>
      <c r="N802" s="85"/>
      <c r="O802" s="85"/>
      <c r="P802" s="86"/>
      <c r="V802" s="31"/>
      <c r="W802" s="31"/>
      <c r="X802" s="31"/>
      <c r="AD802" s="31"/>
      <c r="AE802" s="31"/>
      <c r="AF802" s="31"/>
    </row>
    <row r="803" ht="15.75" hidden="1" customHeight="1">
      <c r="H803" s="81"/>
      <c r="N803" s="85"/>
      <c r="O803" s="85"/>
      <c r="P803" s="86"/>
      <c r="V803" s="31"/>
      <c r="W803" s="31"/>
      <c r="X803" s="31"/>
      <c r="AD803" s="31"/>
      <c r="AE803" s="31"/>
      <c r="AF803" s="31"/>
    </row>
    <row r="804" ht="15.75" hidden="1" customHeight="1">
      <c r="H804" s="81"/>
      <c r="N804" s="85"/>
      <c r="O804" s="85"/>
      <c r="P804" s="86"/>
      <c r="V804" s="31"/>
      <c r="W804" s="31"/>
      <c r="X804" s="31"/>
      <c r="AD804" s="31"/>
      <c r="AE804" s="31"/>
      <c r="AF804" s="31"/>
    </row>
    <row r="805" ht="15.75" hidden="1" customHeight="1">
      <c r="H805" s="81"/>
      <c r="N805" s="85"/>
      <c r="O805" s="85"/>
      <c r="P805" s="86"/>
      <c r="V805" s="31"/>
      <c r="W805" s="31"/>
      <c r="X805" s="31"/>
      <c r="AD805" s="31"/>
      <c r="AE805" s="31"/>
      <c r="AF805" s="31"/>
    </row>
    <row r="806" ht="15.75" hidden="1" customHeight="1">
      <c r="H806" s="81"/>
      <c r="N806" s="85"/>
      <c r="O806" s="85"/>
      <c r="P806" s="86"/>
      <c r="V806" s="31"/>
      <c r="W806" s="31"/>
      <c r="X806" s="31"/>
      <c r="AD806" s="31"/>
      <c r="AE806" s="31"/>
      <c r="AF806" s="31"/>
    </row>
    <row r="807" ht="15.75" hidden="1" customHeight="1">
      <c r="H807" s="81"/>
      <c r="N807" s="85"/>
      <c r="O807" s="85"/>
      <c r="P807" s="86"/>
      <c r="V807" s="31"/>
      <c r="W807" s="31"/>
      <c r="X807" s="31"/>
      <c r="AD807" s="31"/>
      <c r="AE807" s="31"/>
      <c r="AF807" s="31"/>
    </row>
    <row r="808" ht="15.75" hidden="1" customHeight="1">
      <c r="H808" s="81"/>
      <c r="N808" s="85"/>
      <c r="O808" s="85"/>
      <c r="P808" s="86"/>
      <c r="V808" s="31"/>
      <c r="W808" s="31"/>
      <c r="X808" s="31"/>
      <c r="AD808" s="31"/>
      <c r="AE808" s="31"/>
      <c r="AF808" s="31"/>
    </row>
    <row r="809" ht="15.75" hidden="1" customHeight="1">
      <c r="H809" s="81"/>
      <c r="N809" s="85"/>
      <c r="O809" s="85"/>
      <c r="P809" s="86"/>
      <c r="V809" s="31"/>
      <c r="W809" s="31"/>
      <c r="X809" s="31"/>
      <c r="AD809" s="31"/>
      <c r="AE809" s="31"/>
      <c r="AF809" s="31"/>
    </row>
    <row r="810" ht="15.75" hidden="1" customHeight="1">
      <c r="H810" s="81"/>
      <c r="N810" s="85"/>
      <c r="O810" s="85"/>
      <c r="P810" s="86"/>
      <c r="V810" s="31"/>
      <c r="W810" s="31"/>
      <c r="X810" s="31"/>
      <c r="AD810" s="31"/>
      <c r="AE810" s="31"/>
      <c r="AF810" s="31"/>
    </row>
    <row r="811" ht="15.75" hidden="1" customHeight="1">
      <c r="H811" s="81"/>
      <c r="N811" s="85"/>
      <c r="O811" s="85"/>
      <c r="P811" s="86"/>
      <c r="V811" s="31"/>
      <c r="W811" s="31"/>
      <c r="X811" s="31"/>
      <c r="AD811" s="31"/>
      <c r="AE811" s="31"/>
      <c r="AF811" s="31"/>
    </row>
    <row r="812" ht="15.75" hidden="1" customHeight="1">
      <c r="H812" s="81"/>
      <c r="N812" s="85"/>
      <c r="O812" s="85"/>
      <c r="P812" s="86"/>
      <c r="V812" s="31"/>
      <c r="W812" s="31"/>
      <c r="X812" s="31"/>
      <c r="AD812" s="31"/>
      <c r="AE812" s="31"/>
      <c r="AF812" s="31"/>
    </row>
    <row r="813" ht="15.75" hidden="1" customHeight="1">
      <c r="H813" s="81"/>
      <c r="N813" s="85"/>
      <c r="O813" s="85"/>
      <c r="P813" s="86"/>
      <c r="V813" s="31"/>
      <c r="W813" s="31"/>
      <c r="X813" s="31"/>
      <c r="AD813" s="31"/>
      <c r="AE813" s="31"/>
      <c r="AF813" s="31"/>
    </row>
    <row r="814" ht="15.75" hidden="1" customHeight="1">
      <c r="H814" s="81"/>
      <c r="N814" s="85"/>
      <c r="O814" s="85"/>
      <c r="P814" s="86"/>
      <c r="V814" s="31"/>
      <c r="W814" s="31"/>
      <c r="X814" s="31"/>
      <c r="AD814" s="31"/>
      <c r="AE814" s="31"/>
      <c r="AF814" s="31"/>
    </row>
    <row r="815" ht="15.75" hidden="1" customHeight="1">
      <c r="H815" s="81"/>
      <c r="N815" s="85"/>
      <c r="O815" s="85"/>
      <c r="P815" s="86"/>
      <c r="V815" s="31"/>
      <c r="W815" s="31"/>
      <c r="X815" s="31"/>
      <c r="AD815" s="31"/>
      <c r="AE815" s="31"/>
      <c r="AF815" s="31"/>
    </row>
    <row r="816" ht="15.75" hidden="1" customHeight="1">
      <c r="H816" s="81"/>
      <c r="N816" s="85"/>
      <c r="O816" s="85"/>
      <c r="P816" s="86"/>
      <c r="V816" s="31"/>
      <c r="W816" s="31"/>
      <c r="X816" s="31"/>
      <c r="AD816" s="31"/>
      <c r="AE816" s="31"/>
      <c r="AF816" s="31"/>
    </row>
    <row r="817" ht="15.75" hidden="1" customHeight="1">
      <c r="H817" s="81"/>
      <c r="N817" s="85"/>
      <c r="O817" s="85"/>
      <c r="P817" s="86"/>
      <c r="V817" s="31"/>
      <c r="W817" s="31"/>
      <c r="X817" s="31"/>
      <c r="AD817" s="31"/>
      <c r="AE817" s="31"/>
      <c r="AF817" s="31"/>
    </row>
    <row r="818" ht="15.75" hidden="1" customHeight="1">
      <c r="H818" s="81"/>
      <c r="N818" s="85"/>
      <c r="O818" s="85"/>
      <c r="P818" s="86"/>
      <c r="V818" s="31"/>
      <c r="W818" s="31"/>
      <c r="X818" s="31"/>
      <c r="AD818" s="31"/>
      <c r="AE818" s="31"/>
      <c r="AF818" s="31"/>
    </row>
    <row r="819" ht="15.75" hidden="1" customHeight="1">
      <c r="H819" s="81"/>
      <c r="N819" s="85"/>
      <c r="O819" s="85"/>
      <c r="P819" s="86"/>
      <c r="V819" s="31"/>
      <c r="W819" s="31"/>
      <c r="X819" s="31"/>
      <c r="AD819" s="31"/>
      <c r="AE819" s="31"/>
      <c r="AF819" s="31"/>
    </row>
    <row r="820" ht="15.75" hidden="1" customHeight="1">
      <c r="H820" s="81"/>
      <c r="N820" s="85"/>
      <c r="O820" s="85"/>
      <c r="P820" s="86"/>
      <c r="V820" s="31"/>
      <c r="W820" s="31"/>
      <c r="X820" s="31"/>
      <c r="AD820" s="31"/>
      <c r="AE820" s="31"/>
      <c r="AF820" s="31"/>
    </row>
    <row r="821" ht="15.75" hidden="1" customHeight="1">
      <c r="H821" s="81"/>
      <c r="N821" s="85"/>
      <c r="O821" s="85"/>
      <c r="P821" s="86"/>
      <c r="V821" s="31"/>
      <c r="W821" s="31"/>
      <c r="X821" s="31"/>
      <c r="AD821" s="31"/>
      <c r="AE821" s="31"/>
      <c r="AF821" s="31"/>
    </row>
    <row r="822" ht="15.75" hidden="1" customHeight="1">
      <c r="H822" s="81"/>
      <c r="N822" s="85"/>
      <c r="O822" s="85"/>
      <c r="P822" s="86"/>
      <c r="V822" s="31"/>
      <c r="W822" s="31"/>
      <c r="X822" s="31"/>
      <c r="AD822" s="31"/>
      <c r="AE822" s="31"/>
      <c r="AF822" s="31"/>
    </row>
    <row r="823" ht="15.75" hidden="1" customHeight="1">
      <c r="H823" s="81"/>
      <c r="N823" s="85"/>
      <c r="O823" s="85"/>
      <c r="P823" s="86"/>
      <c r="V823" s="31"/>
      <c r="W823" s="31"/>
      <c r="X823" s="31"/>
      <c r="AD823" s="31"/>
      <c r="AE823" s="31"/>
      <c r="AF823" s="31"/>
    </row>
    <row r="824" ht="15.75" hidden="1" customHeight="1">
      <c r="H824" s="81"/>
      <c r="N824" s="85"/>
      <c r="O824" s="85"/>
      <c r="P824" s="86"/>
      <c r="V824" s="31"/>
      <c r="W824" s="31"/>
      <c r="X824" s="31"/>
      <c r="AD824" s="31"/>
      <c r="AE824" s="31"/>
      <c r="AF824" s="31"/>
    </row>
    <row r="825" ht="15.75" hidden="1" customHeight="1">
      <c r="H825" s="81"/>
      <c r="N825" s="85"/>
      <c r="O825" s="85"/>
      <c r="P825" s="86"/>
      <c r="V825" s="31"/>
      <c r="W825" s="31"/>
      <c r="X825" s="31"/>
      <c r="AD825" s="31"/>
      <c r="AE825" s="31"/>
      <c r="AF825" s="31"/>
    </row>
    <row r="826" ht="15.75" hidden="1" customHeight="1">
      <c r="H826" s="81"/>
      <c r="N826" s="85"/>
      <c r="O826" s="85"/>
      <c r="P826" s="86"/>
      <c r="V826" s="31"/>
      <c r="W826" s="31"/>
      <c r="X826" s="31"/>
      <c r="AD826" s="31"/>
      <c r="AE826" s="31"/>
      <c r="AF826" s="31"/>
    </row>
    <row r="827" ht="15.75" hidden="1" customHeight="1">
      <c r="H827" s="81"/>
      <c r="N827" s="85"/>
      <c r="O827" s="85"/>
      <c r="P827" s="86"/>
      <c r="V827" s="31"/>
      <c r="W827" s="31"/>
      <c r="X827" s="31"/>
      <c r="AD827" s="31"/>
      <c r="AE827" s="31"/>
      <c r="AF827" s="31"/>
    </row>
    <row r="828" ht="15.75" hidden="1" customHeight="1">
      <c r="H828" s="81"/>
      <c r="N828" s="85"/>
      <c r="O828" s="85"/>
      <c r="P828" s="86"/>
      <c r="V828" s="31"/>
      <c r="W828" s="31"/>
      <c r="X828" s="31"/>
      <c r="AD828" s="31"/>
      <c r="AE828" s="31"/>
      <c r="AF828" s="31"/>
    </row>
    <row r="829" ht="15.75" hidden="1" customHeight="1">
      <c r="H829" s="81"/>
      <c r="N829" s="85"/>
      <c r="O829" s="85"/>
      <c r="P829" s="86"/>
      <c r="V829" s="31"/>
      <c r="W829" s="31"/>
      <c r="X829" s="31"/>
      <c r="AD829" s="31"/>
      <c r="AE829" s="31"/>
      <c r="AF829" s="31"/>
    </row>
    <row r="830" ht="15.75" hidden="1" customHeight="1">
      <c r="H830" s="81"/>
      <c r="N830" s="85"/>
      <c r="O830" s="85"/>
      <c r="P830" s="86"/>
      <c r="V830" s="31"/>
      <c r="W830" s="31"/>
      <c r="X830" s="31"/>
      <c r="AD830" s="31"/>
      <c r="AE830" s="31"/>
      <c r="AF830" s="31"/>
    </row>
    <row r="831" ht="15.75" hidden="1" customHeight="1">
      <c r="H831" s="81"/>
      <c r="N831" s="85"/>
      <c r="O831" s="85"/>
      <c r="P831" s="86"/>
      <c r="V831" s="31"/>
      <c r="W831" s="31"/>
      <c r="X831" s="31"/>
      <c r="AD831" s="31"/>
      <c r="AE831" s="31"/>
      <c r="AF831" s="31"/>
    </row>
    <row r="832" ht="15.75" hidden="1" customHeight="1">
      <c r="H832" s="81"/>
      <c r="N832" s="85"/>
      <c r="O832" s="85"/>
      <c r="P832" s="86"/>
      <c r="V832" s="31"/>
      <c r="W832" s="31"/>
      <c r="X832" s="31"/>
      <c r="AD832" s="31"/>
      <c r="AE832" s="31"/>
      <c r="AF832" s="31"/>
    </row>
    <row r="833" ht="15.75" hidden="1" customHeight="1">
      <c r="H833" s="81"/>
      <c r="N833" s="85"/>
      <c r="O833" s="85"/>
      <c r="P833" s="86"/>
      <c r="V833" s="31"/>
      <c r="W833" s="31"/>
      <c r="X833" s="31"/>
      <c r="AD833" s="31"/>
      <c r="AE833" s="31"/>
      <c r="AF833" s="31"/>
    </row>
    <row r="834" ht="15.75" hidden="1" customHeight="1">
      <c r="H834" s="81"/>
      <c r="N834" s="85"/>
      <c r="O834" s="85"/>
      <c r="P834" s="86"/>
      <c r="V834" s="31"/>
      <c r="W834" s="31"/>
      <c r="X834" s="31"/>
      <c r="AD834" s="31"/>
      <c r="AE834" s="31"/>
      <c r="AF834" s="31"/>
    </row>
    <row r="835" ht="15.75" hidden="1" customHeight="1">
      <c r="H835" s="81"/>
      <c r="N835" s="85"/>
      <c r="O835" s="85"/>
      <c r="P835" s="86"/>
      <c r="V835" s="31"/>
      <c r="W835" s="31"/>
      <c r="X835" s="31"/>
      <c r="AD835" s="31"/>
      <c r="AE835" s="31"/>
      <c r="AF835" s="31"/>
    </row>
    <row r="836" ht="15.75" hidden="1" customHeight="1">
      <c r="H836" s="81"/>
      <c r="N836" s="85"/>
      <c r="O836" s="85"/>
      <c r="P836" s="86"/>
      <c r="V836" s="31"/>
      <c r="W836" s="31"/>
      <c r="X836" s="31"/>
      <c r="AD836" s="31"/>
      <c r="AE836" s="31"/>
      <c r="AF836" s="31"/>
    </row>
    <row r="837" ht="15.75" hidden="1" customHeight="1">
      <c r="H837" s="81"/>
      <c r="N837" s="85"/>
      <c r="O837" s="85"/>
      <c r="P837" s="86"/>
      <c r="V837" s="31"/>
      <c r="W837" s="31"/>
      <c r="X837" s="31"/>
      <c r="AD837" s="31"/>
      <c r="AE837" s="31"/>
      <c r="AF837" s="31"/>
    </row>
    <row r="838" ht="15.75" hidden="1" customHeight="1">
      <c r="H838" s="81"/>
      <c r="N838" s="85"/>
      <c r="O838" s="85"/>
      <c r="P838" s="86"/>
      <c r="V838" s="31"/>
      <c r="W838" s="31"/>
      <c r="X838" s="31"/>
      <c r="AD838" s="31"/>
      <c r="AE838" s="31"/>
      <c r="AF838" s="31"/>
    </row>
    <row r="839" ht="15.75" hidden="1" customHeight="1">
      <c r="H839" s="81"/>
      <c r="N839" s="85"/>
      <c r="O839" s="85"/>
      <c r="P839" s="86"/>
      <c r="V839" s="31"/>
      <c r="W839" s="31"/>
      <c r="X839" s="31"/>
      <c r="AD839" s="31"/>
      <c r="AE839" s="31"/>
      <c r="AF839" s="31"/>
    </row>
    <row r="840" ht="15.75" hidden="1" customHeight="1">
      <c r="H840" s="81"/>
      <c r="N840" s="85"/>
      <c r="O840" s="85"/>
      <c r="P840" s="86"/>
      <c r="V840" s="31"/>
      <c r="W840" s="31"/>
      <c r="X840" s="31"/>
      <c r="AD840" s="31"/>
      <c r="AE840" s="31"/>
      <c r="AF840" s="31"/>
    </row>
    <row r="841" ht="15.75" hidden="1" customHeight="1">
      <c r="H841" s="81"/>
      <c r="N841" s="85"/>
      <c r="O841" s="85"/>
      <c r="P841" s="86"/>
      <c r="V841" s="31"/>
      <c r="W841" s="31"/>
      <c r="X841" s="31"/>
      <c r="AD841" s="31"/>
      <c r="AE841" s="31"/>
      <c r="AF841" s="31"/>
    </row>
    <row r="842" ht="15.75" hidden="1" customHeight="1">
      <c r="H842" s="81"/>
      <c r="N842" s="85"/>
      <c r="O842" s="85"/>
      <c r="P842" s="86"/>
      <c r="V842" s="31"/>
      <c r="W842" s="31"/>
      <c r="X842" s="31"/>
      <c r="AD842" s="31"/>
      <c r="AE842" s="31"/>
      <c r="AF842" s="31"/>
    </row>
    <row r="843" ht="15.75" hidden="1" customHeight="1">
      <c r="H843" s="81"/>
      <c r="N843" s="85"/>
      <c r="O843" s="85"/>
      <c r="P843" s="86"/>
      <c r="V843" s="31"/>
      <c r="W843" s="31"/>
      <c r="X843" s="31"/>
      <c r="AD843" s="31"/>
      <c r="AE843" s="31"/>
      <c r="AF843" s="31"/>
    </row>
    <row r="844" ht="15.75" hidden="1" customHeight="1">
      <c r="H844" s="81"/>
      <c r="N844" s="85"/>
      <c r="O844" s="85"/>
      <c r="P844" s="86"/>
      <c r="V844" s="31"/>
      <c r="W844" s="31"/>
      <c r="X844" s="31"/>
      <c r="AD844" s="31"/>
      <c r="AE844" s="31"/>
      <c r="AF844" s="31"/>
    </row>
    <row r="845" ht="15.75" hidden="1" customHeight="1">
      <c r="H845" s="81"/>
      <c r="N845" s="85"/>
      <c r="O845" s="85"/>
      <c r="P845" s="86"/>
      <c r="V845" s="31"/>
      <c r="W845" s="31"/>
      <c r="X845" s="31"/>
      <c r="AD845" s="31"/>
      <c r="AE845" s="31"/>
      <c r="AF845" s="31"/>
    </row>
    <row r="846" ht="15.75" hidden="1" customHeight="1">
      <c r="H846" s="81"/>
      <c r="N846" s="85"/>
      <c r="O846" s="85"/>
      <c r="P846" s="86"/>
      <c r="V846" s="31"/>
      <c r="W846" s="31"/>
      <c r="X846" s="31"/>
      <c r="AD846" s="31"/>
      <c r="AE846" s="31"/>
      <c r="AF846" s="31"/>
    </row>
    <row r="847" ht="15.75" hidden="1" customHeight="1">
      <c r="H847" s="81"/>
      <c r="N847" s="85"/>
      <c r="O847" s="85"/>
      <c r="P847" s="86"/>
      <c r="V847" s="31"/>
      <c r="W847" s="31"/>
      <c r="X847" s="31"/>
      <c r="AD847" s="31"/>
      <c r="AE847" s="31"/>
      <c r="AF847" s="31"/>
    </row>
    <row r="848" ht="15.75" hidden="1" customHeight="1">
      <c r="H848" s="81"/>
      <c r="N848" s="85"/>
      <c r="O848" s="85"/>
      <c r="P848" s="86"/>
      <c r="V848" s="31"/>
      <c r="W848" s="31"/>
      <c r="X848" s="31"/>
      <c r="AD848" s="31"/>
      <c r="AE848" s="31"/>
      <c r="AF848" s="31"/>
    </row>
    <row r="849" ht="15.75" hidden="1" customHeight="1">
      <c r="H849" s="81"/>
      <c r="N849" s="85"/>
      <c r="O849" s="85"/>
      <c r="P849" s="86"/>
      <c r="V849" s="31"/>
      <c r="W849" s="31"/>
      <c r="X849" s="31"/>
      <c r="AD849" s="31"/>
      <c r="AE849" s="31"/>
      <c r="AF849" s="31"/>
    </row>
    <row r="850" ht="15.75" hidden="1" customHeight="1">
      <c r="H850" s="81"/>
      <c r="N850" s="85"/>
      <c r="O850" s="85"/>
      <c r="P850" s="86"/>
      <c r="V850" s="31"/>
      <c r="W850" s="31"/>
      <c r="X850" s="31"/>
      <c r="AD850" s="31"/>
      <c r="AE850" s="31"/>
      <c r="AF850" s="31"/>
    </row>
    <row r="851" ht="15.75" hidden="1" customHeight="1">
      <c r="H851" s="81"/>
      <c r="N851" s="85"/>
      <c r="O851" s="85"/>
      <c r="P851" s="86"/>
      <c r="V851" s="31"/>
      <c r="W851" s="31"/>
      <c r="X851" s="31"/>
      <c r="AD851" s="31"/>
      <c r="AE851" s="31"/>
      <c r="AF851" s="31"/>
    </row>
    <row r="852" ht="15.75" hidden="1" customHeight="1">
      <c r="H852" s="81"/>
      <c r="N852" s="85"/>
      <c r="O852" s="85"/>
      <c r="P852" s="86"/>
      <c r="V852" s="31"/>
      <c r="W852" s="31"/>
      <c r="X852" s="31"/>
      <c r="AD852" s="31"/>
      <c r="AE852" s="31"/>
      <c r="AF852" s="31"/>
    </row>
    <row r="853" ht="15.75" hidden="1" customHeight="1">
      <c r="H853" s="81"/>
      <c r="N853" s="85"/>
      <c r="O853" s="85"/>
      <c r="P853" s="86"/>
      <c r="V853" s="31"/>
      <c r="W853" s="31"/>
      <c r="X853" s="31"/>
      <c r="AD853" s="31"/>
      <c r="AE853" s="31"/>
      <c r="AF853" s="31"/>
    </row>
    <row r="854" ht="15.75" hidden="1" customHeight="1">
      <c r="H854" s="81"/>
      <c r="N854" s="85"/>
      <c r="O854" s="85"/>
      <c r="P854" s="86"/>
      <c r="V854" s="31"/>
      <c r="W854" s="31"/>
      <c r="X854" s="31"/>
      <c r="AD854" s="31"/>
      <c r="AE854" s="31"/>
      <c r="AF854" s="31"/>
    </row>
    <row r="855" ht="15.75" hidden="1" customHeight="1">
      <c r="H855" s="81"/>
      <c r="N855" s="85"/>
      <c r="O855" s="85"/>
      <c r="P855" s="86"/>
      <c r="V855" s="31"/>
      <c r="W855" s="31"/>
      <c r="X855" s="31"/>
      <c r="AD855" s="31"/>
      <c r="AE855" s="31"/>
      <c r="AF855" s="31"/>
    </row>
    <row r="856" ht="15.75" hidden="1" customHeight="1">
      <c r="H856" s="81"/>
      <c r="N856" s="85"/>
      <c r="O856" s="85"/>
      <c r="P856" s="86"/>
      <c r="V856" s="31"/>
      <c r="W856" s="31"/>
      <c r="X856" s="31"/>
      <c r="AD856" s="31"/>
      <c r="AE856" s="31"/>
      <c r="AF856" s="31"/>
    </row>
    <row r="857" ht="15.75" hidden="1" customHeight="1">
      <c r="H857" s="81"/>
      <c r="N857" s="85"/>
      <c r="O857" s="85"/>
      <c r="P857" s="86"/>
      <c r="V857" s="31"/>
      <c r="W857" s="31"/>
      <c r="X857" s="31"/>
      <c r="AD857" s="31"/>
      <c r="AE857" s="31"/>
      <c r="AF857" s="31"/>
    </row>
    <row r="858" ht="15.75" hidden="1" customHeight="1">
      <c r="H858" s="81"/>
      <c r="N858" s="85"/>
      <c r="O858" s="85"/>
      <c r="P858" s="86"/>
      <c r="V858" s="31"/>
      <c r="W858" s="31"/>
      <c r="X858" s="31"/>
      <c r="AD858" s="31"/>
      <c r="AE858" s="31"/>
      <c r="AF858" s="31"/>
    </row>
    <row r="859" ht="15.75" hidden="1" customHeight="1">
      <c r="H859" s="81"/>
      <c r="N859" s="85"/>
      <c r="O859" s="85"/>
      <c r="P859" s="86"/>
      <c r="V859" s="31"/>
      <c r="W859" s="31"/>
      <c r="X859" s="31"/>
      <c r="AD859" s="31"/>
      <c r="AE859" s="31"/>
      <c r="AF859" s="31"/>
    </row>
    <row r="860" ht="15.75" hidden="1" customHeight="1">
      <c r="H860" s="81"/>
      <c r="N860" s="85"/>
      <c r="O860" s="85"/>
      <c r="P860" s="86"/>
      <c r="V860" s="31"/>
      <c r="W860" s="31"/>
      <c r="X860" s="31"/>
      <c r="AD860" s="31"/>
      <c r="AE860" s="31"/>
      <c r="AF860" s="31"/>
    </row>
    <row r="861" ht="15.75" hidden="1" customHeight="1">
      <c r="H861" s="81"/>
      <c r="N861" s="85"/>
      <c r="O861" s="85"/>
      <c r="P861" s="86"/>
      <c r="V861" s="31"/>
      <c r="W861" s="31"/>
      <c r="X861" s="31"/>
      <c r="AD861" s="31"/>
      <c r="AE861" s="31"/>
      <c r="AF861" s="31"/>
    </row>
    <row r="862" ht="15.75" hidden="1" customHeight="1">
      <c r="H862" s="81"/>
      <c r="N862" s="85"/>
      <c r="O862" s="85"/>
      <c r="P862" s="86"/>
      <c r="V862" s="31"/>
      <c r="W862" s="31"/>
      <c r="X862" s="31"/>
      <c r="AD862" s="31"/>
      <c r="AE862" s="31"/>
      <c r="AF862" s="31"/>
    </row>
    <row r="863" ht="15.75" hidden="1" customHeight="1">
      <c r="H863" s="81"/>
      <c r="N863" s="85"/>
      <c r="O863" s="85"/>
      <c r="P863" s="86"/>
      <c r="V863" s="31"/>
      <c r="W863" s="31"/>
      <c r="X863" s="31"/>
      <c r="AD863" s="31"/>
      <c r="AE863" s="31"/>
      <c r="AF863" s="31"/>
    </row>
    <row r="864" ht="15.75" hidden="1" customHeight="1">
      <c r="H864" s="81"/>
      <c r="N864" s="85"/>
      <c r="O864" s="85"/>
      <c r="P864" s="86"/>
      <c r="V864" s="31"/>
      <c r="W864" s="31"/>
      <c r="X864" s="31"/>
      <c r="AD864" s="31"/>
      <c r="AE864" s="31"/>
      <c r="AF864" s="31"/>
    </row>
    <row r="865" ht="15.75" hidden="1" customHeight="1">
      <c r="H865" s="81"/>
      <c r="N865" s="85"/>
      <c r="O865" s="85"/>
      <c r="P865" s="86"/>
      <c r="V865" s="31"/>
      <c r="W865" s="31"/>
      <c r="X865" s="31"/>
      <c r="AD865" s="31"/>
      <c r="AE865" s="31"/>
      <c r="AF865" s="31"/>
    </row>
    <row r="866" ht="15.75" hidden="1" customHeight="1">
      <c r="H866" s="81"/>
      <c r="N866" s="85"/>
      <c r="O866" s="85"/>
      <c r="P866" s="86"/>
      <c r="V866" s="31"/>
      <c r="W866" s="31"/>
      <c r="X866" s="31"/>
      <c r="AD866" s="31"/>
      <c r="AE866" s="31"/>
      <c r="AF866" s="31"/>
    </row>
    <row r="867" ht="15.75" hidden="1" customHeight="1">
      <c r="H867" s="81"/>
      <c r="N867" s="85"/>
      <c r="O867" s="85"/>
      <c r="P867" s="86"/>
      <c r="V867" s="31"/>
      <c r="W867" s="31"/>
      <c r="X867" s="31"/>
      <c r="AD867" s="31"/>
      <c r="AE867" s="31"/>
      <c r="AF867" s="31"/>
    </row>
    <row r="868" ht="15.75" hidden="1" customHeight="1">
      <c r="H868" s="81"/>
      <c r="N868" s="85"/>
      <c r="O868" s="85"/>
      <c r="P868" s="86"/>
      <c r="V868" s="31"/>
      <c r="W868" s="31"/>
      <c r="X868" s="31"/>
      <c r="AD868" s="31"/>
      <c r="AE868" s="31"/>
      <c r="AF868" s="31"/>
    </row>
    <row r="869" ht="15.75" hidden="1" customHeight="1">
      <c r="H869" s="81"/>
      <c r="N869" s="85"/>
      <c r="O869" s="85"/>
      <c r="P869" s="86"/>
      <c r="V869" s="31"/>
      <c r="W869" s="31"/>
      <c r="X869" s="31"/>
      <c r="AD869" s="31"/>
      <c r="AE869" s="31"/>
      <c r="AF869" s="31"/>
    </row>
    <row r="870" ht="15.75" hidden="1" customHeight="1">
      <c r="H870" s="81"/>
      <c r="N870" s="85"/>
      <c r="O870" s="85"/>
      <c r="P870" s="86"/>
      <c r="V870" s="31"/>
      <c r="W870" s="31"/>
      <c r="X870" s="31"/>
      <c r="AD870" s="31"/>
      <c r="AE870" s="31"/>
      <c r="AF870" s="31"/>
    </row>
    <row r="871" ht="15.75" hidden="1" customHeight="1">
      <c r="H871" s="81"/>
      <c r="N871" s="85"/>
      <c r="O871" s="85"/>
      <c r="P871" s="86"/>
      <c r="V871" s="31"/>
      <c r="W871" s="31"/>
      <c r="X871" s="31"/>
      <c r="AD871" s="31"/>
      <c r="AE871" s="31"/>
      <c r="AF871" s="31"/>
    </row>
    <row r="872" ht="15.75" hidden="1" customHeight="1">
      <c r="H872" s="81"/>
      <c r="N872" s="85"/>
      <c r="O872" s="85"/>
      <c r="P872" s="86"/>
      <c r="V872" s="31"/>
      <c r="W872" s="31"/>
      <c r="X872" s="31"/>
      <c r="AD872" s="31"/>
      <c r="AE872" s="31"/>
      <c r="AF872" s="31"/>
    </row>
    <row r="873" ht="15.75" hidden="1" customHeight="1">
      <c r="H873" s="81"/>
      <c r="N873" s="85"/>
      <c r="O873" s="85"/>
      <c r="P873" s="86"/>
      <c r="V873" s="31"/>
      <c r="W873" s="31"/>
      <c r="X873" s="31"/>
      <c r="AD873" s="31"/>
      <c r="AE873" s="31"/>
      <c r="AF873" s="31"/>
    </row>
    <row r="874" ht="15.75" hidden="1" customHeight="1">
      <c r="H874" s="81"/>
      <c r="N874" s="85"/>
      <c r="O874" s="85"/>
      <c r="P874" s="86"/>
      <c r="V874" s="31"/>
      <c r="W874" s="31"/>
      <c r="X874" s="31"/>
      <c r="AD874" s="31"/>
      <c r="AE874" s="31"/>
      <c r="AF874" s="31"/>
    </row>
    <row r="875" ht="15.75" hidden="1" customHeight="1">
      <c r="H875" s="81"/>
      <c r="N875" s="85"/>
      <c r="O875" s="85"/>
      <c r="P875" s="86"/>
      <c r="V875" s="31"/>
      <c r="W875" s="31"/>
      <c r="X875" s="31"/>
      <c r="AD875" s="31"/>
      <c r="AE875" s="31"/>
      <c r="AF875" s="31"/>
    </row>
    <row r="876" ht="15.75" hidden="1" customHeight="1">
      <c r="H876" s="81"/>
      <c r="N876" s="85"/>
      <c r="O876" s="85"/>
      <c r="P876" s="86"/>
      <c r="V876" s="31"/>
      <c r="W876" s="31"/>
      <c r="X876" s="31"/>
      <c r="AD876" s="31"/>
      <c r="AE876" s="31"/>
      <c r="AF876" s="31"/>
    </row>
    <row r="877" ht="15.75" hidden="1" customHeight="1">
      <c r="H877" s="81"/>
      <c r="N877" s="85"/>
      <c r="O877" s="85"/>
      <c r="P877" s="86"/>
      <c r="V877" s="31"/>
      <c r="W877" s="31"/>
      <c r="X877" s="31"/>
      <c r="AD877" s="31"/>
      <c r="AE877" s="31"/>
      <c r="AF877" s="31"/>
    </row>
    <row r="878" ht="15.75" hidden="1" customHeight="1">
      <c r="H878" s="81"/>
      <c r="N878" s="85"/>
      <c r="O878" s="85"/>
      <c r="P878" s="86"/>
      <c r="V878" s="31"/>
      <c r="W878" s="31"/>
      <c r="X878" s="31"/>
      <c r="AD878" s="31"/>
      <c r="AE878" s="31"/>
      <c r="AF878" s="31"/>
    </row>
    <row r="879" ht="15.75" hidden="1" customHeight="1">
      <c r="H879" s="81"/>
      <c r="N879" s="85"/>
      <c r="O879" s="85"/>
      <c r="P879" s="86"/>
      <c r="V879" s="31"/>
      <c r="W879" s="31"/>
      <c r="X879" s="31"/>
      <c r="AD879" s="31"/>
      <c r="AE879" s="31"/>
      <c r="AF879" s="31"/>
    </row>
    <row r="880" ht="15.75" hidden="1" customHeight="1">
      <c r="H880" s="81"/>
      <c r="N880" s="85"/>
      <c r="O880" s="85"/>
      <c r="P880" s="86"/>
      <c r="V880" s="31"/>
      <c r="W880" s="31"/>
      <c r="X880" s="31"/>
      <c r="AD880" s="31"/>
      <c r="AE880" s="31"/>
      <c r="AF880" s="31"/>
    </row>
    <row r="881" ht="15.75" hidden="1" customHeight="1">
      <c r="H881" s="81"/>
      <c r="N881" s="85"/>
      <c r="O881" s="85"/>
      <c r="P881" s="86"/>
      <c r="V881" s="31"/>
      <c r="W881" s="31"/>
      <c r="X881" s="31"/>
      <c r="AD881" s="31"/>
      <c r="AE881" s="31"/>
      <c r="AF881" s="31"/>
    </row>
    <row r="882" ht="15.75" hidden="1" customHeight="1">
      <c r="H882" s="81"/>
      <c r="N882" s="85"/>
      <c r="O882" s="85"/>
      <c r="P882" s="86"/>
      <c r="V882" s="31"/>
      <c r="W882" s="31"/>
      <c r="X882" s="31"/>
      <c r="AD882" s="31"/>
      <c r="AE882" s="31"/>
      <c r="AF882" s="31"/>
    </row>
    <row r="883" ht="15.75" hidden="1" customHeight="1">
      <c r="H883" s="81"/>
      <c r="N883" s="85"/>
      <c r="O883" s="85"/>
      <c r="P883" s="86"/>
      <c r="V883" s="31"/>
      <c r="W883" s="31"/>
      <c r="X883" s="31"/>
      <c r="AD883" s="31"/>
      <c r="AE883" s="31"/>
      <c r="AF883" s="31"/>
    </row>
    <row r="884" ht="15.75" hidden="1" customHeight="1">
      <c r="H884" s="81"/>
      <c r="N884" s="85"/>
      <c r="O884" s="85"/>
      <c r="P884" s="86"/>
      <c r="V884" s="31"/>
      <c r="W884" s="31"/>
      <c r="X884" s="31"/>
      <c r="AD884" s="31"/>
      <c r="AE884" s="31"/>
      <c r="AF884" s="31"/>
    </row>
    <row r="885" ht="15.75" hidden="1" customHeight="1">
      <c r="H885" s="81"/>
      <c r="N885" s="85"/>
      <c r="O885" s="85"/>
      <c r="P885" s="86"/>
      <c r="V885" s="31"/>
      <c r="W885" s="31"/>
      <c r="X885" s="31"/>
      <c r="AD885" s="31"/>
      <c r="AE885" s="31"/>
      <c r="AF885" s="31"/>
    </row>
    <row r="886" ht="15.75" hidden="1" customHeight="1">
      <c r="H886" s="81"/>
      <c r="N886" s="85"/>
      <c r="O886" s="85"/>
      <c r="P886" s="86"/>
      <c r="V886" s="31"/>
      <c r="W886" s="31"/>
      <c r="X886" s="31"/>
      <c r="AD886" s="31"/>
      <c r="AE886" s="31"/>
      <c r="AF886" s="31"/>
    </row>
    <row r="887" ht="15.75" hidden="1" customHeight="1">
      <c r="H887" s="81"/>
      <c r="N887" s="85"/>
      <c r="O887" s="85"/>
      <c r="P887" s="86"/>
      <c r="V887" s="31"/>
      <c r="W887" s="31"/>
      <c r="X887" s="31"/>
      <c r="AD887" s="31"/>
      <c r="AE887" s="31"/>
      <c r="AF887" s="31"/>
    </row>
    <row r="888" ht="15.75" hidden="1" customHeight="1">
      <c r="H888" s="81"/>
      <c r="N888" s="85"/>
      <c r="O888" s="85"/>
      <c r="P888" s="86"/>
      <c r="V888" s="31"/>
      <c r="W888" s="31"/>
      <c r="X888" s="31"/>
      <c r="AD888" s="31"/>
      <c r="AE888" s="31"/>
      <c r="AF888" s="31"/>
    </row>
    <row r="889" ht="15.75" hidden="1" customHeight="1">
      <c r="H889" s="81"/>
      <c r="N889" s="85"/>
      <c r="O889" s="85"/>
      <c r="P889" s="86"/>
      <c r="V889" s="31"/>
      <c r="W889" s="31"/>
      <c r="X889" s="31"/>
      <c r="AD889" s="31"/>
      <c r="AE889" s="31"/>
      <c r="AF889" s="31"/>
    </row>
    <row r="890" ht="15.75" hidden="1" customHeight="1">
      <c r="H890" s="81"/>
      <c r="N890" s="85"/>
      <c r="O890" s="85"/>
      <c r="P890" s="86"/>
      <c r="V890" s="31"/>
      <c r="W890" s="31"/>
      <c r="X890" s="31"/>
      <c r="AD890" s="31"/>
      <c r="AE890" s="31"/>
      <c r="AF890" s="31"/>
    </row>
    <row r="891" ht="15.75" hidden="1" customHeight="1">
      <c r="H891" s="81"/>
      <c r="N891" s="85"/>
      <c r="O891" s="85"/>
      <c r="P891" s="86"/>
      <c r="V891" s="31"/>
      <c r="W891" s="31"/>
      <c r="X891" s="31"/>
      <c r="AD891" s="31"/>
      <c r="AE891" s="31"/>
      <c r="AF891" s="31"/>
    </row>
    <row r="892" ht="15.75" hidden="1" customHeight="1">
      <c r="H892" s="81"/>
      <c r="N892" s="85"/>
      <c r="O892" s="85"/>
      <c r="P892" s="86"/>
      <c r="V892" s="31"/>
      <c r="W892" s="31"/>
      <c r="X892" s="31"/>
      <c r="AD892" s="31"/>
      <c r="AE892" s="31"/>
      <c r="AF892" s="31"/>
    </row>
    <row r="893" ht="15.75" hidden="1" customHeight="1">
      <c r="H893" s="81"/>
      <c r="N893" s="85"/>
      <c r="O893" s="85"/>
      <c r="P893" s="86"/>
      <c r="V893" s="31"/>
      <c r="W893" s="31"/>
      <c r="X893" s="31"/>
      <c r="AD893" s="31"/>
      <c r="AE893" s="31"/>
      <c r="AF893" s="31"/>
    </row>
    <row r="894" ht="15.75" hidden="1" customHeight="1">
      <c r="H894" s="81"/>
      <c r="N894" s="85"/>
      <c r="O894" s="85"/>
      <c r="P894" s="86"/>
      <c r="V894" s="31"/>
      <c r="W894" s="31"/>
      <c r="X894" s="31"/>
      <c r="AD894" s="31"/>
      <c r="AE894" s="31"/>
      <c r="AF894" s="31"/>
    </row>
    <row r="895" ht="15.75" hidden="1" customHeight="1">
      <c r="H895" s="81"/>
      <c r="N895" s="85"/>
      <c r="O895" s="85"/>
      <c r="P895" s="86"/>
      <c r="V895" s="31"/>
      <c r="W895" s="31"/>
      <c r="X895" s="31"/>
      <c r="AD895" s="31"/>
      <c r="AE895" s="31"/>
      <c r="AF895" s="31"/>
    </row>
    <row r="896" ht="15.75" hidden="1" customHeight="1">
      <c r="H896" s="81"/>
      <c r="N896" s="85"/>
      <c r="O896" s="85"/>
      <c r="P896" s="86"/>
      <c r="V896" s="31"/>
      <c r="W896" s="31"/>
      <c r="X896" s="31"/>
      <c r="AD896" s="31"/>
      <c r="AE896" s="31"/>
      <c r="AF896" s="31"/>
    </row>
    <row r="897" ht="15.75" hidden="1" customHeight="1">
      <c r="H897" s="81"/>
      <c r="N897" s="85"/>
      <c r="O897" s="85"/>
      <c r="P897" s="86"/>
      <c r="V897" s="31"/>
      <c r="W897" s="31"/>
      <c r="X897" s="31"/>
      <c r="AD897" s="31"/>
      <c r="AE897" s="31"/>
      <c r="AF897" s="31"/>
    </row>
    <row r="898" ht="15.75" hidden="1" customHeight="1">
      <c r="H898" s="81"/>
      <c r="N898" s="85"/>
      <c r="O898" s="85"/>
      <c r="P898" s="86"/>
      <c r="V898" s="31"/>
      <c r="W898" s="31"/>
      <c r="X898" s="31"/>
      <c r="AD898" s="31"/>
      <c r="AE898" s="31"/>
      <c r="AF898" s="31"/>
    </row>
    <row r="899" ht="15.75" hidden="1" customHeight="1">
      <c r="H899" s="81"/>
      <c r="N899" s="85"/>
      <c r="O899" s="85"/>
      <c r="P899" s="86"/>
      <c r="V899" s="31"/>
      <c r="W899" s="31"/>
      <c r="X899" s="31"/>
      <c r="AD899" s="31"/>
      <c r="AE899" s="31"/>
      <c r="AF899" s="31"/>
    </row>
    <row r="900" ht="15.75" hidden="1" customHeight="1">
      <c r="H900" s="81"/>
      <c r="N900" s="85"/>
      <c r="O900" s="85"/>
      <c r="P900" s="86"/>
      <c r="V900" s="31"/>
      <c r="W900" s="31"/>
      <c r="X900" s="31"/>
      <c r="AD900" s="31"/>
      <c r="AE900" s="31"/>
      <c r="AF900" s="31"/>
    </row>
    <row r="901" ht="15.75" hidden="1" customHeight="1">
      <c r="H901" s="81"/>
      <c r="N901" s="85"/>
      <c r="O901" s="85"/>
      <c r="P901" s="86"/>
      <c r="V901" s="31"/>
      <c r="W901" s="31"/>
      <c r="X901" s="31"/>
      <c r="AD901" s="31"/>
      <c r="AE901" s="31"/>
      <c r="AF901" s="31"/>
    </row>
    <row r="902" ht="15.75" hidden="1" customHeight="1">
      <c r="H902" s="81"/>
      <c r="N902" s="85"/>
      <c r="O902" s="85"/>
      <c r="P902" s="86"/>
      <c r="V902" s="31"/>
      <c r="W902" s="31"/>
      <c r="X902" s="31"/>
      <c r="AD902" s="31"/>
      <c r="AE902" s="31"/>
      <c r="AF902" s="31"/>
    </row>
    <row r="903" ht="15.75" hidden="1" customHeight="1">
      <c r="H903" s="81"/>
      <c r="N903" s="85"/>
      <c r="O903" s="85"/>
      <c r="P903" s="86"/>
      <c r="V903" s="31"/>
      <c r="W903" s="31"/>
      <c r="X903" s="31"/>
      <c r="AD903" s="31"/>
      <c r="AE903" s="31"/>
      <c r="AF903" s="31"/>
    </row>
    <row r="904" ht="15.75" hidden="1" customHeight="1">
      <c r="H904" s="81"/>
      <c r="N904" s="85"/>
      <c r="O904" s="85"/>
      <c r="P904" s="86"/>
      <c r="V904" s="31"/>
      <c r="W904" s="31"/>
      <c r="X904" s="31"/>
      <c r="AD904" s="31"/>
      <c r="AE904" s="31"/>
      <c r="AF904" s="31"/>
    </row>
    <row r="905" ht="15.75" hidden="1" customHeight="1">
      <c r="H905" s="81"/>
      <c r="N905" s="85"/>
      <c r="O905" s="85"/>
      <c r="P905" s="86"/>
      <c r="V905" s="31"/>
      <c r="W905" s="31"/>
      <c r="X905" s="31"/>
      <c r="AD905" s="31"/>
      <c r="AE905" s="31"/>
      <c r="AF905" s="31"/>
    </row>
    <row r="906" ht="15.75" hidden="1" customHeight="1">
      <c r="H906" s="81"/>
      <c r="N906" s="85"/>
      <c r="O906" s="85"/>
      <c r="P906" s="86"/>
      <c r="V906" s="31"/>
      <c r="W906" s="31"/>
      <c r="X906" s="31"/>
      <c r="AD906" s="31"/>
      <c r="AE906" s="31"/>
      <c r="AF906" s="31"/>
    </row>
    <row r="907" ht="15.75" hidden="1" customHeight="1">
      <c r="H907" s="81"/>
      <c r="N907" s="85"/>
      <c r="O907" s="85"/>
      <c r="P907" s="86"/>
      <c r="V907" s="31"/>
      <c r="W907" s="31"/>
      <c r="X907" s="31"/>
      <c r="AD907" s="31"/>
      <c r="AE907" s="31"/>
      <c r="AF907" s="31"/>
    </row>
    <row r="908" ht="15.75" hidden="1" customHeight="1">
      <c r="H908" s="81"/>
      <c r="N908" s="85"/>
      <c r="O908" s="85"/>
      <c r="P908" s="86"/>
      <c r="V908" s="31"/>
      <c r="W908" s="31"/>
      <c r="X908" s="31"/>
      <c r="AD908" s="31"/>
      <c r="AE908" s="31"/>
      <c r="AF908" s="31"/>
    </row>
    <row r="909" ht="15.75" hidden="1" customHeight="1">
      <c r="H909" s="81"/>
      <c r="N909" s="85"/>
      <c r="O909" s="85"/>
      <c r="P909" s="86"/>
      <c r="V909" s="31"/>
      <c r="W909" s="31"/>
      <c r="X909" s="31"/>
      <c r="AD909" s="31"/>
      <c r="AE909" s="31"/>
      <c r="AF909" s="31"/>
    </row>
    <row r="910" ht="15.75" hidden="1" customHeight="1">
      <c r="H910" s="81"/>
      <c r="N910" s="85"/>
      <c r="O910" s="85"/>
      <c r="P910" s="86"/>
      <c r="V910" s="31"/>
      <c r="W910" s="31"/>
      <c r="X910" s="31"/>
      <c r="AD910" s="31"/>
      <c r="AE910" s="31"/>
      <c r="AF910" s="31"/>
    </row>
    <row r="911" ht="15.75" hidden="1" customHeight="1">
      <c r="H911" s="81"/>
      <c r="N911" s="85"/>
      <c r="O911" s="85"/>
      <c r="P911" s="86"/>
      <c r="V911" s="31"/>
      <c r="W911" s="31"/>
      <c r="X911" s="31"/>
      <c r="AD911" s="31"/>
      <c r="AE911" s="31"/>
      <c r="AF911" s="31"/>
    </row>
    <row r="912" ht="15.75" hidden="1" customHeight="1">
      <c r="H912" s="81"/>
      <c r="N912" s="85"/>
      <c r="O912" s="85"/>
      <c r="P912" s="86"/>
      <c r="V912" s="31"/>
      <c r="W912" s="31"/>
      <c r="X912" s="31"/>
      <c r="AD912" s="31"/>
      <c r="AE912" s="31"/>
      <c r="AF912" s="31"/>
    </row>
    <row r="913" ht="15.75" hidden="1" customHeight="1">
      <c r="H913" s="81"/>
      <c r="N913" s="85"/>
      <c r="O913" s="85"/>
      <c r="P913" s="86"/>
      <c r="V913" s="31"/>
      <c r="W913" s="31"/>
      <c r="X913" s="31"/>
      <c r="AD913" s="31"/>
      <c r="AE913" s="31"/>
      <c r="AF913" s="31"/>
    </row>
    <row r="914" ht="15.75" hidden="1" customHeight="1">
      <c r="H914" s="81"/>
      <c r="N914" s="85"/>
      <c r="O914" s="85"/>
      <c r="P914" s="86"/>
      <c r="V914" s="31"/>
      <c r="W914" s="31"/>
      <c r="X914" s="31"/>
      <c r="AD914" s="31"/>
      <c r="AE914" s="31"/>
      <c r="AF914" s="31"/>
    </row>
    <row r="915" ht="15.75" hidden="1" customHeight="1">
      <c r="H915" s="81"/>
      <c r="N915" s="85"/>
      <c r="O915" s="85"/>
      <c r="P915" s="86"/>
      <c r="V915" s="31"/>
      <c r="W915" s="31"/>
      <c r="X915" s="31"/>
      <c r="AD915" s="31"/>
      <c r="AE915" s="31"/>
      <c r="AF915" s="31"/>
    </row>
    <row r="916" ht="15.75" hidden="1" customHeight="1">
      <c r="H916" s="81"/>
      <c r="N916" s="85"/>
      <c r="O916" s="85"/>
      <c r="P916" s="86"/>
      <c r="V916" s="31"/>
      <c r="W916" s="31"/>
      <c r="X916" s="31"/>
      <c r="AD916" s="31"/>
      <c r="AE916" s="31"/>
      <c r="AF916" s="31"/>
    </row>
    <row r="917" ht="15.75" hidden="1" customHeight="1">
      <c r="H917" s="81"/>
      <c r="N917" s="85"/>
      <c r="O917" s="85"/>
      <c r="P917" s="86"/>
      <c r="V917" s="31"/>
      <c r="W917" s="31"/>
      <c r="X917" s="31"/>
      <c r="AD917" s="31"/>
      <c r="AE917" s="31"/>
      <c r="AF917" s="31"/>
    </row>
    <row r="918" ht="15.75" hidden="1" customHeight="1">
      <c r="H918" s="81"/>
      <c r="N918" s="85"/>
      <c r="O918" s="85"/>
      <c r="P918" s="86"/>
      <c r="V918" s="31"/>
      <c r="W918" s="31"/>
      <c r="X918" s="31"/>
      <c r="AD918" s="31"/>
      <c r="AE918" s="31"/>
      <c r="AF918" s="31"/>
    </row>
    <row r="919" ht="15.75" hidden="1" customHeight="1">
      <c r="H919" s="81"/>
      <c r="N919" s="85"/>
      <c r="O919" s="85"/>
      <c r="P919" s="86"/>
      <c r="V919" s="31"/>
      <c r="W919" s="31"/>
      <c r="X919" s="31"/>
      <c r="AD919" s="31"/>
      <c r="AE919" s="31"/>
      <c r="AF919" s="31"/>
    </row>
    <row r="920" ht="15.75" hidden="1" customHeight="1">
      <c r="H920" s="81"/>
      <c r="N920" s="85"/>
      <c r="O920" s="85"/>
      <c r="P920" s="86"/>
      <c r="V920" s="31"/>
      <c r="W920" s="31"/>
      <c r="X920" s="31"/>
      <c r="AD920" s="31"/>
      <c r="AE920" s="31"/>
      <c r="AF920" s="31"/>
    </row>
    <row r="921" ht="15.75" hidden="1" customHeight="1">
      <c r="H921" s="81"/>
      <c r="N921" s="85"/>
      <c r="O921" s="85"/>
      <c r="P921" s="86"/>
      <c r="V921" s="31"/>
      <c r="W921" s="31"/>
      <c r="X921" s="31"/>
      <c r="AD921" s="31"/>
      <c r="AE921" s="31"/>
      <c r="AF921" s="31"/>
    </row>
    <row r="922" ht="15.75" hidden="1" customHeight="1">
      <c r="H922" s="81"/>
      <c r="N922" s="85"/>
      <c r="O922" s="85"/>
      <c r="P922" s="86"/>
      <c r="V922" s="31"/>
      <c r="W922" s="31"/>
      <c r="X922" s="31"/>
      <c r="AD922" s="31"/>
      <c r="AE922" s="31"/>
      <c r="AF922" s="31"/>
    </row>
    <row r="923" ht="15.75" hidden="1" customHeight="1">
      <c r="H923" s="81"/>
      <c r="N923" s="85"/>
      <c r="O923" s="85"/>
      <c r="P923" s="86"/>
      <c r="V923" s="31"/>
      <c r="W923" s="31"/>
      <c r="X923" s="31"/>
      <c r="AD923" s="31"/>
      <c r="AE923" s="31"/>
      <c r="AF923" s="31"/>
    </row>
    <row r="924" ht="15.75" hidden="1" customHeight="1">
      <c r="H924" s="81"/>
      <c r="N924" s="85"/>
      <c r="O924" s="85"/>
      <c r="P924" s="86"/>
      <c r="V924" s="31"/>
      <c r="W924" s="31"/>
      <c r="X924" s="31"/>
      <c r="AD924" s="31"/>
      <c r="AE924" s="31"/>
      <c r="AF924" s="31"/>
    </row>
    <row r="925" ht="15.75" hidden="1" customHeight="1">
      <c r="H925" s="81"/>
      <c r="N925" s="85"/>
      <c r="O925" s="85"/>
      <c r="P925" s="86"/>
      <c r="V925" s="31"/>
      <c r="W925" s="31"/>
      <c r="X925" s="31"/>
      <c r="AD925" s="31"/>
      <c r="AE925" s="31"/>
      <c r="AF925" s="31"/>
    </row>
    <row r="926" ht="15.75" hidden="1" customHeight="1">
      <c r="H926" s="81"/>
      <c r="N926" s="85"/>
      <c r="O926" s="85"/>
      <c r="P926" s="86"/>
      <c r="V926" s="31"/>
      <c r="W926" s="31"/>
      <c r="X926" s="31"/>
      <c r="AD926" s="31"/>
      <c r="AE926" s="31"/>
      <c r="AF926" s="31"/>
    </row>
    <row r="927" ht="15.75" hidden="1" customHeight="1">
      <c r="H927" s="81"/>
      <c r="N927" s="85"/>
      <c r="O927" s="85"/>
      <c r="P927" s="86"/>
      <c r="V927" s="31"/>
      <c r="W927" s="31"/>
      <c r="X927" s="31"/>
      <c r="AD927" s="31"/>
      <c r="AE927" s="31"/>
      <c r="AF927" s="31"/>
    </row>
    <row r="928" ht="15.75" hidden="1" customHeight="1">
      <c r="H928" s="81"/>
      <c r="N928" s="85"/>
      <c r="O928" s="85"/>
      <c r="P928" s="86"/>
      <c r="V928" s="31"/>
      <c r="W928" s="31"/>
      <c r="X928" s="31"/>
      <c r="AD928" s="31"/>
      <c r="AE928" s="31"/>
      <c r="AF928" s="31"/>
    </row>
    <row r="929" ht="15.75" hidden="1" customHeight="1">
      <c r="H929" s="81"/>
      <c r="N929" s="85"/>
      <c r="O929" s="85"/>
      <c r="P929" s="86"/>
      <c r="V929" s="31"/>
      <c r="W929" s="31"/>
      <c r="X929" s="31"/>
      <c r="AD929" s="31"/>
      <c r="AE929" s="31"/>
      <c r="AF929" s="31"/>
    </row>
    <row r="930" ht="15.75" hidden="1" customHeight="1">
      <c r="H930" s="81"/>
      <c r="N930" s="85"/>
      <c r="O930" s="85"/>
      <c r="P930" s="86"/>
      <c r="V930" s="31"/>
      <c r="W930" s="31"/>
      <c r="X930" s="31"/>
      <c r="AD930" s="31"/>
      <c r="AE930" s="31"/>
      <c r="AF930" s="31"/>
    </row>
    <row r="931" ht="15.75" hidden="1" customHeight="1">
      <c r="H931" s="81"/>
      <c r="N931" s="85"/>
      <c r="O931" s="85"/>
      <c r="P931" s="86"/>
      <c r="V931" s="31"/>
      <c r="W931" s="31"/>
      <c r="X931" s="31"/>
      <c r="AD931" s="31"/>
      <c r="AE931" s="31"/>
      <c r="AF931" s="31"/>
    </row>
    <row r="932" ht="15.75" hidden="1" customHeight="1">
      <c r="H932" s="81"/>
      <c r="N932" s="85"/>
      <c r="O932" s="85"/>
      <c r="P932" s="86"/>
      <c r="V932" s="31"/>
      <c r="W932" s="31"/>
      <c r="X932" s="31"/>
      <c r="AD932" s="31"/>
      <c r="AE932" s="31"/>
      <c r="AF932" s="31"/>
    </row>
    <row r="933" ht="15.75" hidden="1" customHeight="1">
      <c r="H933" s="81"/>
      <c r="N933" s="85"/>
      <c r="O933" s="85"/>
      <c r="P933" s="86"/>
      <c r="V933" s="31"/>
      <c r="W933" s="31"/>
      <c r="X933" s="31"/>
      <c r="AD933" s="31"/>
      <c r="AE933" s="31"/>
      <c r="AF933" s="31"/>
    </row>
    <row r="934" ht="15.75" hidden="1" customHeight="1">
      <c r="H934" s="81"/>
      <c r="N934" s="85"/>
      <c r="O934" s="85"/>
      <c r="P934" s="86"/>
      <c r="V934" s="31"/>
      <c r="W934" s="31"/>
      <c r="X934" s="31"/>
      <c r="AD934" s="31"/>
      <c r="AE934" s="31"/>
      <c r="AF934" s="31"/>
    </row>
    <row r="935" ht="15.75" hidden="1" customHeight="1">
      <c r="H935" s="81"/>
      <c r="N935" s="85"/>
      <c r="O935" s="85"/>
      <c r="P935" s="86"/>
      <c r="V935" s="31"/>
      <c r="W935" s="31"/>
      <c r="X935" s="31"/>
      <c r="AD935" s="31"/>
      <c r="AE935" s="31"/>
      <c r="AF935" s="31"/>
    </row>
    <row r="936" ht="15.75" hidden="1" customHeight="1">
      <c r="H936" s="81"/>
      <c r="N936" s="85"/>
      <c r="O936" s="85"/>
      <c r="P936" s="86"/>
      <c r="V936" s="31"/>
      <c r="W936" s="31"/>
      <c r="X936" s="31"/>
      <c r="AD936" s="31"/>
      <c r="AE936" s="31"/>
      <c r="AF936" s="31"/>
    </row>
    <row r="937" ht="15.75" hidden="1" customHeight="1">
      <c r="H937" s="81"/>
      <c r="N937" s="85"/>
      <c r="O937" s="85"/>
      <c r="P937" s="86"/>
      <c r="V937" s="31"/>
      <c r="W937" s="31"/>
      <c r="X937" s="31"/>
      <c r="AD937" s="31"/>
      <c r="AE937" s="31"/>
      <c r="AF937" s="31"/>
    </row>
    <row r="938" ht="15.75" hidden="1" customHeight="1">
      <c r="H938" s="81"/>
      <c r="N938" s="85"/>
      <c r="O938" s="85"/>
      <c r="P938" s="86"/>
      <c r="V938" s="31"/>
      <c r="W938" s="31"/>
      <c r="X938" s="31"/>
      <c r="AD938" s="31"/>
      <c r="AE938" s="31"/>
      <c r="AF938" s="31"/>
    </row>
    <row r="939" ht="15.75" hidden="1" customHeight="1">
      <c r="H939" s="81"/>
      <c r="N939" s="85"/>
      <c r="O939" s="85"/>
      <c r="P939" s="86"/>
      <c r="V939" s="31"/>
      <c r="W939" s="31"/>
      <c r="X939" s="31"/>
      <c r="AD939" s="31"/>
      <c r="AE939" s="31"/>
      <c r="AF939" s="31"/>
    </row>
    <row r="940" ht="15.75" hidden="1" customHeight="1">
      <c r="H940" s="81"/>
      <c r="N940" s="85"/>
      <c r="O940" s="85"/>
      <c r="P940" s="86"/>
      <c r="V940" s="31"/>
      <c r="W940" s="31"/>
      <c r="X940" s="31"/>
      <c r="AD940" s="31"/>
      <c r="AE940" s="31"/>
      <c r="AF940" s="31"/>
    </row>
    <row r="941" ht="15.75" hidden="1" customHeight="1">
      <c r="H941" s="81"/>
      <c r="N941" s="85"/>
      <c r="O941" s="85"/>
      <c r="P941" s="86"/>
      <c r="V941" s="31"/>
      <c r="W941" s="31"/>
      <c r="X941" s="31"/>
      <c r="AD941" s="31"/>
      <c r="AE941" s="31"/>
      <c r="AF941" s="31"/>
    </row>
    <row r="942" ht="15.75" hidden="1" customHeight="1">
      <c r="H942" s="81"/>
      <c r="N942" s="85"/>
      <c r="O942" s="85"/>
      <c r="P942" s="86"/>
      <c r="V942" s="31"/>
      <c r="W942" s="31"/>
      <c r="X942" s="31"/>
      <c r="AD942" s="31"/>
      <c r="AE942" s="31"/>
      <c r="AF942" s="31"/>
    </row>
    <row r="943" ht="15.75" hidden="1" customHeight="1">
      <c r="H943" s="81"/>
      <c r="N943" s="85"/>
      <c r="O943" s="85"/>
      <c r="P943" s="86"/>
      <c r="V943" s="31"/>
      <c r="W943" s="31"/>
      <c r="X943" s="31"/>
      <c r="AD943" s="31"/>
      <c r="AE943" s="31"/>
      <c r="AF943" s="31"/>
    </row>
    <row r="944" ht="15.75" hidden="1" customHeight="1">
      <c r="H944" s="81"/>
      <c r="N944" s="85"/>
      <c r="O944" s="85"/>
      <c r="P944" s="86"/>
      <c r="V944" s="31"/>
      <c r="W944" s="31"/>
      <c r="X944" s="31"/>
      <c r="AD944" s="31"/>
      <c r="AE944" s="31"/>
      <c r="AF944" s="31"/>
    </row>
    <row r="945" ht="15.75" hidden="1" customHeight="1">
      <c r="H945" s="81"/>
      <c r="N945" s="85"/>
      <c r="O945" s="85"/>
      <c r="P945" s="86"/>
      <c r="V945" s="31"/>
      <c r="W945" s="31"/>
      <c r="X945" s="31"/>
      <c r="AD945" s="31"/>
      <c r="AE945" s="31"/>
      <c r="AF945" s="31"/>
    </row>
    <row r="946" ht="15.75" hidden="1" customHeight="1">
      <c r="H946" s="81"/>
      <c r="N946" s="85"/>
      <c r="O946" s="85"/>
      <c r="P946" s="86"/>
      <c r="V946" s="31"/>
      <c r="W946" s="31"/>
      <c r="X946" s="31"/>
      <c r="AD946" s="31"/>
      <c r="AE946" s="31"/>
      <c r="AF946" s="31"/>
    </row>
    <row r="947" ht="15.75" hidden="1" customHeight="1">
      <c r="H947" s="81"/>
      <c r="N947" s="85"/>
      <c r="O947" s="85"/>
      <c r="P947" s="86"/>
      <c r="V947" s="31"/>
      <c r="W947" s="31"/>
      <c r="X947" s="31"/>
      <c r="AD947" s="31"/>
      <c r="AE947" s="31"/>
      <c r="AF947" s="31"/>
    </row>
    <row r="948" ht="15.75" hidden="1" customHeight="1">
      <c r="H948" s="81"/>
      <c r="N948" s="85"/>
      <c r="O948" s="85"/>
      <c r="P948" s="86"/>
      <c r="V948" s="31"/>
      <c r="W948" s="31"/>
      <c r="X948" s="31"/>
      <c r="AD948" s="31"/>
      <c r="AE948" s="31"/>
      <c r="AF948" s="31"/>
    </row>
    <row r="949" ht="15.75" hidden="1" customHeight="1">
      <c r="H949" s="81"/>
      <c r="N949" s="85"/>
      <c r="O949" s="85"/>
      <c r="P949" s="86"/>
      <c r="V949" s="31"/>
      <c r="W949" s="31"/>
      <c r="X949" s="31"/>
      <c r="AD949" s="31"/>
      <c r="AE949" s="31"/>
      <c r="AF949" s="31"/>
    </row>
    <row r="950" ht="15.75" hidden="1" customHeight="1">
      <c r="H950" s="81"/>
      <c r="N950" s="85"/>
      <c r="O950" s="85"/>
      <c r="P950" s="86"/>
      <c r="V950" s="31"/>
      <c r="W950" s="31"/>
      <c r="X950" s="31"/>
      <c r="AD950" s="31"/>
      <c r="AE950" s="31"/>
      <c r="AF950" s="31"/>
    </row>
    <row r="951" ht="15.75" hidden="1" customHeight="1">
      <c r="H951" s="81"/>
      <c r="N951" s="85"/>
      <c r="O951" s="85"/>
      <c r="P951" s="86"/>
      <c r="V951" s="31"/>
      <c r="W951" s="31"/>
      <c r="X951" s="31"/>
      <c r="AD951" s="31"/>
      <c r="AE951" s="31"/>
      <c r="AF951" s="31"/>
    </row>
    <row r="952" ht="15.75" hidden="1" customHeight="1">
      <c r="H952" s="81"/>
      <c r="N952" s="85"/>
      <c r="O952" s="85"/>
      <c r="P952" s="86"/>
      <c r="V952" s="31"/>
      <c r="W952" s="31"/>
      <c r="X952" s="31"/>
      <c r="AD952" s="31"/>
      <c r="AE952" s="31"/>
      <c r="AF952" s="31"/>
    </row>
    <row r="953" ht="15.75" hidden="1" customHeight="1">
      <c r="H953" s="81"/>
      <c r="N953" s="85"/>
      <c r="O953" s="85"/>
      <c r="P953" s="86"/>
      <c r="V953" s="31"/>
      <c r="W953" s="31"/>
      <c r="X953" s="31"/>
      <c r="AD953" s="31"/>
      <c r="AE953" s="31"/>
      <c r="AF953" s="31"/>
    </row>
    <row r="954" ht="15.75" hidden="1" customHeight="1">
      <c r="H954" s="81"/>
      <c r="N954" s="85"/>
      <c r="O954" s="85"/>
      <c r="P954" s="86"/>
      <c r="V954" s="31"/>
      <c r="W954" s="31"/>
      <c r="X954" s="31"/>
      <c r="AD954" s="31"/>
      <c r="AE954" s="31"/>
      <c r="AF954" s="31"/>
    </row>
    <row r="955" ht="15.75" hidden="1" customHeight="1">
      <c r="H955" s="81"/>
      <c r="N955" s="85"/>
      <c r="O955" s="85"/>
      <c r="P955" s="86"/>
      <c r="V955" s="31"/>
      <c r="W955" s="31"/>
      <c r="X955" s="31"/>
      <c r="AD955" s="31"/>
      <c r="AE955" s="31"/>
      <c r="AF955" s="31"/>
    </row>
    <row r="956" ht="15.75" hidden="1" customHeight="1">
      <c r="H956" s="81"/>
      <c r="N956" s="85"/>
      <c r="O956" s="85"/>
      <c r="P956" s="86"/>
      <c r="V956" s="31"/>
      <c r="W956" s="31"/>
      <c r="X956" s="31"/>
      <c r="AD956" s="31"/>
      <c r="AE956" s="31"/>
      <c r="AF956" s="31"/>
    </row>
    <row r="957" ht="15.75" hidden="1" customHeight="1">
      <c r="H957" s="81"/>
      <c r="N957" s="85"/>
      <c r="O957" s="85"/>
      <c r="P957" s="86"/>
      <c r="V957" s="31"/>
      <c r="W957" s="31"/>
      <c r="X957" s="31"/>
      <c r="AD957" s="31"/>
      <c r="AE957" s="31"/>
      <c r="AF957" s="31"/>
    </row>
    <row r="958" ht="15.75" hidden="1" customHeight="1">
      <c r="H958" s="81"/>
      <c r="N958" s="85"/>
      <c r="O958" s="85"/>
      <c r="P958" s="86"/>
      <c r="V958" s="31"/>
      <c r="W958" s="31"/>
      <c r="X958" s="31"/>
      <c r="AD958" s="31"/>
      <c r="AE958" s="31"/>
      <c r="AF958" s="31"/>
    </row>
    <row r="959" ht="15.75" hidden="1" customHeight="1">
      <c r="H959" s="81"/>
      <c r="N959" s="85"/>
      <c r="O959" s="85"/>
      <c r="P959" s="86"/>
      <c r="V959" s="31"/>
      <c r="W959" s="31"/>
      <c r="X959" s="31"/>
      <c r="AD959" s="31"/>
      <c r="AE959" s="31"/>
      <c r="AF959" s="31"/>
    </row>
    <row r="960" ht="15.75" hidden="1" customHeight="1">
      <c r="H960" s="81"/>
      <c r="N960" s="85"/>
      <c r="O960" s="85"/>
      <c r="P960" s="86"/>
      <c r="V960" s="31"/>
      <c r="W960" s="31"/>
      <c r="X960" s="31"/>
      <c r="AD960" s="31"/>
      <c r="AE960" s="31"/>
      <c r="AF960" s="31"/>
    </row>
    <row r="961" ht="15.75" hidden="1" customHeight="1">
      <c r="H961" s="81"/>
      <c r="N961" s="85"/>
      <c r="O961" s="85"/>
      <c r="P961" s="86"/>
      <c r="V961" s="31"/>
      <c r="W961" s="31"/>
      <c r="X961" s="31"/>
      <c r="AD961" s="31"/>
      <c r="AE961" s="31"/>
      <c r="AF961" s="31"/>
    </row>
    <row r="962" ht="15.75" hidden="1" customHeight="1">
      <c r="H962" s="81"/>
      <c r="N962" s="85"/>
      <c r="O962" s="85"/>
      <c r="P962" s="86"/>
      <c r="V962" s="31"/>
      <c r="W962" s="31"/>
      <c r="X962" s="31"/>
      <c r="AD962" s="31"/>
      <c r="AE962" s="31"/>
      <c r="AF962" s="31"/>
    </row>
    <row r="963" ht="15.75" hidden="1" customHeight="1">
      <c r="H963" s="81"/>
      <c r="N963" s="85"/>
      <c r="O963" s="85"/>
      <c r="P963" s="86"/>
      <c r="V963" s="31"/>
      <c r="W963" s="31"/>
      <c r="X963" s="31"/>
      <c r="AD963" s="31"/>
      <c r="AE963" s="31"/>
      <c r="AF963" s="31"/>
    </row>
    <row r="964" ht="15.75" hidden="1" customHeight="1">
      <c r="H964" s="81"/>
      <c r="N964" s="85"/>
      <c r="O964" s="85"/>
      <c r="P964" s="86"/>
      <c r="V964" s="31"/>
      <c r="W964" s="31"/>
      <c r="X964" s="31"/>
      <c r="AD964" s="31"/>
      <c r="AE964" s="31"/>
      <c r="AF964" s="31"/>
    </row>
    <row r="965" ht="15.75" hidden="1" customHeight="1">
      <c r="H965" s="81"/>
      <c r="N965" s="85"/>
      <c r="O965" s="85"/>
      <c r="P965" s="86"/>
      <c r="V965" s="31"/>
      <c r="W965" s="31"/>
      <c r="X965" s="31"/>
      <c r="AD965" s="31"/>
      <c r="AE965" s="31"/>
      <c r="AF965" s="31"/>
    </row>
    <row r="966" ht="15.75" hidden="1" customHeight="1">
      <c r="H966" s="81"/>
      <c r="N966" s="85"/>
      <c r="O966" s="85"/>
      <c r="P966" s="86"/>
      <c r="V966" s="31"/>
      <c r="W966" s="31"/>
      <c r="X966" s="31"/>
      <c r="AD966" s="31"/>
      <c r="AE966" s="31"/>
      <c r="AF966" s="31"/>
    </row>
    <row r="967" ht="15.75" hidden="1" customHeight="1">
      <c r="H967" s="81"/>
      <c r="N967" s="85"/>
      <c r="O967" s="85"/>
      <c r="P967" s="86"/>
      <c r="V967" s="31"/>
      <c r="W967" s="31"/>
      <c r="X967" s="31"/>
      <c r="AD967" s="31"/>
      <c r="AE967" s="31"/>
      <c r="AF967" s="31"/>
    </row>
    <row r="968" ht="15.75" hidden="1" customHeight="1">
      <c r="H968" s="81"/>
      <c r="N968" s="85"/>
      <c r="O968" s="85"/>
      <c r="P968" s="86"/>
      <c r="V968" s="31"/>
      <c r="W968" s="31"/>
      <c r="X968" s="31"/>
      <c r="AD968" s="31"/>
      <c r="AE968" s="31"/>
      <c r="AF968" s="31"/>
    </row>
    <row r="969" ht="15.75" hidden="1" customHeight="1">
      <c r="H969" s="81"/>
      <c r="N969" s="85"/>
      <c r="O969" s="85"/>
      <c r="P969" s="86"/>
      <c r="V969" s="31"/>
      <c r="W969" s="31"/>
      <c r="X969" s="31"/>
      <c r="AD969" s="31"/>
      <c r="AE969" s="31"/>
      <c r="AF969" s="31"/>
    </row>
    <row r="970" ht="15.75" hidden="1" customHeight="1">
      <c r="H970" s="81"/>
      <c r="N970" s="85"/>
      <c r="O970" s="85"/>
      <c r="P970" s="86"/>
      <c r="V970" s="31"/>
      <c r="W970" s="31"/>
      <c r="X970" s="31"/>
      <c r="AD970" s="31"/>
      <c r="AE970" s="31"/>
      <c r="AF970" s="31"/>
    </row>
    <row r="971" ht="15.75" hidden="1" customHeight="1">
      <c r="H971" s="81"/>
      <c r="N971" s="85"/>
      <c r="O971" s="85"/>
      <c r="P971" s="86"/>
      <c r="V971" s="31"/>
      <c r="W971" s="31"/>
      <c r="X971" s="31"/>
      <c r="AD971" s="31"/>
      <c r="AE971" s="31"/>
      <c r="AF971" s="31"/>
    </row>
    <row r="972" ht="15.75" hidden="1" customHeight="1">
      <c r="H972" s="81"/>
      <c r="N972" s="85"/>
      <c r="O972" s="85"/>
      <c r="P972" s="86"/>
      <c r="V972" s="31"/>
      <c r="W972" s="31"/>
      <c r="X972" s="31"/>
      <c r="AD972" s="31"/>
      <c r="AE972" s="31"/>
      <c r="AF972" s="31"/>
    </row>
    <row r="973" ht="15.75" hidden="1" customHeight="1">
      <c r="H973" s="81"/>
      <c r="N973" s="85"/>
      <c r="O973" s="85"/>
      <c r="P973" s="86"/>
      <c r="V973" s="31"/>
      <c r="W973" s="31"/>
      <c r="X973" s="31"/>
      <c r="AD973" s="31"/>
      <c r="AE973" s="31"/>
      <c r="AF973" s="31"/>
    </row>
    <row r="974" ht="15.75" hidden="1" customHeight="1">
      <c r="H974" s="81"/>
      <c r="N974" s="85"/>
      <c r="O974" s="85"/>
      <c r="P974" s="86"/>
      <c r="V974" s="31"/>
      <c r="W974" s="31"/>
      <c r="X974" s="31"/>
      <c r="AD974" s="31"/>
      <c r="AE974" s="31"/>
      <c r="AF974" s="31"/>
    </row>
    <row r="975" ht="15.75" hidden="1" customHeight="1">
      <c r="H975" s="81"/>
      <c r="N975" s="85"/>
      <c r="O975" s="85"/>
      <c r="P975" s="86"/>
      <c r="V975" s="31"/>
      <c r="W975" s="31"/>
      <c r="X975" s="31"/>
      <c r="AD975" s="31"/>
      <c r="AE975" s="31"/>
      <c r="AF975" s="31"/>
    </row>
    <row r="976" ht="15.75" hidden="1" customHeight="1">
      <c r="H976" s="81"/>
      <c r="N976" s="85"/>
      <c r="O976" s="85"/>
      <c r="P976" s="86"/>
      <c r="V976" s="31"/>
      <c r="W976" s="31"/>
      <c r="X976" s="31"/>
      <c r="AD976" s="31"/>
      <c r="AE976" s="31"/>
      <c r="AF976" s="31"/>
    </row>
    <row r="977" ht="15.75" hidden="1" customHeight="1">
      <c r="H977" s="81"/>
      <c r="N977" s="85"/>
      <c r="O977" s="85"/>
      <c r="P977" s="86"/>
      <c r="V977" s="31"/>
      <c r="W977" s="31"/>
      <c r="X977" s="31"/>
      <c r="AD977" s="31"/>
      <c r="AE977" s="31"/>
      <c r="AF977" s="31"/>
    </row>
    <row r="978" ht="15.75" hidden="1" customHeight="1">
      <c r="H978" s="81"/>
      <c r="N978" s="85"/>
      <c r="O978" s="85"/>
      <c r="P978" s="86"/>
      <c r="V978" s="31"/>
      <c r="W978" s="31"/>
      <c r="X978" s="31"/>
      <c r="AD978" s="31"/>
      <c r="AE978" s="31"/>
      <c r="AF978" s="31"/>
    </row>
    <row r="979" ht="15.75" hidden="1" customHeight="1">
      <c r="H979" s="81"/>
      <c r="N979" s="85"/>
      <c r="O979" s="85"/>
      <c r="P979" s="86"/>
      <c r="V979" s="31"/>
      <c r="W979" s="31"/>
      <c r="X979" s="31"/>
      <c r="AD979" s="31"/>
      <c r="AE979" s="31"/>
      <c r="AF979" s="31"/>
    </row>
    <row r="980" ht="15.75" hidden="1" customHeight="1">
      <c r="H980" s="81"/>
      <c r="N980" s="85"/>
      <c r="O980" s="85"/>
      <c r="P980" s="86"/>
      <c r="V980" s="31"/>
      <c r="W980" s="31"/>
      <c r="X980" s="31"/>
      <c r="AD980" s="31"/>
      <c r="AE980" s="31"/>
      <c r="AF980" s="31"/>
    </row>
    <row r="981" ht="15.75" hidden="1" customHeight="1">
      <c r="H981" s="81"/>
      <c r="N981" s="85"/>
      <c r="O981" s="85"/>
      <c r="P981" s="86"/>
      <c r="V981" s="31"/>
      <c r="W981" s="31"/>
      <c r="X981" s="31"/>
      <c r="AD981" s="31"/>
      <c r="AE981" s="31"/>
      <c r="AF981" s="31"/>
    </row>
    <row r="982" ht="15.75" hidden="1" customHeight="1">
      <c r="H982" s="81"/>
      <c r="N982" s="85"/>
      <c r="O982" s="85"/>
      <c r="P982" s="86"/>
      <c r="V982" s="31"/>
      <c r="W982" s="31"/>
      <c r="X982" s="31"/>
      <c r="AD982" s="31"/>
      <c r="AE982" s="31"/>
      <c r="AF982" s="31"/>
    </row>
    <row r="983" ht="15.75" hidden="1" customHeight="1">
      <c r="H983" s="81"/>
      <c r="N983" s="85"/>
      <c r="O983" s="85"/>
      <c r="P983" s="86"/>
      <c r="V983" s="31"/>
      <c r="W983" s="31"/>
      <c r="X983" s="31"/>
      <c r="AD983" s="31"/>
      <c r="AE983" s="31"/>
      <c r="AF983" s="31"/>
    </row>
    <row r="984" ht="15.75" hidden="1" customHeight="1">
      <c r="H984" s="81"/>
      <c r="N984" s="85"/>
      <c r="O984" s="85"/>
      <c r="P984" s="86"/>
      <c r="V984" s="31"/>
      <c r="W984" s="31"/>
      <c r="X984" s="31"/>
      <c r="AD984" s="31"/>
      <c r="AE984" s="31"/>
      <c r="AF984" s="31"/>
    </row>
    <row r="985" ht="15.75" hidden="1" customHeight="1">
      <c r="H985" s="81"/>
      <c r="N985" s="85"/>
      <c r="O985" s="85"/>
      <c r="P985" s="86"/>
      <c r="V985" s="31"/>
      <c r="W985" s="31"/>
      <c r="X985" s="31"/>
      <c r="AD985" s="31"/>
      <c r="AE985" s="31"/>
      <c r="AF985" s="31"/>
    </row>
    <row r="986" ht="15.75" hidden="1" customHeight="1">
      <c r="H986" s="81"/>
      <c r="N986" s="85"/>
      <c r="O986" s="85"/>
      <c r="P986" s="86"/>
      <c r="V986" s="31"/>
      <c r="W986" s="31"/>
      <c r="X986" s="31"/>
      <c r="AD986" s="31"/>
      <c r="AE986" s="31"/>
      <c r="AF986" s="31"/>
    </row>
    <row r="987" ht="15.75" hidden="1" customHeight="1">
      <c r="H987" s="81"/>
      <c r="N987" s="85"/>
      <c r="O987" s="85"/>
      <c r="P987" s="86"/>
      <c r="V987" s="31"/>
      <c r="W987" s="31"/>
      <c r="X987" s="31"/>
      <c r="AD987" s="31"/>
      <c r="AE987" s="31"/>
      <c r="AF987" s="31"/>
    </row>
    <row r="988" ht="15.75" hidden="1" customHeight="1">
      <c r="H988" s="81"/>
      <c r="N988" s="85"/>
      <c r="O988" s="85"/>
      <c r="P988" s="86"/>
      <c r="V988" s="31"/>
      <c r="W988" s="31"/>
      <c r="X988" s="31"/>
      <c r="AD988" s="31"/>
      <c r="AE988" s="31"/>
      <c r="AF988" s="31"/>
    </row>
    <row r="989" ht="15.75" hidden="1" customHeight="1">
      <c r="H989" s="81"/>
      <c r="N989" s="85"/>
      <c r="O989" s="85"/>
      <c r="P989" s="86"/>
      <c r="V989" s="31"/>
      <c r="W989" s="31"/>
      <c r="X989" s="31"/>
      <c r="AD989" s="31"/>
      <c r="AE989" s="31"/>
      <c r="AF989" s="31"/>
    </row>
    <row r="990" ht="15.75" hidden="1" customHeight="1">
      <c r="H990" s="81"/>
      <c r="N990" s="85"/>
      <c r="O990" s="85"/>
      <c r="P990" s="86"/>
      <c r="V990" s="31"/>
      <c r="W990" s="31"/>
      <c r="X990" s="31"/>
      <c r="AD990" s="31"/>
      <c r="AE990" s="31"/>
      <c r="AF990" s="31"/>
    </row>
    <row r="991" ht="15.75" hidden="1" customHeight="1">
      <c r="H991" s="81"/>
      <c r="N991" s="85"/>
      <c r="O991" s="85"/>
      <c r="P991" s="86"/>
      <c r="V991" s="31"/>
      <c r="W991" s="31"/>
      <c r="X991" s="31"/>
      <c r="AD991" s="31"/>
      <c r="AE991" s="31"/>
      <c r="AF991" s="31"/>
    </row>
    <row r="992" ht="15.75" hidden="1" customHeight="1">
      <c r="H992" s="81"/>
      <c r="N992" s="85"/>
      <c r="O992" s="85"/>
      <c r="P992" s="86"/>
      <c r="V992" s="31"/>
      <c r="W992" s="31"/>
      <c r="X992" s="31"/>
      <c r="AD992" s="31"/>
      <c r="AE992" s="31"/>
      <c r="AF992" s="31"/>
    </row>
    <row r="993" ht="15.75" hidden="1" customHeight="1">
      <c r="H993" s="81"/>
      <c r="N993" s="85"/>
      <c r="O993" s="85"/>
      <c r="P993" s="86"/>
      <c r="V993" s="31"/>
      <c r="W993" s="31"/>
      <c r="X993" s="31"/>
      <c r="AD993" s="31"/>
      <c r="AE993" s="31"/>
      <c r="AF993" s="31"/>
    </row>
    <row r="994" ht="15.75" hidden="1" customHeight="1">
      <c r="H994" s="81"/>
      <c r="N994" s="85"/>
      <c r="O994" s="85"/>
      <c r="P994" s="86"/>
      <c r="V994" s="31"/>
      <c r="W994" s="31"/>
      <c r="X994" s="31"/>
      <c r="AD994" s="31"/>
      <c r="AE994" s="31"/>
      <c r="AF994" s="31"/>
    </row>
    <row r="995" ht="15.75" hidden="1" customHeight="1">
      <c r="H995" s="81"/>
      <c r="N995" s="85"/>
      <c r="O995" s="85"/>
      <c r="P995" s="86"/>
      <c r="V995" s="31"/>
      <c r="W995" s="31"/>
      <c r="X995" s="31"/>
      <c r="AD995" s="31"/>
      <c r="AE995" s="31"/>
      <c r="AF995" s="31"/>
    </row>
    <row r="996" ht="15.75" hidden="1" customHeight="1">
      <c r="H996" s="81"/>
      <c r="N996" s="85"/>
      <c r="O996" s="85"/>
      <c r="P996" s="86"/>
      <c r="V996" s="31"/>
      <c r="W996" s="31"/>
      <c r="X996" s="31"/>
      <c r="AD996" s="31"/>
      <c r="AE996" s="31"/>
      <c r="AF996" s="31"/>
    </row>
    <row r="997" ht="15.75" hidden="1" customHeight="1">
      <c r="H997" s="81"/>
      <c r="N997" s="85"/>
      <c r="O997" s="85"/>
      <c r="P997" s="86"/>
      <c r="V997" s="31"/>
      <c r="W997" s="31"/>
      <c r="X997" s="31"/>
      <c r="AD997" s="31"/>
      <c r="AE997" s="31"/>
      <c r="AF997" s="31"/>
    </row>
    <row r="998" ht="15.75" hidden="1" customHeight="1">
      <c r="H998" s="81"/>
      <c r="N998" s="85"/>
      <c r="O998" s="85"/>
      <c r="P998" s="86"/>
      <c r="V998" s="31"/>
      <c r="W998" s="31"/>
      <c r="X998" s="31"/>
      <c r="AD998" s="31"/>
      <c r="AE998" s="31"/>
      <c r="AF998" s="31"/>
    </row>
    <row r="999" ht="15.75" hidden="1" customHeight="1">
      <c r="H999" s="81"/>
      <c r="N999" s="85"/>
      <c r="O999" s="85"/>
      <c r="P999" s="86"/>
      <c r="V999" s="31"/>
      <c r="W999" s="31"/>
      <c r="X999" s="31"/>
      <c r="AD999" s="31"/>
      <c r="AE999" s="31"/>
      <c r="AF999" s="31"/>
    </row>
    <row r="1000" ht="15.75" hidden="1" customHeight="1">
      <c r="H1000" s="81"/>
      <c r="N1000" s="85"/>
      <c r="O1000" s="85"/>
      <c r="P1000" s="86"/>
      <c r="V1000" s="31"/>
      <c r="W1000" s="31"/>
      <c r="X1000" s="31"/>
      <c r="AD1000" s="31"/>
      <c r="AE1000" s="31"/>
      <c r="AF1000" s="31"/>
    </row>
  </sheetData>
  <mergeCells count="10">
    <mergeCell ref="Q2:X2"/>
    <mergeCell ref="Y2:AF2"/>
    <mergeCell ref="A1:H1"/>
    <mergeCell ref="I1:P1"/>
    <mergeCell ref="Q1:X1"/>
    <mergeCell ref="Y1:AF1"/>
    <mergeCell ref="AG1:AN1"/>
    <mergeCell ref="A2:H2"/>
    <mergeCell ref="I2:P2"/>
    <mergeCell ref="AG2:AN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22.25"/>
    <col customWidth="1" min="3" max="3" width="14.13"/>
    <col customWidth="1" min="4" max="4" width="22.5"/>
    <col customWidth="1" min="5" max="5" width="23.25"/>
    <col customWidth="1" min="6" max="6" width="20.13"/>
    <col customWidth="1" min="7" max="7" width="26.13"/>
    <col customWidth="1" min="8" max="8" width="34.5"/>
  </cols>
  <sheetData>
    <row r="1" ht="22.5" customHeight="1">
      <c r="A1" s="90" t="s">
        <v>25</v>
      </c>
      <c r="B1" s="90" t="s">
        <v>26</v>
      </c>
      <c r="C1" s="90" t="s">
        <v>16</v>
      </c>
    </row>
    <row r="2" ht="22.5" customHeight="1">
      <c r="A2" s="91">
        <f>IFERROR(__xludf.DUMMYFUNCTION("QUERY(
 UNIQUE({'Raw Data'!I:I, 'Raw Data'!B:B, 'Raw Data'!C:C}),
 ""SELECT Col1,Col2,COUNT(Col3)
  WHERE Col1 IS NOT NULL
  GROUP BY Col1,Col2
  ORDER BY Col1 DESC
  LABEL Col1 '', Col2 '', COUNT(Col3) ''"",
 0
)"),7.0)</f>
        <v>7</v>
      </c>
      <c r="B2" s="92">
        <f>IFERROR(__xludf.DUMMYFUNCTION("""COMPUTED_VALUE"""),46186.0)</f>
        <v>46186</v>
      </c>
      <c r="C2" s="91">
        <f>IFERROR(__xludf.DUMMYFUNCTION("""COMPUTED_VALUE"""),14.0)</f>
        <v>14</v>
      </c>
      <c r="E2" s="93" t="s">
        <v>27</v>
      </c>
      <c r="G2" s="94" t="s">
        <v>28</v>
      </c>
      <c r="H2" s="95"/>
    </row>
    <row r="3" ht="22.5" customHeight="1">
      <c r="A3" s="91">
        <f>IFERROR(__xludf.DUMMYFUNCTION("""COMPUTED_VALUE"""),6.0)</f>
        <v>6</v>
      </c>
      <c r="B3" s="92">
        <f>IFERROR(__xludf.DUMMYFUNCTION("""COMPUTED_VALUE"""),46179.0)</f>
        <v>46179</v>
      </c>
      <c r="C3" s="91">
        <f>IFERROR(__xludf.DUMMYFUNCTION("""COMPUTED_VALUE"""),11.0)</f>
        <v>11</v>
      </c>
      <c r="E3" s="96">
        <f>IFERROR(__xludf.DUMMYFUNCTION("ROWS(
 UNIQUE(
  FILTER(
   {'Raw Data'!I:I, 'Raw Data'!C:C},
   'Raw Data'!B:B&gt;=DATE(YEAR(TODAY()),MONTH(TODAY()),1)
  )
 )
)"),1.0)</f>
        <v>1</v>
      </c>
      <c r="G3" s="97">
        <f>IFERROR(__xludf.DUMMYFUNCTION("COUNTUNIQUE(
 FILTER(
  'Raw Data'!C:C,
  'Raw Data'!B:B&gt;=DATE(YEAR(TODAY()),MONTH(TODAY()),1)
 )
)"),1.0)</f>
        <v>1</v>
      </c>
    </row>
    <row r="4" ht="22.5" customHeight="1">
      <c r="A4" s="91">
        <f>IFERROR(__xludf.DUMMYFUNCTION("""COMPUTED_VALUE"""),5.0)</f>
        <v>5</v>
      </c>
      <c r="B4" s="92">
        <f>IFERROR(__xludf.DUMMYFUNCTION("""COMPUTED_VALUE"""),46172.0)</f>
        <v>46172</v>
      </c>
      <c r="C4" s="91">
        <f>IFERROR(__xludf.DUMMYFUNCTION("""COMPUTED_VALUE"""),11.0)</f>
        <v>11</v>
      </c>
      <c r="E4" s="93" t="s">
        <v>29</v>
      </c>
      <c r="G4" s="94" t="s">
        <v>30</v>
      </c>
      <c r="H4" s="95"/>
    </row>
    <row r="5" ht="22.5" customHeight="1">
      <c r="A5" s="91">
        <f>IFERROR(__xludf.DUMMYFUNCTION("""COMPUTED_VALUE"""),4.0)</f>
        <v>4</v>
      </c>
      <c r="B5" s="92">
        <f>IFERROR(__xludf.DUMMYFUNCTION("""COMPUTED_VALUE"""),46165.0)</f>
        <v>46165</v>
      </c>
      <c r="C5" s="91">
        <f>IFERROR(__xludf.DUMMYFUNCTION("""COMPUTED_VALUE"""),19.0)</f>
        <v>19</v>
      </c>
      <c r="E5" s="96">
        <f>SUM(C:C)</f>
        <v>107</v>
      </c>
      <c r="G5" s="97">
        <f>IFERROR(__xludf.DUMMYFUNCTION("COUNTUNIQUE('Raw Data'!C:C)"),34.0)</f>
        <v>34</v>
      </c>
    </row>
    <row r="6" ht="22.5" customHeight="1">
      <c r="A6" s="91">
        <f>IFERROR(__xludf.DUMMYFUNCTION("""COMPUTED_VALUE"""),3.0)</f>
        <v>3</v>
      </c>
      <c r="B6" s="92">
        <f>IFERROR(__xludf.DUMMYFUNCTION("""COMPUTED_VALUE"""),46158.0)</f>
        <v>46158</v>
      </c>
      <c r="C6" s="91">
        <f>IFERROR(__xludf.DUMMYFUNCTION("""COMPUTED_VALUE"""),16.0)</f>
        <v>16</v>
      </c>
      <c r="E6" s="93" t="s">
        <v>31</v>
      </c>
    </row>
    <row r="7" ht="22.5" customHeight="1">
      <c r="A7" s="91">
        <f>IFERROR(__xludf.DUMMYFUNCTION("""COMPUTED_VALUE"""),2.0)</f>
        <v>2</v>
      </c>
      <c r="B7" s="92">
        <f>IFERROR(__xludf.DUMMYFUNCTION("""COMPUTED_VALUE"""),46151.0)</f>
        <v>46151</v>
      </c>
      <c r="C7" s="91">
        <f>IFERROR(__xludf.DUMMYFUNCTION("""COMPUTED_VALUE"""),21.0)</f>
        <v>21</v>
      </c>
      <c r="E7" s="96" t="str">
        <f>IFERROR(__xludf.DUMMYFUNCTION("MAX(
 FILTER(
  C:C,
  MONTH(B:B)=MONTH(TODAY()),
  YEAR(B:B)=YEAR(TODAY())
 )
)"),"#N/A")</f>
        <v>#N/A</v>
      </c>
    </row>
    <row r="8" ht="22.5" customHeight="1">
      <c r="A8" s="91">
        <f>IFERROR(__xludf.DUMMYFUNCTION("""COMPUTED_VALUE"""),1.0)</f>
        <v>1</v>
      </c>
      <c r="B8" s="92">
        <f>IFERROR(__xludf.DUMMYFUNCTION("""COMPUTED_VALUE"""),46144.0)</f>
        <v>46144</v>
      </c>
      <c r="C8" s="91">
        <f>IFERROR(__xludf.DUMMYFUNCTION("""COMPUTED_VALUE"""),15.0)</f>
        <v>15</v>
      </c>
      <c r="E8" s="93" t="s">
        <v>32</v>
      </c>
    </row>
    <row r="9" ht="22.5" customHeight="1">
      <c r="E9" s="96">
        <f>MAX(C:C)</f>
        <v>21</v>
      </c>
    </row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</sheetData>
  <mergeCells count="2">
    <mergeCell ref="G2:H2"/>
    <mergeCell ref="G4:H4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9.88"/>
    <col customWidth="1" min="3" max="3" width="9.63"/>
    <col customWidth="1" min="4" max="4" width="14.63"/>
    <col customWidth="1" min="5" max="5" width="9.88"/>
    <col customWidth="1" min="6" max="6" width="20.0"/>
    <col customWidth="1" min="7" max="7" width="11.63"/>
    <col customWidth="1" min="8" max="8" width="10.13"/>
    <col customWidth="1" min="9" max="9" width="17.13"/>
    <col customWidth="1" min="10" max="10" width="15.5"/>
    <col customWidth="1" min="11" max="11" width="6.75"/>
    <col customWidth="1" min="12" max="12" width="17.88"/>
    <col customWidth="1" min="13" max="13" width="16.13"/>
    <col customWidth="1" min="14" max="14" width="19.88"/>
    <col customWidth="1" min="15" max="15" width="23.75"/>
    <col customWidth="1" min="16" max="16" width="5.75"/>
    <col customWidth="1" min="17" max="17" width="8.75"/>
    <col customWidth="1" min="18" max="18" width="7.88"/>
    <col customWidth="1" min="19" max="19" width="10.25"/>
    <col customWidth="1" min="20" max="20" width="12.88"/>
    <col customWidth="1" min="21" max="21" width="16.13"/>
    <col customWidth="1" min="22" max="23" width="7.63"/>
    <col customWidth="1" min="24" max="24" width="21.25"/>
    <col customWidth="1" min="25" max="25" width="7.63"/>
    <col customWidth="1" min="26" max="26" width="9.63"/>
    <col customWidth="1" min="27" max="27" width="11.13"/>
    <col customWidth="1" min="28" max="28" width="17.25"/>
    <col customWidth="1" min="29" max="34" width="5.0"/>
  </cols>
  <sheetData>
    <row r="2" ht="65.25" customHeight="1">
      <c r="A2" s="98" t="s">
        <v>33</v>
      </c>
      <c r="B2" s="99"/>
      <c r="C2" s="100"/>
      <c r="D2" s="101" t="str">
        <f>IFERROR(__xludf.DUMMYFUNCTION("IF(A3="""","""",IMAGE(QUERY('Player Refs'!A:B,""SELECT B WHERE A = '""&amp;A3&amp;""' AND A = '""&amp;A3&amp;""'"")))"),"")</f>
        <v/>
      </c>
      <c r="E2" s="99"/>
      <c r="F2" s="99"/>
      <c r="G2" s="99"/>
      <c r="H2" s="100"/>
    </row>
    <row r="3" ht="40.5" customHeight="1">
      <c r="A3" s="102" t="s">
        <v>34</v>
      </c>
      <c r="B3" s="103"/>
      <c r="C3" s="95"/>
      <c r="D3" s="104"/>
      <c r="H3" s="105"/>
    </row>
    <row r="4" ht="18.75" customHeight="1">
      <c r="A4" s="106"/>
      <c r="D4" s="104"/>
      <c r="H4" s="105"/>
    </row>
    <row r="5" ht="18.75" customHeight="1">
      <c r="A5" s="106"/>
      <c r="D5" s="104"/>
      <c r="H5" s="105"/>
    </row>
    <row r="6" ht="18.75" customHeight="1">
      <c r="A6" s="106"/>
      <c r="D6" s="104"/>
      <c r="H6" s="105"/>
    </row>
    <row r="7" ht="18.75" customHeight="1">
      <c r="A7" s="106"/>
      <c r="D7" s="104"/>
      <c r="H7" s="105"/>
    </row>
    <row r="8" ht="18.75" customHeight="1">
      <c r="A8" s="106"/>
      <c r="D8" s="104"/>
      <c r="H8" s="105"/>
    </row>
    <row r="9" ht="18.75" customHeight="1">
      <c r="A9" s="106"/>
      <c r="D9" s="104"/>
      <c r="H9" s="105"/>
    </row>
    <row r="10" ht="18.75" customHeight="1">
      <c r="A10" s="106"/>
      <c r="D10" s="104"/>
      <c r="H10" s="105"/>
    </row>
    <row r="11" ht="18.75" customHeight="1">
      <c r="A11" s="106"/>
      <c r="D11" s="104"/>
      <c r="H11" s="105"/>
    </row>
    <row r="12" ht="18.75" customHeight="1">
      <c r="A12" s="106"/>
      <c r="D12" s="107"/>
      <c r="E12" s="108"/>
      <c r="F12" s="108"/>
      <c r="G12" s="108"/>
      <c r="H12" s="109"/>
    </row>
    <row r="14" ht="18.75" customHeight="1">
      <c r="A14" s="110" t="s">
        <v>35</v>
      </c>
      <c r="B14" s="103"/>
      <c r="C14" s="103"/>
      <c r="D14" s="103"/>
      <c r="E14" s="103"/>
      <c r="F14" s="103"/>
      <c r="G14" s="103"/>
      <c r="H14" s="103"/>
      <c r="I14" s="103"/>
      <c r="J14" s="95"/>
      <c r="K14" s="111"/>
      <c r="L14" s="110" t="s">
        <v>36</v>
      </c>
      <c r="M14" s="103"/>
      <c r="N14" s="103"/>
      <c r="O14" s="95"/>
      <c r="P14" s="111"/>
      <c r="Q14" s="110" t="s">
        <v>37</v>
      </c>
      <c r="R14" s="103"/>
      <c r="S14" s="103"/>
      <c r="T14" s="103"/>
      <c r="U14" s="95"/>
      <c r="V14" s="111"/>
      <c r="W14" s="110" t="s">
        <v>38</v>
      </c>
      <c r="X14" s="103"/>
      <c r="Y14" s="103"/>
      <c r="Z14" s="103"/>
      <c r="AA14" s="103"/>
      <c r="AB14" s="95"/>
      <c r="AC14" s="112"/>
      <c r="AD14" s="113"/>
      <c r="AE14" s="113"/>
      <c r="AF14" s="113"/>
      <c r="AG14" s="113"/>
      <c r="AH14" s="113"/>
    </row>
    <row r="15" ht="18.75" customHeight="1">
      <c r="A15" s="114" t="s">
        <v>39</v>
      </c>
      <c r="B15" s="115" t="s">
        <v>26</v>
      </c>
      <c r="C15" s="115" t="s">
        <v>40</v>
      </c>
      <c r="D15" s="115" t="s">
        <v>12</v>
      </c>
      <c r="E15" s="115" t="s">
        <v>4</v>
      </c>
      <c r="F15" s="115" t="s">
        <v>41</v>
      </c>
      <c r="G15" s="115" t="s">
        <v>42</v>
      </c>
      <c r="H15" s="115" t="s">
        <v>4</v>
      </c>
      <c r="I15" s="115" t="s">
        <v>41</v>
      </c>
      <c r="J15" s="116" t="s">
        <v>43</v>
      </c>
      <c r="K15" s="111"/>
      <c r="L15" s="117" t="s">
        <v>44</v>
      </c>
      <c r="M15" s="117" t="s">
        <v>45</v>
      </c>
      <c r="N15" s="117" t="s">
        <v>46</v>
      </c>
      <c r="O15" s="117" t="s">
        <v>47</v>
      </c>
      <c r="P15" s="111"/>
      <c r="Q15" s="118" t="str">
        <f>IFERROR(__xludf.DUMMYFUNCTION("QUERY(
 'Raw Data'!C:G,
 ""SELECT
   Col2,
   SUM(Col4),
   SUM(Col5),
   SUM(Col4)+SUM(Col5)
  WHERE Col1 = '""&amp;A3&amp;""'
  GROUP BY Col2
  LABEL
   Col2 'Set',
   SUM(Col4) 'Wins',
   SUM(Col5) 'Losses',
   SUM(Col4)+SUM(Col5) 'Partidas'"",
 1
)"),"Set")</f>
        <v>Set</v>
      </c>
      <c r="R15" s="118" t="str">
        <f>IFERROR(__xludf.DUMMYFUNCTION("""COMPUTED_VALUE"""),"Wins")</f>
        <v>Wins</v>
      </c>
      <c r="S15" s="118" t="str">
        <f>IFERROR(__xludf.DUMMYFUNCTION("""COMPUTED_VALUE"""),"Losses")</f>
        <v>Losses</v>
      </c>
      <c r="T15" s="118" t="str">
        <f>IFERROR(__xludf.DUMMYFUNCTION("""COMPUTED_VALUE"""),"Partidas")</f>
        <v>Partidas</v>
      </c>
      <c r="U15" s="117" t="s">
        <v>48</v>
      </c>
      <c r="V15" s="111"/>
      <c r="W15" s="118" t="str">
        <f>IFERROR(__xludf.DUMMYFUNCTION("QUERY(
 'Raw Data'!C:G,
 ""SELECT
   Col2,
   Col3,
   SUM(Col4),
   SUM(Col5),
   SUM(Col4)+SUM(Col5)
  WHERE Col1 = '""&amp;A3&amp;""'
  GROUP BY Col2,Col3
  LABEL
   Col2 'Set',
   Col3 'Deck',
   SUM(Col4) 'Wins',
   SUM(Col5) 'Losses',
   SUM(Col4)+SUM(Col5)"&amp;" 'Partidas'"",
 1
)"),"Set")</f>
        <v>Set</v>
      </c>
      <c r="X15" s="118" t="str">
        <f>IFERROR(__xludf.DUMMYFUNCTION("""COMPUTED_VALUE"""),"Deck")</f>
        <v>Deck</v>
      </c>
      <c r="Y15" s="118" t="str">
        <f>IFERROR(__xludf.DUMMYFUNCTION("""COMPUTED_VALUE"""),"Wins")</f>
        <v>Wins</v>
      </c>
      <c r="Z15" s="118" t="str">
        <f>IFERROR(__xludf.DUMMYFUNCTION("""COMPUTED_VALUE"""),"Losses")</f>
        <v>Losses</v>
      </c>
      <c r="AA15" s="118" t="str">
        <f>IFERROR(__xludf.DUMMYFUNCTION("""COMPUTED_VALUE"""),"Partidas")</f>
        <v>Partidas</v>
      </c>
      <c r="AB15" s="117" t="s">
        <v>48</v>
      </c>
      <c r="AC15" s="119"/>
    </row>
    <row r="16" ht="18.75" customHeight="1">
      <c r="A16" s="97">
        <f>IFERROR(__xludf.DUMMYFUNCTION("SORT(
 FILTER(
   'RAW RESULTS'!A:J,
   'RAW RESULTS'!D:D=$A$3
 ),
 2,
 FALSE
)"),6.0)</f>
        <v>6</v>
      </c>
      <c r="B16" s="120">
        <f>IFERROR(__xludf.DUMMYFUNCTION("""COMPUTED_VALUE"""),46179.0)</f>
        <v>46179</v>
      </c>
      <c r="C16" s="97">
        <f>IFERROR(__xludf.DUMMYFUNCTION("""COMPUTED_VALUE"""),1.0)</f>
        <v>1</v>
      </c>
      <c r="D16" s="97" t="str">
        <f>IFERROR(__xludf.DUMMYFUNCTION("""COMPUTED_VALUE"""),"Mualco")</f>
        <v>Mualco</v>
      </c>
      <c r="E16" s="97" t="str">
        <f>IFERROR(__xludf.DUMMYFUNCTION("""COMPUTED_VALUE"""),"Fxx")</f>
        <v>Fxx</v>
      </c>
      <c r="F16" s="97" t="str">
        <f>IFERROR(__xludf.DUMMYFUNCTION("""COMPUTED_VALUE"""),"8 Standby")</f>
        <v>8 Standby</v>
      </c>
      <c r="G16" s="97"/>
      <c r="H16" s="97" t="str">
        <f>IFERROR(__xludf.DUMMYFUNCTION("""COMPUTED_VALUE"""),"MKI")</f>
        <v>MKI</v>
      </c>
      <c r="I16" s="97" t="str">
        <f>IFERROR(__xludf.DUMMYFUNCTION("""COMPUTED_VALUE"""),"Standby Pants")</f>
        <v>Standby Pants</v>
      </c>
      <c r="J16" s="97" t="str">
        <f>IFERROR(__xludf.DUMMYFUNCTION("""COMPUTED_VALUE"""),"W")</f>
        <v>W</v>
      </c>
      <c r="K16" s="111"/>
      <c r="L16" s="121">
        <f>SUMIF('Raw Data'!C:C,A3,'Raw Data'!F:F)
+
SUMIF('Raw Data'!C:C,A3,'Raw Data'!G:G)</f>
        <v>22</v>
      </c>
      <c r="M16" s="121">
        <f>SUMIF('Raw Data'!C:C,A3,'Raw Data'!F:F)</f>
        <v>10</v>
      </c>
      <c r="N16" s="121">
        <f>SUMIF('Raw Data'!C:C,A3,'Raw Data'!G:G)</f>
        <v>12</v>
      </c>
      <c r="O16" s="122">
        <f>IFERROR(
 SUMIF('Raw Data'!C:C,A3,'Raw Data'!F:F)
 /
 (
  SUMIF('Raw Data'!C:C,A3,'Raw Data'!F:F)
  +
  SUMIF('Raw Data'!C:C,A3,'Raw Data'!G:G)
 ),
 0
)</f>
        <v>0.4545454545</v>
      </c>
      <c r="P16" s="111"/>
      <c r="Q16" s="97" t="str">
        <f>IFERROR(__xludf.DUMMYFUNCTION("""COMPUTED_VALUE"""),"?")</f>
        <v>?</v>
      </c>
      <c r="R16" s="97">
        <f>IFERROR(__xludf.DUMMYFUNCTION("""COMPUTED_VALUE"""),3.0)</f>
        <v>3</v>
      </c>
      <c r="S16" s="97">
        <f>IFERROR(__xludf.DUMMYFUNCTION("""COMPUTED_VALUE"""),2.0)</f>
        <v>2</v>
      </c>
      <c r="T16" s="97">
        <f>IFERROR(__xludf.DUMMYFUNCTION("""COMPUTED_VALUE"""),5.0)</f>
        <v>5</v>
      </c>
      <c r="U16" s="123">
        <f t="shared" ref="U16:U41" si="1">IFERROR(
R16/(R16+S16),
 0
)</f>
        <v>0.6</v>
      </c>
      <c r="V16" s="111"/>
      <c r="W16" s="97" t="str">
        <f>IFERROR(__xludf.DUMMYFUNCTION("""COMPUTED_VALUE"""),"?")</f>
        <v>?</v>
      </c>
      <c r="X16" s="97" t="str">
        <f>IFERROR(__xludf.DUMMYFUNCTION("""COMPUTED_VALUE"""),"?")</f>
        <v>?</v>
      </c>
      <c r="Y16" s="97">
        <f>IFERROR(__xludf.DUMMYFUNCTION("""COMPUTED_VALUE"""),3.0)</f>
        <v>3</v>
      </c>
      <c r="Z16" s="97">
        <f>IFERROR(__xludf.DUMMYFUNCTION("""COMPUTED_VALUE"""),2.0)</f>
        <v>2</v>
      </c>
      <c r="AA16" s="97">
        <f>IFERROR(__xludf.DUMMYFUNCTION("""COMPUTED_VALUE"""),5.0)</f>
        <v>5</v>
      </c>
      <c r="AB16" s="123">
        <f t="shared" ref="AB16:AB42" si="2">IFERROR(
Y16/(Y16+Z16),
 0
)</f>
        <v>0.6</v>
      </c>
      <c r="AC16" s="119"/>
    </row>
    <row r="17" ht="18.75" customHeight="1">
      <c r="A17" s="97">
        <f>IFERROR(__xludf.DUMMYFUNCTION("""COMPUTED_VALUE"""),6.0)</f>
        <v>6</v>
      </c>
      <c r="B17" s="120">
        <f>IFERROR(__xludf.DUMMYFUNCTION("""COMPUTED_VALUE"""),46179.0)</f>
        <v>46179</v>
      </c>
      <c r="C17" s="97">
        <f>IFERROR(__xludf.DUMMYFUNCTION("""COMPUTED_VALUE"""),2.0)</f>
        <v>2</v>
      </c>
      <c r="D17" s="97" t="str">
        <f>IFERROR(__xludf.DUMMYFUNCTION("""COMPUTED_VALUE"""),"Mualco")</f>
        <v>Mualco</v>
      </c>
      <c r="E17" s="97" t="str">
        <f>IFERROR(__xludf.DUMMYFUNCTION("""COMPUTED_VALUE"""),"Fxx")</f>
        <v>Fxx</v>
      </c>
      <c r="F17" s="97" t="str">
        <f>IFERROR(__xludf.DUMMYFUNCTION("""COMPUTED_VALUE"""),"8 Standby")</f>
        <v>8 Standby</v>
      </c>
      <c r="G17" s="97" t="str">
        <f>IFERROR(__xludf.DUMMYFUNCTION("""COMPUTED_VALUE"""),"Kartoffel")</f>
        <v>Kartoffel</v>
      </c>
      <c r="H17" s="97" t="str">
        <f>IFERROR(__xludf.DUMMYFUNCTION("""COMPUTED_VALUE"""),"CSM")</f>
        <v>CSM</v>
      </c>
      <c r="I17" s="97" t="str">
        <f>IFERROR(__xludf.DUMMYFUNCTION("""COMPUTED_VALUE"""),"StockSoul Bar")</f>
        <v>StockSoul Bar</v>
      </c>
      <c r="J17" s="97" t="str">
        <f>IFERROR(__xludf.DUMMYFUNCTION("""COMPUTED_VALUE"""),"L")</f>
        <v>L</v>
      </c>
      <c r="K17" s="111"/>
      <c r="P17" s="111"/>
      <c r="Q17" s="97" t="str">
        <f>IFERROR(__xludf.DUMMYFUNCTION("""COMPUTED_VALUE"""),"BTR")</f>
        <v>BTR</v>
      </c>
      <c r="R17" s="97">
        <f>IFERROR(__xludf.DUMMYFUNCTION("""COMPUTED_VALUE"""),1.0)</f>
        <v>1</v>
      </c>
      <c r="S17" s="97">
        <f>IFERROR(__xludf.DUMMYFUNCTION("""COMPUTED_VALUE"""),3.0)</f>
        <v>3</v>
      </c>
      <c r="T17" s="97">
        <f>IFERROR(__xludf.DUMMYFUNCTION("""COMPUTED_VALUE"""),4.0)</f>
        <v>4</v>
      </c>
      <c r="U17" s="123">
        <f t="shared" si="1"/>
        <v>0.25</v>
      </c>
      <c r="V17" s="111"/>
      <c r="W17" s="97" t="str">
        <f>IFERROR(__xludf.DUMMYFUNCTION("""COMPUTED_VALUE"""),"BTR")</f>
        <v>BTR</v>
      </c>
      <c r="X17" s="97" t="str">
        <f>IFERROR(__xludf.DUMMYFUNCTION("""COMPUTED_VALUE"""),"Door Bar")</f>
        <v>Door Bar</v>
      </c>
      <c r="Y17" s="97">
        <f>IFERROR(__xludf.DUMMYFUNCTION("""COMPUTED_VALUE"""),1.0)</f>
        <v>1</v>
      </c>
      <c r="Z17" s="97">
        <f>IFERROR(__xludf.DUMMYFUNCTION("""COMPUTED_VALUE"""),3.0)</f>
        <v>3</v>
      </c>
      <c r="AA17" s="97">
        <f>IFERROR(__xludf.DUMMYFUNCTION("""COMPUTED_VALUE"""),4.0)</f>
        <v>4</v>
      </c>
      <c r="AB17" s="123">
        <f t="shared" si="2"/>
        <v>0.25</v>
      </c>
      <c r="AC17" s="119"/>
    </row>
    <row r="18" ht="18.75" customHeight="1">
      <c r="A18" s="97">
        <f>IFERROR(__xludf.DUMMYFUNCTION("""COMPUTED_VALUE"""),6.0)</f>
        <v>6</v>
      </c>
      <c r="B18" s="120">
        <f>IFERROR(__xludf.DUMMYFUNCTION("""COMPUTED_VALUE"""),46179.0)</f>
        <v>46179</v>
      </c>
      <c r="C18" s="97">
        <f>IFERROR(__xludf.DUMMYFUNCTION("""COMPUTED_VALUE"""),3.0)</f>
        <v>3</v>
      </c>
      <c r="D18" s="97" t="str">
        <f>IFERROR(__xludf.DUMMYFUNCTION("""COMPUTED_VALUE"""),"Mualco")</f>
        <v>Mualco</v>
      </c>
      <c r="E18" s="97" t="str">
        <f>IFERROR(__xludf.DUMMYFUNCTION("""COMPUTED_VALUE"""),"Fxx")</f>
        <v>Fxx</v>
      </c>
      <c r="F18" s="97" t="str">
        <f>IFERROR(__xludf.DUMMYFUNCTION("""COMPUTED_VALUE"""),"8 Standby")</f>
        <v>8 Standby</v>
      </c>
      <c r="G18" s="97" t="str">
        <f>IFERROR(__xludf.DUMMYFUNCTION("""COMPUTED_VALUE"""),"JustFluffy")</f>
        <v>JustFluffy</v>
      </c>
      <c r="H18" s="97" t="str">
        <f>IFERROR(__xludf.DUMMYFUNCTION("""COMPUTED_VALUE"""),"BAV")</f>
        <v>BAV</v>
      </c>
      <c r="I18" s="97" t="str">
        <f>IFERROR(__xludf.DUMMYFUNCTION("""COMPUTED_VALUE"""),"Bar Choice")</f>
        <v>Bar Choice</v>
      </c>
      <c r="J18" s="97" t="str">
        <f>IFERROR(__xludf.DUMMYFUNCTION("""COMPUTED_VALUE"""),"W")</f>
        <v>W</v>
      </c>
      <c r="K18" s="111"/>
      <c r="P18" s="111"/>
      <c r="Q18" s="97" t="str">
        <f>IFERROR(__xludf.DUMMYFUNCTION("""COMPUTED_VALUE"""),"Fxx")</f>
        <v>Fxx</v>
      </c>
      <c r="R18" s="97">
        <f>IFERROR(__xludf.DUMMYFUNCTION("""COMPUTED_VALUE"""),2.0)</f>
        <v>2</v>
      </c>
      <c r="S18" s="97">
        <f>IFERROR(__xludf.DUMMYFUNCTION("""COMPUTED_VALUE"""),2.0)</f>
        <v>2</v>
      </c>
      <c r="T18" s="97">
        <f>IFERROR(__xludf.DUMMYFUNCTION("""COMPUTED_VALUE"""),4.0)</f>
        <v>4</v>
      </c>
      <c r="U18" s="123">
        <f t="shared" si="1"/>
        <v>0.5</v>
      </c>
      <c r="V18" s="111"/>
      <c r="W18" s="97" t="str">
        <f>IFERROR(__xludf.DUMMYFUNCTION("""COMPUTED_VALUE"""),"Fxx")</f>
        <v>Fxx</v>
      </c>
      <c r="X18" s="97" t="str">
        <f>IFERROR(__xludf.DUMMYFUNCTION("""COMPUTED_VALUE"""),"8 Standby")</f>
        <v>8 Standby</v>
      </c>
      <c r="Y18" s="97">
        <f>IFERROR(__xludf.DUMMYFUNCTION("""COMPUTED_VALUE"""),2.0)</f>
        <v>2</v>
      </c>
      <c r="Z18" s="97">
        <f>IFERROR(__xludf.DUMMYFUNCTION("""COMPUTED_VALUE"""),2.0)</f>
        <v>2</v>
      </c>
      <c r="AA18" s="97">
        <f>IFERROR(__xludf.DUMMYFUNCTION("""COMPUTED_VALUE"""),4.0)</f>
        <v>4</v>
      </c>
      <c r="AB18" s="123">
        <f t="shared" si="2"/>
        <v>0.5</v>
      </c>
      <c r="AC18" s="119"/>
    </row>
    <row r="19" ht="18.75" customHeight="1">
      <c r="A19" s="97">
        <f>IFERROR(__xludf.DUMMYFUNCTION("""COMPUTED_VALUE"""),6.0)</f>
        <v>6</v>
      </c>
      <c r="B19" s="120">
        <f>IFERROR(__xludf.DUMMYFUNCTION("""COMPUTED_VALUE"""),46179.0)</f>
        <v>46179</v>
      </c>
      <c r="C19" s="97">
        <f>IFERROR(__xludf.DUMMYFUNCTION("""COMPUTED_VALUE"""),4.0)</f>
        <v>4</v>
      </c>
      <c r="D19" s="97" t="str">
        <f>IFERROR(__xludf.DUMMYFUNCTION("""COMPUTED_VALUE"""),"Mualco")</f>
        <v>Mualco</v>
      </c>
      <c r="E19" s="97" t="str">
        <f>IFERROR(__xludf.DUMMYFUNCTION("""COMPUTED_VALUE"""),"Fxx")</f>
        <v>Fxx</v>
      </c>
      <c r="F19" s="97" t="str">
        <f>IFERROR(__xludf.DUMMYFUNCTION("""COMPUTED_VALUE"""),"8 Standby")</f>
        <v>8 Standby</v>
      </c>
      <c r="G19" s="97" t="str">
        <f>IFERROR(__xludf.DUMMYFUNCTION("""COMPUTED_VALUE"""),"Pinya")</f>
        <v>Pinya</v>
      </c>
      <c r="H19" s="97" t="str">
        <f>IFERROR(__xludf.DUMMYFUNCTION("""COMPUTED_VALUE"""),"EIS")</f>
        <v>EIS</v>
      </c>
      <c r="I19" s="97" t="str">
        <f>IFERROR(__xludf.DUMMYFUNCTION("""COMPUTED_VALUE"""),"8 Door")</f>
        <v>8 Door</v>
      </c>
      <c r="J19" s="97" t="str">
        <f>IFERROR(__xludf.DUMMYFUNCTION("""COMPUTED_VALUE"""),"L")</f>
        <v>L</v>
      </c>
      <c r="K19" s="111"/>
      <c r="L19" s="110" t="s">
        <v>49</v>
      </c>
      <c r="M19" s="103"/>
      <c r="N19" s="103"/>
      <c r="O19" s="95"/>
      <c r="P19" s="111"/>
      <c r="Q19" s="97" t="str">
        <f>IFERROR(__xludf.DUMMYFUNCTION("""COMPUTED_VALUE"""),"GCR")</f>
        <v>GCR</v>
      </c>
      <c r="R19" s="97">
        <f>IFERROR(__xludf.DUMMYFUNCTION("""COMPUTED_VALUE"""),4.0)</f>
        <v>4</v>
      </c>
      <c r="S19" s="97">
        <f>IFERROR(__xludf.DUMMYFUNCTION("""COMPUTED_VALUE"""),5.0)</f>
        <v>5</v>
      </c>
      <c r="T19" s="97">
        <f>IFERROR(__xludf.DUMMYFUNCTION("""COMPUTED_VALUE"""),9.0)</f>
        <v>9</v>
      </c>
      <c r="U19" s="123">
        <f t="shared" si="1"/>
        <v>0.4444444444</v>
      </c>
      <c r="V19" s="111"/>
      <c r="W19" s="97" t="str">
        <f>IFERROR(__xludf.DUMMYFUNCTION("""COMPUTED_VALUE"""),"GCR")</f>
        <v>GCR</v>
      </c>
      <c r="X19" s="97" t="str">
        <f>IFERROR(__xludf.DUMMYFUNCTION("""COMPUTED_VALUE"""),"8 Door")</f>
        <v>8 Door</v>
      </c>
      <c r="Y19" s="97">
        <f>IFERROR(__xludf.DUMMYFUNCTION("""COMPUTED_VALUE"""),4.0)</f>
        <v>4</v>
      </c>
      <c r="Z19" s="97">
        <f>IFERROR(__xludf.DUMMYFUNCTION("""COMPUTED_VALUE"""),5.0)</f>
        <v>5</v>
      </c>
      <c r="AA19" s="97">
        <f>IFERROR(__xludf.DUMMYFUNCTION("""COMPUTED_VALUE"""),9.0)</f>
        <v>9</v>
      </c>
      <c r="AB19" s="123">
        <f t="shared" si="2"/>
        <v>0.4444444444</v>
      </c>
      <c r="AC19" s="119"/>
    </row>
    <row r="20" ht="18.75" customHeight="1">
      <c r="A20" s="97">
        <f>IFERROR(__xludf.DUMMYFUNCTION("""COMPUTED_VALUE"""),5.0)</f>
        <v>5</v>
      </c>
      <c r="B20" s="120">
        <f>IFERROR(__xludf.DUMMYFUNCTION("""COMPUTED_VALUE"""),46172.0)</f>
        <v>46172</v>
      </c>
      <c r="C20" s="97">
        <f>IFERROR(__xludf.DUMMYFUNCTION("""COMPUTED_VALUE"""),1.0)</f>
        <v>1</v>
      </c>
      <c r="D20" s="97" t="str">
        <f>IFERROR(__xludf.DUMMYFUNCTION("""COMPUTED_VALUE"""),"Mualco")</f>
        <v>Mualco</v>
      </c>
      <c r="E20" s="97" t="str">
        <f>IFERROR(__xludf.DUMMYFUNCTION("""COMPUTED_VALUE"""),"GCR")</f>
        <v>GCR</v>
      </c>
      <c r="F20" s="97" t="str">
        <f>IFERROR(__xludf.DUMMYFUNCTION("""COMPUTED_VALUE"""),"8 Door")</f>
        <v>8 Door</v>
      </c>
      <c r="G20" s="97" t="str">
        <f>IFERROR(__xludf.DUMMYFUNCTION("""COMPUTED_VALUE"""),"Pinya")</f>
        <v>Pinya</v>
      </c>
      <c r="H20" s="97" t="str">
        <f>IFERROR(__xludf.DUMMYFUNCTION("""COMPUTED_VALUE"""),"EIS")</f>
        <v>EIS</v>
      </c>
      <c r="I20" s="97" t="str">
        <f>IFERROR(__xludf.DUMMYFUNCTION("""COMPUTED_VALUE"""),"6 Standby 2 Door")</f>
        <v>6 Standby 2 Door</v>
      </c>
      <c r="J20" s="97" t="str">
        <f>IFERROR(__xludf.DUMMYFUNCTION("""COMPUTED_VALUE"""),"L")</f>
        <v>L</v>
      </c>
      <c r="K20" s="111"/>
      <c r="L20" s="124" t="s">
        <v>42</v>
      </c>
      <c r="M20" s="125" t="s">
        <v>50</v>
      </c>
      <c r="N20" s="125" t="s">
        <v>51</v>
      </c>
      <c r="O20" s="125" t="s">
        <v>52</v>
      </c>
      <c r="P20" s="111"/>
      <c r="U20" s="123">
        <f t="shared" si="1"/>
        <v>0</v>
      </c>
      <c r="V20" s="111"/>
      <c r="AB20" s="123">
        <f t="shared" si="2"/>
        <v>0</v>
      </c>
      <c r="AC20" s="119"/>
    </row>
    <row r="21" ht="18.75" customHeight="1">
      <c r="A21" s="97">
        <f>IFERROR(__xludf.DUMMYFUNCTION("""COMPUTED_VALUE"""),5.0)</f>
        <v>5</v>
      </c>
      <c r="B21" s="120">
        <f>IFERROR(__xludf.DUMMYFUNCTION("""COMPUTED_VALUE"""),46172.0)</f>
        <v>46172</v>
      </c>
      <c r="C21" s="97">
        <f>IFERROR(__xludf.DUMMYFUNCTION("""COMPUTED_VALUE"""),2.0)</f>
        <v>2</v>
      </c>
      <c r="D21" s="97" t="str">
        <f>IFERROR(__xludf.DUMMYFUNCTION("""COMPUTED_VALUE"""),"Mualco")</f>
        <v>Mualco</v>
      </c>
      <c r="E21" s="97" t="str">
        <f>IFERROR(__xludf.DUMMYFUNCTION("""COMPUTED_VALUE"""),"GCR")</f>
        <v>GCR</v>
      </c>
      <c r="F21" s="97" t="str">
        <f>IFERROR(__xludf.DUMMYFUNCTION("""COMPUTED_VALUE"""),"8 Door")</f>
        <v>8 Door</v>
      </c>
      <c r="G21" s="97" t="str">
        <f>IFERROR(__xludf.DUMMYFUNCTION("""COMPUTED_VALUE"""),"?")</f>
        <v>?</v>
      </c>
      <c r="H21" s="97" t="str">
        <f>IFERROR(__xludf.DUMMYFUNCTION("""COMPUTED_VALUE"""),"NIK")</f>
        <v>NIK</v>
      </c>
      <c r="I21" s="97" t="str">
        <f>IFERROR(__xludf.DUMMYFUNCTION("""COMPUTED_VALUE"""),"Door Standby")</f>
        <v>Door Standby</v>
      </c>
      <c r="J21" s="97" t="str">
        <f>IFERROR(__xludf.DUMMYFUNCTION("""COMPUTED_VALUE"""),"W")</f>
        <v>W</v>
      </c>
      <c r="K21" s="111"/>
      <c r="L21" s="96" t="str">
        <f>IFERROR(__xludf.DUMMYFUNCTION("UNIQUE(
 FILTER(
  'RAW RESULTS'!G:G,
  'RAW RESULTS'!D:D=$A$3
 )
)"),"Pinya")</f>
        <v>Pinya</v>
      </c>
      <c r="M21" s="96">
        <f>COUNTIFS(
 'RAW RESULTS'!D:D,$A$3,
 'RAW RESULTS'!G:G,L21,
 'RAW RESULTS'!J:J,"W"
)</f>
        <v>0</v>
      </c>
      <c r="N21" s="96">
        <f>COUNTIFS(
 'RAW RESULTS'!D:D,$A$3,
 'RAW RESULTS'!G:G,L21,
 'RAW RESULTS'!J:J,"L"
)</f>
        <v>2</v>
      </c>
      <c r="O21" s="123">
        <f t="shared" ref="O21:O41" si="3">IFERROR(
M21/(M21+N21),
 0
)</f>
        <v>0</v>
      </c>
      <c r="P21" s="111"/>
      <c r="U21" s="123">
        <f t="shared" si="1"/>
        <v>0</v>
      </c>
      <c r="V21" s="111"/>
      <c r="AB21" s="123">
        <f t="shared" si="2"/>
        <v>0</v>
      </c>
      <c r="AC21" s="119"/>
    </row>
    <row r="22" ht="18.75" customHeight="1">
      <c r="A22" s="97">
        <f>IFERROR(__xludf.DUMMYFUNCTION("""COMPUTED_VALUE"""),5.0)</f>
        <v>5</v>
      </c>
      <c r="B22" s="120">
        <f>IFERROR(__xludf.DUMMYFUNCTION("""COMPUTED_VALUE"""),46172.0)</f>
        <v>46172</v>
      </c>
      <c r="C22" s="97">
        <f>IFERROR(__xludf.DUMMYFUNCTION("""COMPUTED_VALUE"""),3.0)</f>
        <v>3</v>
      </c>
      <c r="D22" s="97" t="str">
        <f>IFERROR(__xludf.DUMMYFUNCTION("""COMPUTED_VALUE"""),"Mualco")</f>
        <v>Mualco</v>
      </c>
      <c r="E22" s="97" t="str">
        <f>IFERROR(__xludf.DUMMYFUNCTION("""COMPUTED_VALUE"""),"GCR")</f>
        <v>GCR</v>
      </c>
      <c r="F22" s="97" t="str">
        <f>IFERROR(__xludf.DUMMYFUNCTION("""COMPUTED_VALUE"""),"8 Door")</f>
        <v>8 Door</v>
      </c>
      <c r="G22" s="97" t="str">
        <f>IFERROR(__xludf.DUMMYFUNCTION("""COMPUTED_VALUE"""),"?")</f>
        <v>?</v>
      </c>
      <c r="H22" s="97" t="str">
        <f>IFERROR(__xludf.DUMMYFUNCTION("""COMPUTED_VALUE"""),"EIS")</f>
        <v>EIS</v>
      </c>
      <c r="I22" s="97" t="str">
        <f>IFERROR(__xludf.DUMMYFUNCTION("""COMPUTED_VALUE"""),"8 Standby")</f>
        <v>8 Standby</v>
      </c>
      <c r="J22" s="97" t="str">
        <f>IFERROR(__xludf.DUMMYFUNCTION("""COMPUTED_VALUE"""),"W")</f>
        <v>W</v>
      </c>
      <c r="K22" s="111"/>
      <c r="L22" s="96" t="str">
        <f>IFERROR(__xludf.DUMMYFUNCTION("""COMPUTED_VALUE"""),"?")</f>
        <v>?</v>
      </c>
      <c r="M22" s="96">
        <f>COUNTIFS(
 'RAW RESULTS'!D:D,$A$3,
 'RAW RESULTS'!G:G,L22,
 'RAW RESULTS'!J:J,"W"
)</f>
        <v>2</v>
      </c>
      <c r="N22" s="96">
        <f>COUNTIFS(
 'RAW RESULTS'!D:D,$A$3,
 'RAW RESULTS'!G:G,L22,
 'RAW RESULTS'!J:J,"L"
)</f>
        <v>1</v>
      </c>
      <c r="O22" s="123">
        <f t="shared" si="3"/>
        <v>0.6666666667</v>
      </c>
      <c r="P22" s="111"/>
      <c r="U22" s="123">
        <f t="shared" si="1"/>
        <v>0</v>
      </c>
      <c r="V22" s="111"/>
      <c r="AB22" s="123">
        <f t="shared" si="2"/>
        <v>0</v>
      </c>
      <c r="AC22" s="119"/>
    </row>
    <row r="23" ht="18.75" customHeight="1">
      <c r="A23" s="97">
        <f>IFERROR(__xludf.DUMMYFUNCTION("""COMPUTED_VALUE"""),5.0)</f>
        <v>5</v>
      </c>
      <c r="B23" s="120">
        <f>IFERROR(__xludf.DUMMYFUNCTION("""COMPUTED_VALUE"""),46172.0)</f>
        <v>46172</v>
      </c>
      <c r="C23" s="97">
        <f>IFERROR(__xludf.DUMMYFUNCTION("""COMPUTED_VALUE"""),4.0)</f>
        <v>4</v>
      </c>
      <c r="D23" s="97" t="str">
        <f>IFERROR(__xludf.DUMMYFUNCTION("""COMPUTED_VALUE"""),"Mualco")</f>
        <v>Mualco</v>
      </c>
      <c r="E23" s="97" t="str">
        <f>IFERROR(__xludf.DUMMYFUNCTION("""COMPUTED_VALUE"""),"GCR")</f>
        <v>GCR</v>
      </c>
      <c r="F23" s="97" t="str">
        <f>IFERROR(__xludf.DUMMYFUNCTION("""COMPUTED_VALUE"""),"8 Door")</f>
        <v>8 Door</v>
      </c>
      <c r="G23" s="97" t="str">
        <f>IFERROR(__xludf.DUMMYFUNCTION("""COMPUTED_VALUE"""),"JustFluffy")</f>
        <v>JustFluffy</v>
      </c>
      <c r="H23" s="97" t="str">
        <f>IFERROR(__xludf.DUMMYFUNCTION("""COMPUTED_VALUE"""),"BAV ")</f>
        <v>BAV </v>
      </c>
      <c r="I23" s="97" t="str">
        <f>IFERROR(__xludf.DUMMYFUNCTION("""COMPUTED_VALUE"""),"Pants Choice ")</f>
        <v>Pants Choice </v>
      </c>
      <c r="J23" s="97" t="str">
        <f>IFERROR(__xludf.DUMMYFUNCTION("""COMPUTED_VALUE"""),"L")</f>
        <v>L</v>
      </c>
      <c r="K23" s="111"/>
      <c r="L23" s="96" t="str">
        <f>IFERROR(__xludf.DUMMYFUNCTION("""COMPUTED_VALUE"""),"JustFluffy")</f>
        <v>JustFluffy</v>
      </c>
      <c r="M23" s="96">
        <f>COUNTIFS(
 'RAW RESULTS'!D:D,$A$3,
 'RAW RESULTS'!G:G,L23,
 'RAW RESULTS'!J:J,"W"
)</f>
        <v>1</v>
      </c>
      <c r="N23" s="96">
        <f>COUNTIFS(
 'RAW RESULTS'!D:D,$A$3,
 'RAW RESULTS'!G:G,L23,
 'RAW RESULTS'!J:J,"L"
)</f>
        <v>1</v>
      </c>
      <c r="O23" s="123">
        <f t="shared" si="3"/>
        <v>0.5</v>
      </c>
      <c r="P23" s="111"/>
      <c r="U23" s="123">
        <f t="shared" si="1"/>
        <v>0</v>
      </c>
      <c r="V23" s="111"/>
      <c r="AB23" s="123">
        <f t="shared" si="2"/>
        <v>0</v>
      </c>
      <c r="AC23" s="119"/>
    </row>
    <row r="24" ht="18.75" customHeight="1">
      <c r="A24" s="97">
        <f>IFERROR(__xludf.DUMMYFUNCTION("""COMPUTED_VALUE"""),4.0)</f>
        <v>4</v>
      </c>
      <c r="B24" s="120">
        <f>IFERROR(__xludf.DUMMYFUNCTION("""COMPUTED_VALUE"""),46165.0)</f>
        <v>46165</v>
      </c>
      <c r="C24" s="97">
        <f>IFERROR(__xludf.DUMMYFUNCTION("""COMPUTED_VALUE"""),1.0)</f>
        <v>1</v>
      </c>
      <c r="D24" s="97" t="str">
        <f>IFERROR(__xludf.DUMMYFUNCTION("""COMPUTED_VALUE"""),"Mualco")</f>
        <v>Mualco</v>
      </c>
      <c r="E24" s="97" t="str">
        <f>IFERROR(__xludf.DUMMYFUNCTION("""COMPUTED_VALUE"""),"GCR")</f>
        <v>GCR</v>
      </c>
      <c r="F24" s="97" t="str">
        <f>IFERROR(__xludf.DUMMYFUNCTION("""COMPUTED_VALUE"""),"8 Door")</f>
        <v>8 Door</v>
      </c>
      <c r="G24" s="97" t="str">
        <f>IFERROR(__xludf.DUMMYFUNCTION("""COMPUTED_VALUE"""),"Agus")</f>
        <v>Agus</v>
      </c>
      <c r="H24" s="97" t="str">
        <f>IFERROR(__xludf.DUMMYFUNCTION("""COMPUTED_VALUE"""),"DAL")</f>
        <v>DAL</v>
      </c>
      <c r="I24" s="97" t="str">
        <f>IFERROR(__xludf.DUMMYFUNCTION("""COMPUTED_VALUE"""),"8 Standby")</f>
        <v>8 Standby</v>
      </c>
      <c r="J24" s="97" t="str">
        <f>IFERROR(__xludf.DUMMYFUNCTION("""COMPUTED_VALUE"""),"W")</f>
        <v>W</v>
      </c>
      <c r="K24" s="111"/>
      <c r="L24" s="96" t="str">
        <f>IFERROR(__xludf.DUMMYFUNCTION("""COMPUTED_VALUE"""),"Agus")</f>
        <v>Agus</v>
      </c>
      <c r="M24" s="96">
        <f>COUNTIFS(
 'RAW RESULTS'!D:D,$A$3,
 'RAW RESULTS'!G:G,L24,
 'RAW RESULTS'!J:J,"W"
)</f>
        <v>1</v>
      </c>
      <c r="N24" s="96">
        <f>COUNTIFS(
 'RAW RESULTS'!D:D,$A$3,
 'RAW RESULTS'!G:G,L24,
 'RAW RESULTS'!J:J,"L"
)</f>
        <v>1</v>
      </c>
      <c r="O24" s="123">
        <f t="shared" si="3"/>
        <v>0.5</v>
      </c>
      <c r="P24" s="111"/>
      <c r="U24" s="123">
        <f t="shared" si="1"/>
        <v>0</v>
      </c>
      <c r="V24" s="111"/>
      <c r="AB24" s="123">
        <f t="shared" si="2"/>
        <v>0</v>
      </c>
      <c r="AC24" s="119"/>
    </row>
    <row r="25" ht="18.75" customHeight="1">
      <c r="A25" s="97">
        <f>IFERROR(__xludf.DUMMYFUNCTION("""COMPUTED_VALUE"""),4.0)</f>
        <v>4</v>
      </c>
      <c r="B25" s="120">
        <f>IFERROR(__xludf.DUMMYFUNCTION("""COMPUTED_VALUE"""),46165.0)</f>
        <v>46165</v>
      </c>
      <c r="C25" s="97">
        <f>IFERROR(__xludf.DUMMYFUNCTION("""COMPUTED_VALUE"""),2.0)</f>
        <v>2</v>
      </c>
      <c r="D25" s="97" t="str">
        <f>IFERROR(__xludf.DUMMYFUNCTION("""COMPUTED_VALUE"""),"Mualco")</f>
        <v>Mualco</v>
      </c>
      <c r="E25" s="97" t="str">
        <f>IFERROR(__xludf.DUMMYFUNCTION("""COMPUTED_VALUE"""),"GCR")</f>
        <v>GCR</v>
      </c>
      <c r="F25" s="97" t="str">
        <f>IFERROR(__xludf.DUMMYFUNCTION("""COMPUTED_VALUE"""),"8 Door")</f>
        <v>8 Door</v>
      </c>
      <c r="G25" s="97" t="str">
        <f>IFERROR(__xludf.DUMMYFUNCTION("""COMPUTED_VALUE"""),"Jose Sev")</f>
        <v>Jose Sev</v>
      </c>
      <c r="H25" s="97" t="str">
        <f>IFERROR(__xludf.DUMMYFUNCTION("""COMPUTED_VALUE"""),"EIS")</f>
        <v>EIS</v>
      </c>
      <c r="I25" s="97" t="str">
        <f>IFERROR(__xludf.DUMMYFUNCTION("""COMPUTED_VALUE"""),"8 Bar")</f>
        <v>8 Bar</v>
      </c>
      <c r="J25" s="97" t="str">
        <f>IFERROR(__xludf.DUMMYFUNCTION("""COMPUTED_VALUE"""),"L")</f>
        <v>L</v>
      </c>
      <c r="K25" s="111"/>
      <c r="L25" s="96" t="str">
        <f>IFERROR(__xludf.DUMMYFUNCTION("""COMPUTED_VALUE"""),"Jose Sev")</f>
        <v>Jose Sev</v>
      </c>
      <c r="M25" s="96">
        <f>COUNTIFS(
 'RAW RESULTS'!D:D,$A$3,
 'RAW RESULTS'!G:G,L25,
 'RAW RESULTS'!J:J,"W"
)</f>
        <v>0</v>
      </c>
      <c r="N25" s="96">
        <f>COUNTIFS(
 'RAW RESULTS'!D:D,$A$3,
 'RAW RESULTS'!G:G,L25,
 'RAW RESULTS'!J:J,"L"
)</f>
        <v>1</v>
      </c>
      <c r="O25" s="123">
        <f t="shared" si="3"/>
        <v>0</v>
      </c>
      <c r="P25" s="111"/>
      <c r="U25" s="123">
        <f t="shared" si="1"/>
        <v>0</v>
      </c>
      <c r="V25" s="111"/>
      <c r="AB25" s="123">
        <f t="shared" si="2"/>
        <v>0</v>
      </c>
      <c r="AC25" s="119"/>
    </row>
    <row r="26" ht="18.75" customHeight="1">
      <c r="A26" s="97">
        <f>IFERROR(__xludf.DUMMYFUNCTION("""COMPUTED_VALUE"""),4.0)</f>
        <v>4</v>
      </c>
      <c r="B26" s="120">
        <f>IFERROR(__xludf.DUMMYFUNCTION("""COMPUTED_VALUE"""),46165.0)</f>
        <v>46165</v>
      </c>
      <c r="C26" s="97">
        <f>IFERROR(__xludf.DUMMYFUNCTION("""COMPUTED_VALUE"""),3.0)</f>
        <v>3</v>
      </c>
      <c r="D26" s="97" t="str">
        <f>IFERROR(__xludf.DUMMYFUNCTION("""COMPUTED_VALUE"""),"Mualco")</f>
        <v>Mualco</v>
      </c>
      <c r="E26" s="97" t="str">
        <f>IFERROR(__xludf.DUMMYFUNCTION("""COMPUTED_VALUE"""),"GCR")</f>
        <v>GCR</v>
      </c>
      <c r="F26" s="97" t="str">
        <f>IFERROR(__xludf.DUMMYFUNCTION("""COMPUTED_VALUE"""),"8 Door")</f>
        <v>8 Door</v>
      </c>
      <c r="G26" s="97" t="str">
        <f>IFERROR(__xludf.DUMMYFUNCTION("""COMPUTED_VALUE"""),"Angladita")</f>
        <v>Angladita</v>
      </c>
      <c r="H26" s="97" t="str">
        <f>IFERROR(__xludf.DUMMYFUNCTION("""COMPUTED_VALUE"""),"OSK")</f>
        <v>OSK</v>
      </c>
      <c r="I26" s="97" t="str">
        <f>IFERROR(__xludf.DUMMYFUNCTION("""COMPUTED_VALUE"""),"Door/Pants")</f>
        <v>Door/Pants</v>
      </c>
      <c r="J26" s="97" t="str">
        <f>IFERROR(__xludf.DUMMYFUNCTION("""COMPUTED_VALUE"""),"L")</f>
        <v>L</v>
      </c>
      <c r="K26" s="111"/>
      <c r="L26" s="96" t="str">
        <f>IFERROR(__xludf.DUMMYFUNCTION("""COMPUTED_VALUE"""),"Angladita")</f>
        <v>Angladita</v>
      </c>
      <c r="M26" s="96">
        <f>COUNTIFS(
 'RAW RESULTS'!D:D,$A$3,
 'RAW RESULTS'!G:G,L26,
 'RAW RESULTS'!J:J,"W"
)</f>
        <v>0</v>
      </c>
      <c r="N26" s="96">
        <f>COUNTIFS(
 'RAW RESULTS'!D:D,$A$3,
 'RAW RESULTS'!G:G,L26,
 'RAW RESULTS'!J:J,"L"
)</f>
        <v>1</v>
      </c>
      <c r="O26" s="123">
        <f t="shared" si="3"/>
        <v>0</v>
      </c>
      <c r="P26" s="111"/>
      <c r="U26" s="123">
        <f t="shared" si="1"/>
        <v>0</v>
      </c>
      <c r="V26" s="111"/>
      <c r="AB26" s="123">
        <f t="shared" si="2"/>
        <v>0</v>
      </c>
      <c r="AC26" s="119"/>
    </row>
    <row r="27" ht="18.75" customHeight="1">
      <c r="A27" s="97">
        <f>IFERROR(__xludf.DUMMYFUNCTION("""COMPUTED_VALUE"""),4.0)</f>
        <v>4</v>
      </c>
      <c r="B27" s="120">
        <f>IFERROR(__xludf.DUMMYFUNCTION("""COMPUTED_VALUE"""),46165.0)</f>
        <v>46165</v>
      </c>
      <c r="C27" s="97">
        <f>IFERROR(__xludf.DUMMYFUNCTION("""COMPUTED_VALUE"""),4.0)</f>
        <v>4</v>
      </c>
      <c r="D27" s="97" t="str">
        <f>IFERROR(__xludf.DUMMYFUNCTION("""COMPUTED_VALUE"""),"Mualco")</f>
        <v>Mualco</v>
      </c>
      <c r="E27" s="97" t="str">
        <f>IFERROR(__xludf.DUMMYFUNCTION("""COMPUTED_VALUE"""),"GCR")</f>
        <v>GCR</v>
      </c>
      <c r="F27" s="97" t="str">
        <f>IFERROR(__xludf.DUMMYFUNCTION("""COMPUTED_VALUE"""),"8 Door")</f>
        <v>8 Door</v>
      </c>
      <c r="G27" s="97" t="str">
        <f>IFERROR(__xludf.DUMMYFUNCTION("""COMPUTED_VALUE"""),"Ostrovsky15")</f>
        <v>Ostrovsky15</v>
      </c>
      <c r="H27" s="97" t="str">
        <f>IFERROR(__xludf.DUMMYFUNCTION("""COMPUTED_VALUE"""),"OSK")</f>
        <v>OSK</v>
      </c>
      <c r="I27" s="97" t="str">
        <f>IFERROR(__xludf.DUMMYFUNCTION("""COMPUTED_VALUE"""),"Door/Pants")</f>
        <v>Door/Pants</v>
      </c>
      <c r="J27" s="97" t="str">
        <f>IFERROR(__xludf.DUMMYFUNCTION("""COMPUTED_VALUE"""),"L")</f>
        <v>L</v>
      </c>
      <c r="K27" s="111"/>
      <c r="L27" s="96" t="str">
        <f>IFERROR(__xludf.DUMMYFUNCTION("""COMPUTED_VALUE"""),"Ostrovsky15")</f>
        <v>Ostrovsky15</v>
      </c>
      <c r="M27" s="96">
        <f>COUNTIFS(
 'RAW RESULTS'!D:D,$A$3,
 'RAW RESULTS'!G:G,L27,
 'RAW RESULTS'!J:J,"W"
)</f>
        <v>0</v>
      </c>
      <c r="N27" s="96">
        <f>COUNTIFS(
 'RAW RESULTS'!D:D,$A$3,
 'RAW RESULTS'!G:G,L27,
 'RAW RESULTS'!J:J,"L"
)</f>
        <v>1</v>
      </c>
      <c r="O27" s="123">
        <f t="shared" si="3"/>
        <v>0</v>
      </c>
      <c r="P27" s="111"/>
      <c r="U27" s="123">
        <f t="shared" si="1"/>
        <v>0</v>
      </c>
      <c r="V27" s="111"/>
      <c r="AB27" s="123">
        <f t="shared" si="2"/>
        <v>0</v>
      </c>
      <c r="AC27" s="119"/>
    </row>
    <row r="28" ht="18.75" customHeight="1">
      <c r="A28" s="97">
        <f>IFERROR(__xludf.DUMMYFUNCTION("""COMPUTED_VALUE"""),4.0)</f>
        <v>4</v>
      </c>
      <c r="B28" s="120">
        <f>IFERROR(__xludf.DUMMYFUNCTION("""COMPUTED_VALUE"""),46165.0)</f>
        <v>46165</v>
      </c>
      <c r="C28" s="97">
        <f>IFERROR(__xludf.DUMMYFUNCTION("""COMPUTED_VALUE"""),5.0)</f>
        <v>5</v>
      </c>
      <c r="D28" s="97" t="str">
        <f>IFERROR(__xludf.DUMMYFUNCTION("""COMPUTED_VALUE"""),"Mualco")</f>
        <v>Mualco</v>
      </c>
      <c r="E28" s="97" t="str">
        <f>IFERROR(__xludf.DUMMYFUNCTION("""COMPUTED_VALUE"""),"GCR")</f>
        <v>GCR</v>
      </c>
      <c r="F28" s="97" t="str">
        <f>IFERROR(__xludf.DUMMYFUNCTION("""COMPUTED_VALUE"""),"8 Door")</f>
        <v>8 Door</v>
      </c>
      <c r="G28" s="97" t="str">
        <f>IFERROR(__xludf.DUMMYFUNCTION("""COMPUTED_VALUE"""),"?")</f>
        <v>?</v>
      </c>
      <c r="H28" s="97" t="str">
        <f>IFERROR(__xludf.DUMMYFUNCTION("""COMPUTED_VALUE"""),"OSK")</f>
        <v>OSK</v>
      </c>
      <c r="I28" s="97" t="str">
        <f>IFERROR(__xludf.DUMMYFUNCTION("""COMPUTED_VALUE"""),"Door/Pants")</f>
        <v>Door/Pants</v>
      </c>
      <c r="J28" s="97" t="str">
        <f>IFERROR(__xludf.DUMMYFUNCTION("""COMPUTED_VALUE"""),"L")</f>
        <v>L</v>
      </c>
      <c r="K28" s="111"/>
      <c r="L28" s="96" t="str">
        <f>IFERROR(__xludf.DUMMYFUNCTION("""COMPUTED_VALUE"""),"Doris")</f>
        <v>Doris</v>
      </c>
      <c r="M28" s="96">
        <f>COUNTIFS(
 'RAW RESULTS'!D:D,$A$3,
 'RAW RESULTS'!G:G,L28,
 'RAW RESULTS'!J:J,"W"
)</f>
        <v>1</v>
      </c>
      <c r="N28" s="96">
        <f>COUNTIFS(
 'RAW RESULTS'!D:D,$A$3,
 'RAW RESULTS'!G:G,L28,
 'RAW RESULTS'!J:J,"L"
)</f>
        <v>0</v>
      </c>
      <c r="O28" s="123">
        <f t="shared" si="3"/>
        <v>1</v>
      </c>
      <c r="P28" s="111"/>
      <c r="U28" s="123">
        <f t="shared" si="1"/>
        <v>0</v>
      </c>
      <c r="V28" s="111"/>
      <c r="AB28" s="123">
        <f t="shared" si="2"/>
        <v>0</v>
      </c>
      <c r="AC28" s="119"/>
    </row>
    <row r="29" ht="15.75" customHeight="1">
      <c r="A29" s="97">
        <f>IFERROR(__xludf.DUMMYFUNCTION("""COMPUTED_VALUE"""),3.0)</f>
        <v>3</v>
      </c>
      <c r="B29" s="120">
        <f>IFERROR(__xludf.DUMMYFUNCTION("""COMPUTED_VALUE"""),46158.0)</f>
        <v>46158</v>
      </c>
      <c r="C29" s="97">
        <f>IFERROR(__xludf.DUMMYFUNCTION("""COMPUTED_VALUE"""),1.0)</f>
        <v>1</v>
      </c>
      <c r="D29" s="97" t="str">
        <f>IFERROR(__xludf.DUMMYFUNCTION("""COMPUTED_VALUE"""),"Mualco")</f>
        <v>Mualco</v>
      </c>
      <c r="E29" s="97" t="str">
        <f>IFERROR(__xludf.DUMMYFUNCTION("""COMPUTED_VALUE"""),"BTR")</f>
        <v>BTR</v>
      </c>
      <c r="F29" s="97" t="str">
        <f>IFERROR(__xludf.DUMMYFUNCTION("""COMPUTED_VALUE"""),"Door Bar")</f>
        <v>Door Bar</v>
      </c>
      <c r="G29" s="97" t="str">
        <f>IFERROR(__xludf.DUMMYFUNCTION("""COMPUTED_VALUE"""),"Doris")</f>
        <v>Doris</v>
      </c>
      <c r="H29" s="97" t="str">
        <f>IFERROR(__xludf.DUMMYFUNCTION("""COMPUTED_VALUE"""),"SFN")</f>
        <v>SFN</v>
      </c>
      <c r="I29" s="97" t="str">
        <f>IFERROR(__xludf.DUMMYFUNCTION("""COMPUTED_VALUE"""),"Modified TD")</f>
        <v>Modified TD</v>
      </c>
      <c r="J29" s="97" t="str">
        <f>IFERROR(__xludf.DUMMYFUNCTION("""COMPUTED_VALUE"""),"W")</f>
        <v>W</v>
      </c>
      <c r="K29" s="111"/>
      <c r="L29" s="96" t="str">
        <f>IFERROR(__xludf.DUMMYFUNCTION("""COMPUTED_VALUE"""),"Seyer")</f>
        <v>Seyer</v>
      </c>
      <c r="M29" s="96">
        <f>COUNTIFS(
 'RAW RESULTS'!D:D,$A$3,
 'RAW RESULTS'!G:G,L29,
 'RAW RESULTS'!J:J,"W"
)</f>
        <v>1</v>
      </c>
      <c r="N29" s="96">
        <f>COUNTIFS(
 'RAW RESULTS'!D:D,$A$3,
 'RAW RESULTS'!G:G,L29,
 'RAW RESULTS'!J:J,"L"
)</f>
        <v>0</v>
      </c>
      <c r="O29" s="123">
        <f t="shared" si="3"/>
        <v>1</v>
      </c>
      <c r="P29" s="111"/>
      <c r="U29" s="123">
        <f t="shared" si="1"/>
        <v>0</v>
      </c>
      <c r="V29" s="111"/>
      <c r="AB29" s="123">
        <f t="shared" si="2"/>
        <v>0</v>
      </c>
      <c r="AC29" s="119"/>
    </row>
    <row r="30" ht="15.75" customHeight="1">
      <c r="A30" s="97">
        <f>IFERROR(__xludf.DUMMYFUNCTION("""COMPUTED_VALUE"""),3.0)</f>
        <v>3</v>
      </c>
      <c r="B30" s="120">
        <f>IFERROR(__xludf.DUMMYFUNCTION("""COMPUTED_VALUE"""),46158.0)</f>
        <v>46158</v>
      </c>
      <c r="C30" s="97">
        <f>IFERROR(__xludf.DUMMYFUNCTION("""COMPUTED_VALUE"""),2.0)</f>
        <v>2</v>
      </c>
      <c r="D30" s="97" t="str">
        <f>IFERROR(__xludf.DUMMYFUNCTION("""COMPUTED_VALUE"""),"Mualco")</f>
        <v>Mualco</v>
      </c>
      <c r="E30" s="97" t="str">
        <f>IFERROR(__xludf.DUMMYFUNCTION("""COMPUTED_VALUE"""),"BTR")</f>
        <v>BTR</v>
      </c>
      <c r="F30" s="97" t="str">
        <f>IFERROR(__xludf.DUMMYFUNCTION("""COMPUTED_VALUE"""),"Door Bar")</f>
        <v>Door Bar</v>
      </c>
      <c r="G30" s="97" t="str">
        <f>IFERROR(__xludf.DUMMYFUNCTION("""COMPUTED_VALUE"""),"Seyer")</f>
        <v>Seyer</v>
      </c>
      <c r="H30" s="97" t="str">
        <f>IFERROR(__xludf.DUMMYFUNCTION("""COMPUTED_VALUE"""),"DDD")</f>
        <v>DDD</v>
      </c>
      <c r="I30" s="97" t="str">
        <f>IFERROR(__xludf.DUMMYFUNCTION("""COMPUTED_VALUE"""),"8 Bar")</f>
        <v>8 Bar</v>
      </c>
      <c r="J30" s="97" t="str">
        <f>IFERROR(__xludf.DUMMYFUNCTION("""COMPUTED_VALUE"""),"W")</f>
        <v>W</v>
      </c>
      <c r="K30" s="111"/>
      <c r="L30" s="96"/>
      <c r="M30" s="96">
        <f>COUNTIFS(
 'RAW RESULTS'!D:D,$A$3,
 'RAW RESULTS'!G:G,L30,
 'RAW RESULTS'!J:J,"W"
)</f>
        <v>0</v>
      </c>
      <c r="N30" s="96">
        <f>COUNTIFS(
 'RAW RESULTS'!D:D,$A$3,
 'RAW RESULTS'!G:G,L30,
 'RAW RESULTS'!J:J,"L"
)</f>
        <v>0</v>
      </c>
      <c r="O30" s="123">
        <f t="shared" si="3"/>
        <v>0</v>
      </c>
      <c r="P30" s="111"/>
      <c r="U30" s="123">
        <f t="shared" si="1"/>
        <v>0</v>
      </c>
      <c r="V30" s="111"/>
      <c r="AB30" s="123">
        <f t="shared" si="2"/>
        <v>0</v>
      </c>
      <c r="AC30" s="119"/>
    </row>
    <row r="31" ht="15.75" customHeight="1">
      <c r="A31" s="97">
        <f>IFERROR(__xludf.DUMMYFUNCTION("""COMPUTED_VALUE"""),3.0)</f>
        <v>3</v>
      </c>
      <c r="B31" s="120">
        <f>IFERROR(__xludf.DUMMYFUNCTION("""COMPUTED_VALUE"""),46158.0)</f>
        <v>46158</v>
      </c>
      <c r="C31" s="97">
        <f>IFERROR(__xludf.DUMMYFUNCTION("""COMPUTED_VALUE"""),3.0)</f>
        <v>3</v>
      </c>
      <c r="D31" s="97" t="str">
        <f>IFERROR(__xludf.DUMMYFUNCTION("""COMPUTED_VALUE"""),"Mualco")</f>
        <v>Mualco</v>
      </c>
      <c r="E31" s="97" t="str">
        <f>IFERROR(__xludf.DUMMYFUNCTION("""COMPUTED_VALUE"""),"BTR")</f>
        <v>BTR</v>
      </c>
      <c r="F31" s="97" t="str">
        <f>IFERROR(__xludf.DUMMYFUNCTION("""COMPUTED_VALUE"""),"Door Bar")</f>
        <v>Door Bar</v>
      </c>
      <c r="G31" s="97"/>
      <c r="H31" s="97" t="str">
        <f>IFERROR(__xludf.DUMMYFUNCTION("""COMPUTED_VALUE"""),"EIS")</f>
        <v>EIS</v>
      </c>
      <c r="I31" s="97" t="str">
        <f>IFERROR(__xludf.DUMMYFUNCTION("""COMPUTED_VALUE"""),"8 Standby")</f>
        <v>8 Standby</v>
      </c>
      <c r="J31" s="97" t="str">
        <f>IFERROR(__xludf.DUMMYFUNCTION("""COMPUTED_VALUE"""),"W")</f>
        <v>W</v>
      </c>
      <c r="K31" s="111"/>
      <c r="L31" s="96" t="str">
        <f>IFERROR(__xludf.DUMMYFUNCTION("""COMPUTED_VALUE"""),"Kartoffel")</f>
        <v>Kartoffel</v>
      </c>
      <c r="M31" s="96">
        <f>COUNTIFS(
 'RAW RESULTS'!D:D,$A$3,
 'RAW RESULTS'!G:G,L31,
 'RAW RESULTS'!J:J,"W"
)</f>
        <v>0</v>
      </c>
      <c r="N31" s="96">
        <f>COUNTIFS(
 'RAW RESULTS'!D:D,$A$3,
 'RAW RESULTS'!G:G,L31,
 'RAW RESULTS'!J:J,"L"
)</f>
        <v>1</v>
      </c>
      <c r="O31" s="123">
        <f t="shared" si="3"/>
        <v>0</v>
      </c>
      <c r="P31" s="111"/>
      <c r="U31" s="123">
        <f t="shared" si="1"/>
        <v>0</v>
      </c>
      <c r="V31" s="111"/>
      <c r="AB31" s="123">
        <f t="shared" si="2"/>
        <v>0</v>
      </c>
      <c r="AC31" s="119"/>
    </row>
    <row r="32" ht="15.75" customHeight="1">
      <c r="A32" s="97">
        <f>IFERROR(__xludf.DUMMYFUNCTION("""COMPUTED_VALUE"""),3.0)</f>
        <v>3</v>
      </c>
      <c r="B32" s="120">
        <f>IFERROR(__xludf.DUMMYFUNCTION("""COMPUTED_VALUE"""),46158.0)</f>
        <v>46158</v>
      </c>
      <c r="C32" s="97">
        <f>IFERROR(__xludf.DUMMYFUNCTION("""COMPUTED_VALUE"""),4.0)</f>
        <v>4</v>
      </c>
      <c r="D32" s="97" t="str">
        <f>IFERROR(__xludf.DUMMYFUNCTION("""COMPUTED_VALUE"""),"Mualco")</f>
        <v>Mualco</v>
      </c>
      <c r="E32" s="97" t="str">
        <f>IFERROR(__xludf.DUMMYFUNCTION("""COMPUTED_VALUE"""),"BTR")</f>
        <v>BTR</v>
      </c>
      <c r="F32" s="97" t="str">
        <f>IFERROR(__xludf.DUMMYFUNCTION("""COMPUTED_VALUE"""),"Door Bar")</f>
        <v>Door Bar</v>
      </c>
      <c r="G32" s="97" t="str">
        <f>IFERROR(__xludf.DUMMYFUNCTION("""COMPUTED_VALUE"""),"Agus")</f>
        <v>Agus</v>
      </c>
      <c r="H32" s="97" t="str">
        <f>IFERROR(__xludf.DUMMYFUNCTION("""COMPUTED_VALUE"""),"DAL")</f>
        <v>DAL</v>
      </c>
      <c r="I32" s="97" t="str">
        <f>IFERROR(__xludf.DUMMYFUNCTION("""COMPUTED_VALUE"""),"8 Standby")</f>
        <v>8 Standby</v>
      </c>
      <c r="J32" s="97" t="str">
        <f>IFERROR(__xludf.DUMMYFUNCTION("""COMPUTED_VALUE"""),"L")</f>
        <v>L</v>
      </c>
      <c r="K32" s="111"/>
      <c r="L32" s="96"/>
      <c r="M32" s="96">
        <f>COUNTIFS(
 'RAW RESULTS'!D:D,$A$3,
 'RAW RESULTS'!G:G,L32,
 'RAW RESULTS'!J:J,"W"
)</f>
        <v>0</v>
      </c>
      <c r="N32" s="96">
        <f>COUNTIFS(
 'RAW RESULTS'!D:D,$A$3,
 'RAW RESULTS'!G:G,L32,
 'RAW RESULTS'!J:J,"L"
)</f>
        <v>0</v>
      </c>
      <c r="O32" s="123">
        <f t="shared" si="3"/>
        <v>0</v>
      </c>
      <c r="P32" s="111"/>
      <c r="U32" s="123">
        <f t="shared" si="1"/>
        <v>0</v>
      </c>
      <c r="V32" s="111"/>
      <c r="AB32" s="123">
        <f t="shared" si="2"/>
        <v>0</v>
      </c>
      <c r="AC32" s="119"/>
    </row>
    <row r="33" ht="15.75" customHeight="1">
      <c r="K33" s="126"/>
      <c r="L33" s="96"/>
      <c r="M33" s="96">
        <f>COUNTIFS(
 'RAW RESULTS'!D:D,$A$3,
 'RAW RESULTS'!G:G,L33,
 'RAW RESULTS'!J:J,"W"
)</f>
        <v>0</v>
      </c>
      <c r="N33" s="96">
        <f>COUNTIFS(
 'RAW RESULTS'!D:D,$A$3,
 'RAW RESULTS'!G:G,L33,
 'RAW RESULTS'!J:J,"L"
)</f>
        <v>0</v>
      </c>
      <c r="O33" s="123">
        <f t="shared" si="3"/>
        <v>0</v>
      </c>
      <c r="P33" s="111"/>
      <c r="U33" s="123">
        <f t="shared" si="1"/>
        <v>0</v>
      </c>
      <c r="V33" s="111"/>
      <c r="AB33" s="123">
        <f t="shared" si="2"/>
        <v>0</v>
      </c>
      <c r="AC33" s="119"/>
    </row>
    <row r="34" ht="15.75" customHeight="1">
      <c r="K34" s="126"/>
      <c r="L34" s="96"/>
      <c r="M34" s="96">
        <f>COUNTIFS(
 'RAW RESULTS'!D:D,$A$3,
 'RAW RESULTS'!G:G,L34,
 'RAW RESULTS'!J:J,"W"
)</f>
        <v>0</v>
      </c>
      <c r="N34" s="96">
        <f>COUNTIFS(
 'RAW RESULTS'!D:D,$A$3,
 'RAW RESULTS'!G:G,L34,
 'RAW RESULTS'!J:J,"L"
)</f>
        <v>0</v>
      </c>
      <c r="O34" s="123">
        <f t="shared" si="3"/>
        <v>0</v>
      </c>
      <c r="P34" s="111"/>
      <c r="U34" s="123">
        <f t="shared" si="1"/>
        <v>0</v>
      </c>
      <c r="V34" s="111"/>
      <c r="AB34" s="123">
        <f t="shared" si="2"/>
        <v>0</v>
      </c>
      <c r="AC34" s="119"/>
    </row>
    <row r="35" ht="15.75" customHeight="1">
      <c r="K35" s="126"/>
      <c r="L35" s="96"/>
      <c r="M35" s="96">
        <f>COUNTIFS(
 'RAW RESULTS'!D:D,$A$3,
 'RAW RESULTS'!G:G,L35,
 'RAW RESULTS'!J:J,"W"
)</f>
        <v>0</v>
      </c>
      <c r="N35" s="96">
        <f>COUNTIFS(
 'RAW RESULTS'!D:D,$A$3,
 'RAW RESULTS'!G:G,L35,
 'RAW RESULTS'!J:J,"L"
)</f>
        <v>0</v>
      </c>
      <c r="O35" s="123">
        <f t="shared" si="3"/>
        <v>0</v>
      </c>
      <c r="P35" s="111"/>
      <c r="U35" s="123">
        <f t="shared" si="1"/>
        <v>0</v>
      </c>
      <c r="V35" s="111"/>
      <c r="AB35" s="123">
        <f t="shared" si="2"/>
        <v>0</v>
      </c>
      <c r="AC35" s="119"/>
    </row>
    <row r="36" ht="15.75" customHeight="1">
      <c r="K36" s="126"/>
      <c r="L36" s="96"/>
      <c r="M36" s="96">
        <f>COUNTIFS(
 'RAW RESULTS'!D:D,$A$3,
 'RAW RESULTS'!G:G,L36,
 'RAW RESULTS'!J:J,"W"
)</f>
        <v>0</v>
      </c>
      <c r="N36" s="96">
        <f>COUNTIFS(
 'RAW RESULTS'!D:D,$A$3,
 'RAW RESULTS'!G:G,L36,
 'RAW RESULTS'!J:J,"L"
)</f>
        <v>0</v>
      </c>
      <c r="O36" s="123">
        <f t="shared" si="3"/>
        <v>0</v>
      </c>
      <c r="P36" s="111"/>
      <c r="U36" s="123">
        <f t="shared" si="1"/>
        <v>0</v>
      </c>
      <c r="V36" s="111"/>
      <c r="AB36" s="123">
        <f t="shared" si="2"/>
        <v>0</v>
      </c>
      <c r="AC36" s="119"/>
    </row>
    <row r="37" ht="15.75" customHeight="1">
      <c r="K37" s="126"/>
      <c r="L37" s="96"/>
      <c r="M37" s="96">
        <f>COUNTIFS(
 'RAW RESULTS'!D:D,$A$3,
 'RAW RESULTS'!G:G,L37,
 'RAW RESULTS'!J:J,"W"
)</f>
        <v>0</v>
      </c>
      <c r="N37" s="96">
        <f>COUNTIFS(
 'RAW RESULTS'!D:D,$A$3,
 'RAW RESULTS'!G:G,L37,
 'RAW RESULTS'!J:J,"L"
)</f>
        <v>0</v>
      </c>
      <c r="O37" s="123">
        <f t="shared" si="3"/>
        <v>0</v>
      </c>
      <c r="P37" s="111"/>
      <c r="U37" s="123">
        <f t="shared" si="1"/>
        <v>0</v>
      </c>
      <c r="V37" s="111"/>
      <c r="AB37" s="123">
        <f t="shared" si="2"/>
        <v>0</v>
      </c>
      <c r="AC37" s="119"/>
    </row>
    <row r="38" ht="15.75" customHeight="1">
      <c r="K38" s="126"/>
      <c r="L38" s="96"/>
      <c r="M38" s="96">
        <f>COUNTIFS(
 'RAW RESULTS'!D:D,$A$3,
 'RAW RESULTS'!G:G,L38,
 'RAW RESULTS'!J:J,"W"
)</f>
        <v>0</v>
      </c>
      <c r="N38" s="96">
        <f>COUNTIFS(
 'RAW RESULTS'!D:D,$A$3,
 'RAW RESULTS'!G:G,L38,
 'RAW RESULTS'!J:J,"L"
)</f>
        <v>0</v>
      </c>
      <c r="O38" s="123">
        <f t="shared" si="3"/>
        <v>0</v>
      </c>
      <c r="P38" s="111"/>
      <c r="U38" s="123">
        <f t="shared" si="1"/>
        <v>0</v>
      </c>
      <c r="V38" s="111"/>
      <c r="AB38" s="123">
        <f t="shared" si="2"/>
        <v>0</v>
      </c>
      <c r="AC38" s="119"/>
    </row>
    <row r="39" ht="15.75" customHeight="1">
      <c r="K39" s="126"/>
      <c r="M39" s="96">
        <f>COUNTIFS(
 'RAW RESULTS'!D:D,$A$3,
 'RAW RESULTS'!G:G,L39,
 'RAW RESULTS'!J:J,"W"
)</f>
        <v>0</v>
      </c>
      <c r="N39" s="96">
        <f>COUNTIFS(
 'RAW RESULTS'!D:D,$A$3,
 'RAW RESULTS'!G:G,L39,
 'RAW RESULTS'!J:J,"L"
)</f>
        <v>0</v>
      </c>
      <c r="O39" s="123">
        <f t="shared" si="3"/>
        <v>0</v>
      </c>
      <c r="P39" s="111"/>
      <c r="U39" s="123">
        <f t="shared" si="1"/>
        <v>0</v>
      </c>
      <c r="V39" s="111"/>
      <c r="AB39" s="123">
        <f t="shared" si="2"/>
        <v>0</v>
      </c>
      <c r="AC39" s="119"/>
    </row>
    <row r="40" ht="15.75" customHeight="1">
      <c r="K40" s="126"/>
      <c r="M40" s="96">
        <f>COUNTIFS(
 'RAW RESULTS'!D:D,$A$3,
 'RAW RESULTS'!G:G,L40,
 'RAW RESULTS'!J:J,"W"
)</f>
        <v>0</v>
      </c>
      <c r="N40" s="96">
        <f>COUNTIFS(
 'RAW RESULTS'!D:D,$A$3,
 'RAW RESULTS'!G:G,L40,
 'RAW RESULTS'!J:J,"L"
)</f>
        <v>0</v>
      </c>
      <c r="O40" s="123">
        <f t="shared" si="3"/>
        <v>0</v>
      </c>
      <c r="P40" s="111"/>
      <c r="U40" s="123">
        <f t="shared" si="1"/>
        <v>0</v>
      </c>
      <c r="V40" s="111"/>
      <c r="AB40" s="123">
        <f t="shared" si="2"/>
        <v>0</v>
      </c>
      <c r="AC40" s="119"/>
    </row>
    <row r="41" ht="15.75" customHeight="1">
      <c r="K41" s="126"/>
      <c r="L41" s="96"/>
      <c r="M41" s="96">
        <f>COUNTIFS(
 'RAW RESULTS'!D:D,$A$3,
 'RAW RESULTS'!G:G,L41,
 'RAW RESULTS'!J:J,"W"
)</f>
        <v>0</v>
      </c>
      <c r="N41" s="96">
        <f>COUNTIFS(
 'RAW RESULTS'!D:D,$A$3,
 'RAW RESULTS'!G:G,L41,
 'RAW RESULTS'!J:J,"L"
)</f>
        <v>0</v>
      </c>
      <c r="O41" s="123">
        <f t="shared" si="3"/>
        <v>0</v>
      </c>
      <c r="P41" s="111"/>
      <c r="U41" s="123">
        <f t="shared" si="1"/>
        <v>0</v>
      </c>
      <c r="V41" s="111"/>
      <c r="AB41" s="123">
        <f t="shared" si="2"/>
        <v>0</v>
      </c>
      <c r="AC41" s="119"/>
    </row>
    <row r="42" ht="15.75" customHeight="1">
      <c r="K42" s="126"/>
      <c r="P42" s="111"/>
      <c r="V42" s="111"/>
      <c r="AB42" s="123">
        <f t="shared" si="2"/>
        <v>0</v>
      </c>
      <c r="AC42" s="119"/>
    </row>
    <row r="43" ht="15.75" customHeight="1">
      <c r="P43" s="111"/>
      <c r="V43" s="111"/>
      <c r="AC43" s="11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5:$J$37"/>
  <mergeCells count="8">
    <mergeCell ref="A2:C2"/>
    <mergeCell ref="D2:H12"/>
    <mergeCell ref="A3:C3"/>
    <mergeCell ref="A14:J14"/>
    <mergeCell ref="L14:O14"/>
    <mergeCell ref="Q14:U14"/>
    <mergeCell ref="W14:AB14"/>
    <mergeCell ref="L19:O19"/>
  </mergeCells>
  <conditionalFormatting sqref="E15">
    <cfRule type="containsText" dxfId="7" priority="1" operator="containsText" text="NIK">
      <formula>NOT(ISERROR(SEARCH(("NIK"),(E15))))</formula>
    </cfRule>
  </conditionalFormatting>
  <conditionalFormatting sqref="J15:J55">
    <cfRule type="beginsWith" dxfId="8" priority="2" operator="beginsWith" text="W">
      <formula>LEFT((J15),LEN("W"))=("W")</formula>
    </cfRule>
  </conditionalFormatting>
  <conditionalFormatting sqref="J15:J152">
    <cfRule type="beginsWith" dxfId="9" priority="3" operator="beginsWith" text="L">
      <formula>LEFT((J15),LEN("L"))=("L")</formula>
    </cfRule>
  </conditionalFormatting>
  <conditionalFormatting sqref="A15:A143">
    <cfRule type="colorScale" priority="4">
      <colorScale>
        <cfvo type="formula" val="0"/>
        <cfvo type="formula" val="5"/>
        <color rgb="FFFFFFFF"/>
        <color rgb="FFFFD666"/>
      </colorScale>
    </cfRule>
  </conditionalFormatting>
  <conditionalFormatting sqref="C15:C155">
    <cfRule type="colorScale" priority="5">
      <colorScale>
        <cfvo type="formula" val="1"/>
        <cfvo type="formula" val="5"/>
        <color rgb="FFCFE2F3"/>
        <color rgb="FF9FC5E8"/>
      </colorScale>
    </cfRule>
  </conditionalFormatting>
  <conditionalFormatting sqref="O21:O58">
    <cfRule type="colorScale" priority="6">
      <colorScale>
        <cfvo type="percent" val="0"/>
        <cfvo type="percent" val="100"/>
        <color rgb="FFE67C73"/>
        <color rgb="FF57BB8A"/>
      </colorScale>
    </cfRule>
  </conditionalFormatting>
  <conditionalFormatting sqref="O16">
    <cfRule type="colorScale" priority="7">
      <colorScale>
        <cfvo type="percent" val="0"/>
        <cfvo type="percent" val="100"/>
        <color rgb="FFE06666"/>
        <color rgb="FF93C47D"/>
      </colorScale>
    </cfRule>
  </conditionalFormatting>
  <conditionalFormatting sqref="U16:U44">
    <cfRule type="colorScale" priority="8">
      <colorScale>
        <cfvo type="percent" val="0"/>
        <cfvo type="percent" val="100"/>
        <color rgb="FFE06666"/>
        <color rgb="FF6AA84F"/>
      </colorScale>
    </cfRule>
  </conditionalFormatting>
  <conditionalFormatting sqref="AB16:AB45">
    <cfRule type="colorScale" priority="9">
      <colorScale>
        <cfvo type="percent" val="0"/>
        <cfvo type="percent" val="100"/>
        <color rgb="FFE06666"/>
        <color rgb="FF6AA84F"/>
      </colorScale>
    </cfRule>
  </conditionalFormatting>
  <dataValidations>
    <dataValidation type="list" allowBlank="1" showErrorMessage="1" sqref="A3">
      <formula1>'Player Refs'!$A$4:$A$84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20.25"/>
    <col customWidth="1" min="3" max="3" width="15.38"/>
    <col customWidth="1" min="4" max="4" width="8.63"/>
    <col customWidth="1" min="5" max="5" width="18.63"/>
    <col customWidth="1" min="6" max="6" width="17.5"/>
    <col customWidth="1" min="7" max="7" width="11.38"/>
    <col customWidth="1" min="8" max="8" width="23.25"/>
    <col customWidth="1" min="9" max="9" width="14.13"/>
    <col customWidth="1" min="10" max="10" width="13.13"/>
    <col customWidth="1" min="11" max="11" width="10.63"/>
    <col customWidth="1" min="12" max="12" width="13.0"/>
    <col customWidth="1" min="13" max="13" width="15.38"/>
    <col customWidth="1" min="14" max="14" width="14.25"/>
    <col customWidth="1" min="15" max="15" width="21.25"/>
    <col customWidth="1" min="16" max="16" width="25.63"/>
    <col customWidth="1" min="17" max="17" width="19.63"/>
    <col customWidth="1" min="18" max="18" width="12.88"/>
    <col customWidth="1" min="19" max="19" width="17.38"/>
    <col customWidth="1" min="22" max="22" width="20.63"/>
    <col customWidth="1" min="27" max="27" width="15.25"/>
    <col customWidth="1" min="28" max="28" width="13.13"/>
    <col customWidth="1" min="29" max="29" width="17.0"/>
    <col customWidth="1" min="30" max="30" width="14.88"/>
    <col customWidth="1" min="31" max="31" width="8.88"/>
    <col customWidth="1" min="32" max="32" width="10.38"/>
    <col customWidth="1" min="33" max="33" width="7.63"/>
    <col customWidth="1" min="35" max="35" width="13.25"/>
    <col customWidth="1" min="36" max="37" width="7.63"/>
  </cols>
  <sheetData>
    <row r="1" ht="22.5" customHeight="1">
      <c r="A1" s="127" t="s">
        <v>53</v>
      </c>
      <c r="B1" s="128" t="s">
        <v>54</v>
      </c>
      <c r="C1" s="128" t="s">
        <v>12</v>
      </c>
      <c r="D1" s="128" t="s">
        <v>4</v>
      </c>
      <c r="E1" s="128" t="s">
        <v>55</v>
      </c>
      <c r="F1" s="128" t="s">
        <v>50</v>
      </c>
      <c r="G1" s="128" t="s">
        <v>51</v>
      </c>
      <c r="H1" s="128" t="s">
        <v>56</v>
      </c>
      <c r="I1" s="128" t="s">
        <v>57</v>
      </c>
      <c r="J1" s="128" t="s">
        <v>58</v>
      </c>
      <c r="K1" s="128" t="s">
        <v>59</v>
      </c>
      <c r="L1" s="129" t="s">
        <v>60</v>
      </c>
      <c r="M1" s="130"/>
      <c r="N1" s="131" t="str">
        <f>IFERROR(__xludf.DUMMYFUNCTION("QUERY(
 'Raw Data'!B:K,
 ""SELECT
   C,
   SUM(F)+SUM(G),
   SUM(F),
   SUM(G)
  WHERE NOT C CONTAINS 'Anonymous'
    AND C &lt;&gt; ''
  GROUP BY C
  LABEL
   C 'Jugador',
   SUM(F)+SUM(G) 'Jugadas',
   SUM(F) 'Wins',
   SUM(G) 'Losses'"",
 0
)"),"Jugador")</f>
        <v>Jugador</v>
      </c>
      <c r="O1" s="132" t="str">
        <f>IFERROR(__xludf.DUMMYFUNCTION("""COMPUTED_VALUE"""),"Jugadas")</f>
        <v>Jugadas</v>
      </c>
      <c r="P1" s="132" t="str">
        <f>IFERROR(__xludf.DUMMYFUNCTION("""COMPUTED_VALUE"""),"Wins")</f>
        <v>Wins</v>
      </c>
      <c r="Q1" s="132" t="str">
        <f>IFERROR(__xludf.DUMMYFUNCTION("""COMPUTED_VALUE"""),"Losses")</f>
        <v>Losses</v>
      </c>
      <c r="R1" s="131" t="s">
        <v>61</v>
      </c>
      <c r="S1" s="131" t="s">
        <v>62</v>
      </c>
      <c r="T1" s="133"/>
      <c r="U1" s="134" t="str">
        <f>IFERROR(__xludf.DUMMYFUNCTION("QUERY('Raw Data'!B:K,""SELECT D,E,SUM(F),SUM(G),SUM(F)+SUM(G) WHERE (D &lt;&gt; '') GROUP BY D,E LABEL D 'SET', E 'Deck', SUM(F) 'Wins', SUM(G) 'Losses', SUM(F)+SUM(G) 'Jugadas'"",1)"),"SET")</f>
        <v>SET</v>
      </c>
      <c r="V1" s="134" t="str">
        <f>IFERROR(__xludf.DUMMYFUNCTION("""COMPUTED_VALUE"""),"Deck")</f>
        <v>Deck</v>
      </c>
      <c r="W1" s="134" t="str">
        <f>IFERROR(__xludf.DUMMYFUNCTION("""COMPUTED_VALUE"""),"Wins")</f>
        <v>Wins</v>
      </c>
      <c r="X1" s="134" t="str">
        <f>IFERROR(__xludf.DUMMYFUNCTION("""COMPUTED_VALUE"""),"Losses")</f>
        <v>Losses</v>
      </c>
      <c r="Y1" s="134" t="str">
        <f>IFERROR(__xludf.DUMMYFUNCTION("""COMPUTED_VALUE"""),"Jugadas")</f>
        <v>Jugadas</v>
      </c>
      <c r="Z1" s="134" t="str">
        <f>IFERROR(__xludf.DUMMYFUNCTION("QUERY('Raw Data'!W:Y,""SELECT Col1/Col3 LABEL Col1/Col3 'Win Rate'"",1)"),"Win Rate")</f>
        <v>Win Rate</v>
      </c>
      <c r="AA1" s="135"/>
      <c r="AB1" s="136" t="str">
        <f>IFERROR(__xludf.DUMMYFUNCTION("QUERY(
 'Raw Data'!B:K,
 ""SELECT C,SUM(F)+SUM(G)
  WHERE NOT C CONTAINS 'Anonymous'
  AND (C &lt;&gt; '')
  AND B &gt;= date '""&amp;TEXT(DATE(YEAR(TODAY()),MONTH(TODAY()),1),""yyyy-MM-dd"")&amp;""'
  GROUP BY C
  ORDER BY SUM(F)+SUM(G) DESC
  LABEL
   C 'Jugador',
   SU"&amp;"M(F)+SUM(G) 'Partidas Jugadas'"",
 1
)"),"Jugador")</f>
        <v>Jugador</v>
      </c>
      <c r="AC1" s="136" t="str">
        <f>IFERROR(__xludf.DUMMYFUNCTION("""COMPUTED_VALUE"""),"Partidas Jugadas")</f>
        <v>Partidas Jugadas</v>
      </c>
      <c r="AD1" s="137" t="s">
        <v>63</v>
      </c>
      <c r="AE1" s="135"/>
      <c r="AF1" s="135"/>
      <c r="AG1" s="135"/>
      <c r="AH1" s="135"/>
      <c r="AI1" s="135"/>
      <c r="AJ1" s="138"/>
      <c r="AK1" s="127" t="s">
        <v>12</v>
      </c>
    </row>
    <row r="2" ht="22.5" customHeight="1">
      <c r="B2" s="139">
        <v>46144.0</v>
      </c>
      <c r="C2" s="140" t="s">
        <v>64</v>
      </c>
      <c r="D2" s="140" t="s">
        <v>65</v>
      </c>
      <c r="E2" s="141" t="s">
        <v>66</v>
      </c>
      <c r="F2" s="141">
        <v>4.0</v>
      </c>
      <c r="G2" s="141">
        <f t="shared" ref="G2:G16" si="1">L2-F2</f>
        <v>0</v>
      </c>
      <c r="I2" s="141">
        <v>1.0</v>
      </c>
      <c r="L2" s="141">
        <v>4.0</v>
      </c>
      <c r="M2" s="142"/>
      <c r="N2" s="143" t="str">
        <f>IFERROR(__xludf.DUMMYFUNCTION("""COMPUTED_VALUE"""),"AC5")</f>
        <v>AC5</v>
      </c>
      <c r="O2" s="143">
        <f>IFERROR(__xludf.DUMMYFUNCTION("""COMPUTED_VALUE"""),16.0)</f>
        <v>16</v>
      </c>
      <c r="P2" s="143">
        <f>IFERROR(__xludf.DUMMYFUNCTION("""COMPUTED_VALUE"""),5.0)</f>
        <v>5</v>
      </c>
      <c r="Q2" s="143">
        <f>IFERROR(__xludf.DUMMYFUNCTION("""COMPUTED_VALUE"""),11.0)</f>
        <v>11</v>
      </c>
      <c r="R2" s="144">
        <f t="array" ref="R2:R1001">IF(N2:N1001="",
 "",
 P2:P1001/O2:O1001
 )</f>
        <v>0.3125</v>
      </c>
      <c r="S2" s="143">
        <f>IFERROR(__xludf.DUMMYFUNCTION("COUNTUNIQUE(
 FILTER(
  'Raw Data'!D:D,
  'Raw Data'!C:C=N2
 )
)"),1.0)</f>
        <v>1</v>
      </c>
      <c r="U2" s="143" t="str">
        <f>IFERROR(__xludf.DUMMYFUNCTION("""COMPUTED_VALUE"""),"5HY")</f>
        <v>5HY</v>
      </c>
      <c r="V2" s="143" t="str">
        <f>IFERROR(__xludf.DUMMYFUNCTION("""COMPUTED_VALUE"""),"Nino")</f>
        <v>Nino</v>
      </c>
      <c r="W2" s="143">
        <f>IFERROR(__xludf.DUMMYFUNCTION("""COMPUTED_VALUE"""),5.0)</f>
        <v>5</v>
      </c>
      <c r="X2" s="143">
        <f>IFERROR(__xludf.DUMMYFUNCTION("""COMPUTED_VALUE"""),4.0)</f>
        <v>4</v>
      </c>
      <c r="Y2" s="143">
        <f>IFERROR(__xludf.DUMMYFUNCTION("""COMPUTED_VALUE"""),9.0)</f>
        <v>9</v>
      </c>
      <c r="Z2" s="145">
        <f>IFERROR(__xludf.DUMMYFUNCTION("""COMPUTED_VALUE"""),0.5555555555555556)</f>
        <v>0.5555555556</v>
      </c>
      <c r="AB2" s="143"/>
      <c r="AC2" s="143"/>
      <c r="AD2" s="143">
        <f>IFERROR(__xludf.DUMMYFUNCTION("COUNTUNIQUE(
 FILTER(
  'Raw Data'!C:C,
  'Raw Data'!D:D=AB2,
  'Raw Data'!B:B&gt;=DATE(YEAR(TODAY()),MONTH(TODAY()),1)
 )
)"),1.0)</f>
        <v>1</v>
      </c>
      <c r="AJ2" s="146"/>
    </row>
    <row r="3" ht="22.5" customHeight="1">
      <c r="B3" s="139">
        <v>46144.0</v>
      </c>
      <c r="C3" s="140" t="s">
        <v>67</v>
      </c>
      <c r="D3" s="140" t="s">
        <v>68</v>
      </c>
      <c r="E3" s="141" t="s">
        <v>69</v>
      </c>
      <c r="F3" s="141">
        <v>3.0</v>
      </c>
      <c r="G3" s="141">
        <f t="shared" si="1"/>
        <v>1</v>
      </c>
      <c r="I3" s="141">
        <v>1.0</v>
      </c>
      <c r="L3" s="141">
        <v>4.0</v>
      </c>
      <c r="M3" s="142"/>
      <c r="N3" s="143" t="str">
        <f>IFERROR(__xludf.DUMMYFUNCTION("""COMPUTED_VALUE"""),"Agus")</f>
        <v>Agus</v>
      </c>
      <c r="O3" s="143">
        <f>IFERROR(__xludf.DUMMYFUNCTION("""COMPUTED_VALUE"""),22.0)</f>
        <v>22</v>
      </c>
      <c r="P3" s="143">
        <f>IFERROR(__xludf.DUMMYFUNCTION("""COMPUTED_VALUE"""),11.0)</f>
        <v>11</v>
      </c>
      <c r="Q3" s="143">
        <f>IFERROR(__xludf.DUMMYFUNCTION("""COMPUTED_VALUE"""),11.0)</f>
        <v>11</v>
      </c>
      <c r="R3" s="144">
        <v>0.5</v>
      </c>
      <c r="S3" s="143">
        <f>IFERROR(__xludf.DUMMYFUNCTION("COUNTUNIQUE(
 FILTER(
  'Raw Data'!D:D,
  'Raw Data'!C:C=N3
 )
)"),2.0)</f>
        <v>2</v>
      </c>
      <c r="U3" s="143" t="str">
        <f>IFERROR(__xludf.DUMMYFUNCTION("""COMPUTED_VALUE"""),"?")</f>
        <v>?</v>
      </c>
      <c r="V3" s="143" t="str">
        <f>IFERROR(__xludf.DUMMYFUNCTION("""COMPUTED_VALUE"""),"?")</f>
        <v>?</v>
      </c>
      <c r="W3" s="143">
        <f>IFERROR(__xludf.DUMMYFUNCTION("""COMPUTED_VALUE"""),37.0)</f>
        <v>37</v>
      </c>
      <c r="X3" s="143">
        <f>IFERROR(__xludf.DUMMYFUNCTION("""COMPUTED_VALUE"""),50.0)</f>
        <v>50</v>
      </c>
      <c r="Y3" s="143">
        <f>IFERROR(__xludf.DUMMYFUNCTION("""COMPUTED_VALUE"""),87.0)</f>
        <v>87</v>
      </c>
      <c r="Z3" s="145">
        <f>IFERROR(__xludf.DUMMYFUNCTION("""COMPUTED_VALUE"""),0.42528735632183906)</f>
        <v>0.4252873563</v>
      </c>
      <c r="AB3" s="143"/>
      <c r="AC3" s="143"/>
      <c r="AD3" s="143">
        <f>IFERROR(__xludf.DUMMYFUNCTION("COUNTUNIQUE(
 FILTER(
  'Raw Data'!C:C,
  'Raw Data'!D:D=AB3,
  'Raw Data'!B:B&gt;=DATE(YEAR(TODAY()),MONTH(TODAY()),1)
 )
)"),1.0)</f>
        <v>1</v>
      </c>
      <c r="AJ3" s="146"/>
    </row>
    <row r="4" ht="22.5" customHeight="1">
      <c r="B4" s="139">
        <v>46144.0</v>
      </c>
      <c r="C4" s="140" t="s">
        <v>70</v>
      </c>
      <c r="D4" s="140" t="s">
        <v>68</v>
      </c>
      <c r="E4" s="141" t="s">
        <v>71</v>
      </c>
      <c r="F4" s="141">
        <v>3.0</v>
      </c>
      <c r="G4" s="141">
        <f t="shared" si="1"/>
        <v>1</v>
      </c>
      <c r="I4" s="141">
        <v>1.0</v>
      </c>
      <c r="L4" s="141">
        <v>4.0</v>
      </c>
      <c r="M4" s="142"/>
      <c r="N4" s="143" t="str">
        <f>IFERROR(__xludf.DUMMYFUNCTION("""COMPUTED_VALUE"""),"Alcruz23")</f>
        <v>Alcruz23</v>
      </c>
      <c r="O4" s="143">
        <f>IFERROR(__xludf.DUMMYFUNCTION("""COMPUTED_VALUE"""),4.0)</f>
        <v>4</v>
      </c>
      <c r="P4" s="143">
        <f>IFERROR(__xludf.DUMMYFUNCTION("""COMPUTED_VALUE"""),0.0)</f>
        <v>0</v>
      </c>
      <c r="Q4" s="143">
        <f>IFERROR(__xludf.DUMMYFUNCTION("""COMPUTED_VALUE"""),4.0)</f>
        <v>4</v>
      </c>
      <c r="R4" s="144">
        <v>0.0</v>
      </c>
      <c r="S4" s="143">
        <f>IFERROR(__xludf.DUMMYFUNCTION("COUNTUNIQUE(
 FILTER(
  'Raw Data'!D:D,
  'Raw Data'!C:C=N4
 )
)"),1.0)</f>
        <v>1</v>
      </c>
      <c r="U4" s="143" t="str">
        <f>IFERROR(__xludf.DUMMYFUNCTION("""COMPUTED_VALUE"""),"ARI")</f>
        <v>ARI</v>
      </c>
      <c r="V4" s="143" t="str">
        <f>IFERROR(__xludf.DUMMYFUNCTION("""COMPUTED_VALUE"""),"2Soul Bar")</f>
        <v>2Soul Bar</v>
      </c>
      <c r="W4" s="143">
        <f>IFERROR(__xludf.DUMMYFUNCTION("""COMPUTED_VALUE"""),2.0)</f>
        <v>2</v>
      </c>
      <c r="X4" s="143">
        <f>IFERROR(__xludf.DUMMYFUNCTION("""COMPUTED_VALUE"""),2.0)</f>
        <v>2</v>
      </c>
      <c r="Y4" s="143">
        <f>IFERROR(__xludf.DUMMYFUNCTION("""COMPUTED_VALUE"""),4.0)</f>
        <v>4</v>
      </c>
      <c r="Z4" s="145">
        <f>IFERROR(__xludf.DUMMYFUNCTION("""COMPUTED_VALUE"""),0.5)</f>
        <v>0.5</v>
      </c>
      <c r="AB4" s="143"/>
      <c r="AC4" s="143"/>
      <c r="AD4" s="143">
        <f>IFERROR(__xludf.DUMMYFUNCTION("COUNTUNIQUE(
 FILTER(
  'Raw Data'!C:C,
  'Raw Data'!D:D=AB4,
  'Raw Data'!B:B&gt;=DATE(YEAR(TODAY()),MONTH(TODAY()),1)
 )
)"),1.0)</f>
        <v>1</v>
      </c>
      <c r="AJ4" s="146"/>
    </row>
    <row r="5" ht="22.5" customHeight="1">
      <c r="B5" s="139">
        <v>46144.0</v>
      </c>
      <c r="C5" s="140" t="s">
        <v>72</v>
      </c>
      <c r="D5" s="140" t="s">
        <v>68</v>
      </c>
      <c r="E5" s="141" t="s">
        <v>73</v>
      </c>
      <c r="F5" s="141">
        <v>3.0</v>
      </c>
      <c r="G5" s="141">
        <f t="shared" si="1"/>
        <v>1</v>
      </c>
      <c r="I5" s="141">
        <v>1.0</v>
      </c>
      <c r="L5" s="141">
        <v>4.0</v>
      </c>
      <c r="M5" s="142"/>
      <c r="N5" s="143" t="str">
        <f>IFERROR(__xludf.DUMMYFUNCTION("""COMPUTED_VALUE"""),"Angladita")</f>
        <v>Angladita</v>
      </c>
      <c r="O5" s="143">
        <f>IFERROR(__xludf.DUMMYFUNCTION("""COMPUTED_VALUE"""),18.0)</f>
        <v>18</v>
      </c>
      <c r="P5" s="143">
        <f>IFERROR(__xludf.DUMMYFUNCTION("""COMPUTED_VALUE"""),12.0)</f>
        <v>12</v>
      </c>
      <c r="Q5" s="143">
        <f>IFERROR(__xludf.DUMMYFUNCTION("""COMPUTED_VALUE"""),6.0)</f>
        <v>6</v>
      </c>
      <c r="R5" s="144">
        <v>0.6666666666666666</v>
      </c>
      <c r="S5" s="143">
        <f>IFERROR(__xludf.DUMMYFUNCTION("COUNTUNIQUE(
 FILTER(
  'Raw Data'!D:D,
  'Raw Data'!C:C=N5
 )
)"),3.0)</f>
        <v>3</v>
      </c>
      <c r="U5" s="143" t="str">
        <f>IFERROR(__xludf.DUMMYFUNCTION("""COMPUTED_VALUE"""),"AYT")</f>
        <v>AYT</v>
      </c>
      <c r="V5" s="143" t="str">
        <f>IFERROR(__xludf.DUMMYFUNCTION("""COMPUTED_VALUE"""),"8 Pants")</f>
        <v>8 Pants</v>
      </c>
      <c r="W5" s="143">
        <f>IFERROR(__xludf.DUMMYFUNCTION("""COMPUTED_VALUE"""),6.0)</f>
        <v>6</v>
      </c>
      <c r="X5" s="143">
        <f>IFERROR(__xludf.DUMMYFUNCTION("""COMPUTED_VALUE"""),2.0)</f>
        <v>2</v>
      </c>
      <c r="Y5" s="143">
        <f>IFERROR(__xludf.DUMMYFUNCTION("""COMPUTED_VALUE"""),8.0)</f>
        <v>8</v>
      </c>
      <c r="Z5" s="145">
        <f>IFERROR(__xludf.DUMMYFUNCTION("""COMPUTED_VALUE"""),0.75)</f>
        <v>0.75</v>
      </c>
      <c r="AB5" s="143"/>
      <c r="AC5" s="143"/>
      <c r="AD5" s="143">
        <f>IFERROR(__xludf.DUMMYFUNCTION("COUNTUNIQUE(
 FILTER(
  'Raw Data'!C:C,
  'Raw Data'!D:D=AB5,
  'Raw Data'!B:B&gt;=DATE(YEAR(TODAY()),MONTH(TODAY()),1)
 )
)"),1.0)</f>
        <v>1</v>
      </c>
      <c r="AJ5" s="146"/>
    </row>
    <row r="6" ht="22.5" customHeight="1">
      <c r="B6" s="139">
        <v>46144.0</v>
      </c>
      <c r="C6" s="140" t="s">
        <v>74</v>
      </c>
      <c r="D6" s="140" t="s">
        <v>75</v>
      </c>
      <c r="E6" s="141" t="s">
        <v>76</v>
      </c>
      <c r="F6" s="141">
        <v>3.0</v>
      </c>
      <c r="G6" s="141">
        <f t="shared" si="1"/>
        <v>1</v>
      </c>
      <c r="I6" s="141">
        <v>1.0</v>
      </c>
      <c r="L6" s="141">
        <v>4.0</v>
      </c>
      <c r="M6" s="142"/>
      <c r="N6" s="143" t="str">
        <f>IFERROR(__xludf.DUMMYFUNCTION("""COMPUTED_VALUE"""),"Calvo Tieso")</f>
        <v>Calvo Tieso</v>
      </c>
      <c r="O6" s="143">
        <f>IFERROR(__xludf.DUMMYFUNCTION("""COMPUTED_VALUE"""),14.0)</f>
        <v>14</v>
      </c>
      <c r="P6" s="143">
        <f>IFERROR(__xludf.DUMMYFUNCTION("""COMPUTED_VALUE"""),8.0)</f>
        <v>8</v>
      </c>
      <c r="Q6" s="143">
        <f>IFERROR(__xludf.DUMMYFUNCTION("""COMPUTED_VALUE"""),6.0)</f>
        <v>6</v>
      </c>
      <c r="R6" s="144">
        <v>0.5714285714285714</v>
      </c>
      <c r="S6" s="143">
        <f>IFERROR(__xludf.DUMMYFUNCTION("COUNTUNIQUE(
 FILTER(
  'Raw Data'!D:D,
  'Raw Data'!C:C=N6
 )
)"),1.0)</f>
        <v>1</v>
      </c>
      <c r="U6" s="143" t="str">
        <f>IFERROR(__xludf.DUMMYFUNCTION("""COMPUTED_VALUE"""),"AZL")</f>
        <v>AZL</v>
      </c>
      <c r="V6" s="143" t="str">
        <f>IFERROR(__xludf.DUMMYFUNCTION("""COMPUTED_VALUE"""),"6 Standby 2 Choice")</f>
        <v>6 Standby 2 Choice</v>
      </c>
      <c r="W6" s="143">
        <f>IFERROR(__xludf.DUMMYFUNCTION("""COMPUTED_VALUE"""),2.0)</f>
        <v>2</v>
      </c>
      <c r="X6" s="143">
        <f>IFERROR(__xludf.DUMMYFUNCTION("""COMPUTED_VALUE"""),3.0)</f>
        <v>3</v>
      </c>
      <c r="Y6" s="143">
        <f>IFERROR(__xludf.DUMMYFUNCTION("""COMPUTED_VALUE"""),5.0)</f>
        <v>5</v>
      </c>
      <c r="Z6" s="145">
        <f>IFERROR(__xludf.DUMMYFUNCTION("""COMPUTED_VALUE"""),0.4)</f>
        <v>0.4</v>
      </c>
      <c r="AB6" s="143"/>
      <c r="AC6" s="143"/>
      <c r="AD6" s="143">
        <f>IFERROR(__xludf.DUMMYFUNCTION("COUNTUNIQUE(
 FILTER(
  'Raw Data'!C:C,
  'Raw Data'!D:D=AB6,
  'Raw Data'!B:B&gt;=DATE(YEAR(TODAY()),MONTH(TODAY()),1)
 )
)"),1.0)</f>
        <v>1</v>
      </c>
      <c r="AJ6" s="146"/>
    </row>
    <row r="7" ht="22.5" customHeight="1">
      <c r="B7" s="139">
        <v>46144.0</v>
      </c>
      <c r="C7" s="140" t="s">
        <v>77</v>
      </c>
      <c r="D7" s="140" t="s">
        <v>78</v>
      </c>
      <c r="E7" s="141" t="s">
        <v>79</v>
      </c>
      <c r="F7" s="141">
        <v>2.0</v>
      </c>
      <c r="G7" s="141">
        <f t="shared" si="1"/>
        <v>2</v>
      </c>
      <c r="I7" s="141">
        <v>1.0</v>
      </c>
      <c r="L7" s="141">
        <v>4.0</v>
      </c>
      <c r="M7" s="142"/>
      <c r="N7" s="143" t="str">
        <f>IFERROR(__xludf.DUMMYFUNCTION("""COMPUTED_VALUE"""),"Carsol")</f>
        <v>Carsol</v>
      </c>
      <c r="O7" s="143">
        <f>IFERROR(__xludf.DUMMYFUNCTION("""COMPUTED_VALUE"""),5.0)</f>
        <v>5</v>
      </c>
      <c r="P7" s="143">
        <f>IFERROR(__xludf.DUMMYFUNCTION("""COMPUTED_VALUE"""),2.0)</f>
        <v>2</v>
      </c>
      <c r="Q7" s="143">
        <f>IFERROR(__xludf.DUMMYFUNCTION("""COMPUTED_VALUE"""),3.0)</f>
        <v>3</v>
      </c>
      <c r="R7" s="144">
        <v>0.4</v>
      </c>
      <c r="S7" s="143">
        <f>IFERROR(__xludf.DUMMYFUNCTION("COUNTUNIQUE(
 FILTER(
  'Raw Data'!D:D,
  'Raw Data'!C:C=N7
 )
)"),1.0)</f>
        <v>1</v>
      </c>
      <c r="U7" s="143" t="str">
        <f>IFERROR(__xludf.DUMMYFUNCTION("""COMPUTED_VALUE"""),"AZL")</f>
        <v>AZL</v>
      </c>
      <c r="V7" s="143" t="str">
        <f>IFERROR(__xludf.DUMMYFUNCTION("""COMPUTED_VALUE"""),"8 Door")</f>
        <v>8 Door</v>
      </c>
      <c r="W7" s="143">
        <f>IFERROR(__xludf.DUMMYFUNCTION("""COMPUTED_VALUE"""),2.0)</f>
        <v>2</v>
      </c>
      <c r="X7" s="143">
        <f>IFERROR(__xludf.DUMMYFUNCTION("""COMPUTED_VALUE"""),2.0)</f>
        <v>2</v>
      </c>
      <c r="Y7" s="143">
        <f>IFERROR(__xludf.DUMMYFUNCTION("""COMPUTED_VALUE"""),4.0)</f>
        <v>4</v>
      </c>
      <c r="Z7" s="145">
        <f>IFERROR(__xludf.DUMMYFUNCTION("""COMPUTED_VALUE"""),0.5)</f>
        <v>0.5</v>
      </c>
      <c r="AB7" s="143"/>
      <c r="AC7" s="143"/>
      <c r="AD7" s="143">
        <f>IFERROR(__xludf.DUMMYFUNCTION("COUNTUNIQUE(
 FILTER(
  'Raw Data'!C:C,
  'Raw Data'!D:D=AB7,
  'Raw Data'!B:B&gt;=DATE(YEAR(TODAY()),MONTH(TODAY()),1)
 )
)"),1.0)</f>
        <v>1</v>
      </c>
      <c r="AJ7" s="146"/>
    </row>
    <row r="8" ht="22.5" customHeight="1">
      <c r="B8" s="139">
        <v>46144.0</v>
      </c>
      <c r="C8" s="140" t="s">
        <v>80</v>
      </c>
      <c r="D8" s="141" t="s">
        <v>81</v>
      </c>
      <c r="E8" s="141" t="s">
        <v>81</v>
      </c>
      <c r="F8" s="141">
        <v>2.0</v>
      </c>
      <c r="G8" s="141">
        <f t="shared" si="1"/>
        <v>2</v>
      </c>
      <c r="I8" s="141">
        <v>1.0</v>
      </c>
      <c r="L8" s="141">
        <v>4.0</v>
      </c>
      <c r="M8" s="142"/>
      <c r="N8" s="143" t="str">
        <f>IFERROR(__xludf.DUMMYFUNCTION("""COMPUTED_VALUE"""),"Charlie")</f>
        <v>Charlie</v>
      </c>
      <c r="O8" s="143">
        <f>IFERROR(__xludf.DUMMYFUNCTION("""COMPUTED_VALUE"""),10.0)</f>
        <v>10</v>
      </c>
      <c r="P8" s="143">
        <f>IFERROR(__xludf.DUMMYFUNCTION("""COMPUTED_VALUE"""),6.0)</f>
        <v>6</v>
      </c>
      <c r="Q8" s="143">
        <f>IFERROR(__xludf.DUMMYFUNCTION("""COMPUTED_VALUE"""),4.0)</f>
        <v>4</v>
      </c>
      <c r="R8" s="144">
        <v>0.6</v>
      </c>
      <c r="S8" s="143">
        <f>IFERROR(__xludf.DUMMYFUNCTION("COUNTUNIQUE(
 FILTER(
  'Raw Data'!D:D,
  'Raw Data'!C:C=N8
 )
)"),1.0)</f>
        <v>1</v>
      </c>
      <c r="U8" s="143" t="str">
        <f>IFERROR(__xludf.DUMMYFUNCTION("""COMPUTED_VALUE"""),"AZL")</f>
        <v>AZL</v>
      </c>
      <c r="V8" s="143" t="str">
        <f>IFERROR(__xludf.DUMMYFUNCTION("""COMPUTED_VALUE"""),"8 Standby")</f>
        <v>8 Standby</v>
      </c>
      <c r="W8" s="143">
        <f>IFERROR(__xludf.DUMMYFUNCTION("""COMPUTED_VALUE"""),4.0)</f>
        <v>4</v>
      </c>
      <c r="X8" s="143">
        <f>IFERROR(__xludf.DUMMYFUNCTION("""COMPUTED_VALUE"""),1.0)</f>
        <v>1</v>
      </c>
      <c r="Y8" s="143">
        <f>IFERROR(__xludf.DUMMYFUNCTION("""COMPUTED_VALUE"""),5.0)</f>
        <v>5</v>
      </c>
      <c r="Z8" s="145">
        <f>IFERROR(__xludf.DUMMYFUNCTION("""COMPUTED_VALUE"""),0.8)</f>
        <v>0.8</v>
      </c>
      <c r="AB8" s="143"/>
      <c r="AC8" s="143"/>
      <c r="AD8" s="143">
        <f>IFERROR(__xludf.DUMMYFUNCTION("COUNTUNIQUE(
 FILTER(
  'Raw Data'!C:C,
  'Raw Data'!D:D=AB8,
  'Raw Data'!B:B&gt;=DATE(YEAR(TODAY()),MONTH(TODAY()),1)
 )
)"),1.0)</f>
        <v>1</v>
      </c>
      <c r="AJ8" s="146"/>
    </row>
    <row r="9" ht="22.5" customHeight="1">
      <c r="B9" s="139">
        <v>46144.0</v>
      </c>
      <c r="C9" s="140" t="s">
        <v>82</v>
      </c>
      <c r="D9" s="141" t="s">
        <v>81</v>
      </c>
      <c r="E9" s="141" t="s">
        <v>81</v>
      </c>
      <c r="F9" s="141">
        <v>2.0</v>
      </c>
      <c r="G9" s="141">
        <f t="shared" si="1"/>
        <v>2</v>
      </c>
      <c r="I9" s="141">
        <v>1.0</v>
      </c>
      <c r="L9" s="141">
        <v>4.0</v>
      </c>
      <c r="M9" s="142"/>
      <c r="N9" s="143" t="str">
        <f>IFERROR(__xludf.DUMMYFUNCTION("""COMPUTED_VALUE"""),"Doris")</f>
        <v>Doris</v>
      </c>
      <c r="O9" s="143">
        <f>IFERROR(__xludf.DUMMYFUNCTION("""COMPUTED_VALUE"""),8.0)</f>
        <v>8</v>
      </c>
      <c r="P9" s="143">
        <f>IFERROR(__xludf.DUMMYFUNCTION("""COMPUTED_VALUE"""),4.0)</f>
        <v>4</v>
      </c>
      <c r="Q9" s="143">
        <f>IFERROR(__xludf.DUMMYFUNCTION("""COMPUTED_VALUE"""),4.0)</f>
        <v>4</v>
      </c>
      <c r="R9" s="144">
        <v>0.5</v>
      </c>
      <c r="S9" s="143">
        <f>IFERROR(__xludf.DUMMYFUNCTION("COUNTUNIQUE(
 FILTER(
  'Raw Data'!D:D,
  'Raw Data'!C:C=N9
 )
)"),2.0)</f>
        <v>2</v>
      </c>
      <c r="U9" s="143" t="str">
        <f>IFERROR(__xludf.DUMMYFUNCTION("""COMPUTED_VALUE"""),"BAV")</f>
        <v>BAV</v>
      </c>
      <c r="V9" s="143" t="str">
        <f>IFERROR(__xludf.DUMMYFUNCTION("""COMPUTED_VALUE"""),"Izuna Hifumi")</f>
        <v>Izuna Hifumi</v>
      </c>
      <c r="W9" s="143">
        <f>IFERROR(__xludf.DUMMYFUNCTION("""COMPUTED_VALUE"""),1.0)</f>
        <v>1</v>
      </c>
      <c r="X9" s="143">
        <f>IFERROR(__xludf.DUMMYFUNCTION("""COMPUTED_VALUE"""),3.0)</f>
        <v>3</v>
      </c>
      <c r="Y9" s="143">
        <f>IFERROR(__xludf.DUMMYFUNCTION("""COMPUTED_VALUE"""),4.0)</f>
        <v>4</v>
      </c>
      <c r="Z9" s="145">
        <f>IFERROR(__xludf.DUMMYFUNCTION("""COMPUTED_VALUE"""),0.25)</f>
        <v>0.25</v>
      </c>
      <c r="AB9" s="143"/>
      <c r="AC9" s="143"/>
      <c r="AD9" s="143">
        <f>IFERROR(__xludf.DUMMYFUNCTION("COUNTUNIQUE(
 FILTER(
  'Raw Data'!C:C,
  'Raw Data'!D:D=AB9,
  'Raw Data'!B:B&gt;=DATE(YEAR(TODAY()),MONTH(TODAY()),1)
 )
)"),1.0)</f>
        <v>1</v>
      </c>
      <c r="AJ9" s="146"/>
    </row>
    <row r="10" ht="22.5" customHeight="1">
      <c r="B10" s="139">
        <v>46144.0</v>
      </c>
      <c r="C10" s="141" t="s">
        <v>83</v>
      </c>
      <c r="D10" s="141" t="s">
        <v>81</v>
      </c>
      <c r="E10" s="141" t="s">
        <v>81</v>
      </c>
      <c r="F10" s="141">
        <v>2.0</v>
      </c>
      <c r="G10" s="141">
        <f t="shared" si="1"/>
        <v>2</v>
      </c>
      <c r="I10" s="141">
        <v>1.0</v>
      </c>
      <c r="L10" s="141">
        <v>4.0</v>
      </c>
      <c r="M10" s="142"/>
      <c r="N10" s="143" t="str">
        <f>IFERROR(__xludf.DUMMYFUNCTION("""COMPUTED_VALUE"""),"Gra")</f>
        <v>Gra</v>
      </c>
      <c r="O10" s="143">
        <f>IFERROR(__xludf.DUMMYFUNCTION("""COMPUTED_VALUE"""),5.0)</f>
        <v>5</v>
      </c>
      <c r="P10" s="143">
        <f>IFERROR(__xludf.DUMMYFUNCTION("""COMPUTED_VALUE"""),2.0)</f>
        <v>2</v>
      </c>
      <c r="Q10" s="143">
        <f>IFERROR(__xludf.DUMMYFUNCTION("""COMPUTED_VALUE"""),3.0)</f>
        <v>3</v>
      </c>
      <c r="R10" s="144">
        <v>0.4</v>
      </c>
      <c r="S10" s="143">
        <f>IFERROR(__xludf.DUMMYFUNCTION("COUNTUNIQUE(
 FILTER(
  'Raw Data'!D:D,
  'Raw Data'!C:C=N10
 )
)"),1.0)</f>
        <v>1</v>
      </c>
      <c r="U10" s="143" t="str">
        <f>IFERROR(__xludf.DUMMYFUNCTION("""COMPUTED_VALUE"""),"BAV")</f>
        <v>BAV</v>
      </c>
      <c r="V10" s="143" t="str">
        <f>IFERROR(__xludf.DUMMYFUNCTION("""COMPUTED_VALUE"""),"Pants Choice")</f>
        <v>Pants Choice</v>
      </c>
      <c r="W10" s="143">
        <f>IFERROR(__xludf.DUMMYFUNCTION("""COMPUTED_VALUE"""),3.0)</f>
        <v>3</v>
      </c>
      <c r="X10" s="143">
        <f>IFERROR(__xludf.DUMMYFUNCTION("""COMPUTED_VALUE"""),1.0)</f>
        <v>1</v>
      </c>
      <c r="Y10" s="143">
        <f>IFERROR(__xludf.DUMMYFUNCTION("""COMPUTED_VALUE"""),4.0)</f>
        <v>4</v>
      </c>
      <c r="Z10" s="145">
        <f>IFERROR(__xludf.DUMMYFUNCTION("""COMPUTED_VALUE"""),0.75)</f>
        <v>0.75</v>
      </c>
      <c r="AB10" s="143"/>
      <c r="AC10" s="143"/>
      <c r="AD10" s="143">
        <f>IFERROR(__xludf.DUMMYFUNCTION("COUNTUNIQUE(
 FILTER(
  'Raw Data'!C:C,
  'Raw Data'!D:D=AB10,
  'Raw Data'!B:B&gt;=DATE(YEAR(TODAY()),MONTH(TODAY()),1)
 )
)"),1.0)</f>
        <v>1</v>
      </c>
      <c r="AJ10" s="146"/>
    </row>
    <row r="11" ht="22.5" customHeight="1">
      <c r="B11" s="139">
        <v>46144.0</v>
      </c>
      <c r="C11" s="140" t="s">
        <v>84</v>
      </c>
      <c r="D11" s="141" t="s">
        <v>85</v>
      </c>
      <c r="E11" s="141" t="s">
        <v>86</v>
      </c>
      <c r="F11" s="141">
        <v>2.0</v>
      </c>
      <c r="G11" s="141">
        <f t="shared" si="1"/>
        <v>2</v>
      </c>
      <c r="I11" s="141">
        <v>1.0</v>
      </c>
      <c r="L11" s="141">
        <v>4.0</v>
      </c>
      <c r="M11" s="142"/>
      <c r="N11" s="143" t="str">
        <f>IFERROR(__xludf.DUMMYFUNCTION("""COMPUTED_VALUE"""),"Hachi")</f>
        <v>Hachi</v>
      </c>
      <c r="O11" s="147">
        <f>IFERROR(__xludf.DUMMYFUNCTION("""COMPUTED_VALUE"""),4.0)</f>
        <v>4</v>
      </c>
      <c r="P11" s="143">
        <f>IFERROR(__xludf.DUMMYFUNCTION("""COMPUTED_VALUE"""),2.0)</f>
        <v>2</v>
      </c>
      <c r="Q11" s="143">
        <f>IFERROR(__xludf.DUMMYFUNCTION("""COMPUTED_VALUE"""),2.0)</f>
        <v>2</v>
      </c>
      <c r="R11" s="144">
        <v>0.5</v>
      </c>
      <c r="S11" s="143">
        <f>IFERROR(__xludf.DUMMYFUNCTION("COUNTUNIQUE(
 FILTER(
  'Raw Data'!D:D,
  'Raw Data'!C:C=N11
 )
)"),1.0)</f>
        <v>1</v>
      </c>
      <c r="U11" s="143" t="str">
        <f>IFERROR(__xludf.DUMMYFUNCTION("""COMPUTED_VALUE"""),"BD")</f>
        <v>BD</v>
      </c>
      <c r="V11" s="143" t="str">
        <f>IFERROR(__xludf.DUMMYFUNCTION("""COMPUTED_VALUE"""),"Bar Door")</f>
        <v>Bar Door</v>
      </c>
      <c r="W11" s="143">
        <f>IFERROR(__xludf.DUMMYFUNCTION("""COMPUTED_VALUE"""),3.0)</f>
        <v>3</v>
      </c>
      <c r="X11" s="143">
        <f>IFERROR(__xludf.DUMMYFUNCTION("""COMPUTED_VALUE"""),1.0)</f>
        <v>1</v>
      </c>
      <c r="Y11" s="143">
        <f>IFERROR(__xludf.DUMMYFUNCTION("""COMPUTED_VALUE"""),4.0)</f>
        <v>4</v>
      </c>
      <c r="Z11" s="145">
        <f>IFERROR(__xludf.DUMMYFUNCTION("""COMPUTED_VALUE"""),0.75)</f>
        <v>0.75</v>
      </c>
      <c r="AB11" s="143"/>
      <c r="AC11" s="143"/>
      <c r="AD11" s="143">
        <f>IFERROR(__xludf.DUMMYFUNCTION("COUNTUNIQUE(
 FILTER(
  'Raw Data'!C:C,
  'Raw Data'!D:D=AB11,
  'Raw Data'!B:B&gt;=DATE(YEAR(TODAY()),MONTH(TODAY()),1)
 )
)"),1.0)</f>
        <v>1</v>
      </c>
      <c r="AJ11" s="146"/>
    </row>
    <row r="12" ht="22.5" customHeight="1">
      <c r="B12" s="139">
        <v>46144.0</v>
      </c>
      <c r="C12" s="140" t="s">
        <v>87</v>
      </c>
      <c r="D12" s="141" t="s">
        <v>81</v>
      </c>
      <c r="E12" s="141" t="s">
        <v>81</v>
      </c>
      <c r="F12" s="141">
        <v>2.0</v>
      </c>
      <c r="G12" s="141">
        <f t="shared" si="1"/>
        <v>2</v>
      </c>
      <c r="I12" s="141">
        <v>1.0</v>
      </c>
      <c r="L12" s="141">
        <v>4.0</v>
      </c>
      <c r="M12" s="142"/>
      <c r="N12" s="143" t="str">
        <f>IFERROR(__xludf.DUMMYFUNCTION("""COMPUTED_VALUE"""),"Jose Sev")</f>
        <v>Jose Sev</v>
      </c>
      <c r="O12" s="143">
        <f>IFERROR(__xludf.DUMMYFUNCTION("""COMPUTED_VALUE"""),9.0)</f>
        <v>9</v>
      </c>
      <c r="P12" s="143">
        <f>IFERROR(__xludf.DUMMYFUNCTION("""COMPUTED_VALUE"""),3.0)</f>
        <v>3</v>
      </c>
      <c r="Q12" s="143">
        <f>IFERROR(__xludf.DUMMYFUNCTION("""COMPUTED_VALUE"""),6.0)</f>
        <v>6</v>
      </c>
      <c r="R12" s="144">
        <v>0.3333333333333333</v>
      </c>
      <c r="S12" s="143">
        <f>IFERROR(__xludf.DUMMYFUNCTION("COUNTUNIQUE(
 FILTER(
  'Raw Data'!D:D,
  'Raw Data'!C:C=N12
 )
)"),1.0)</f>
        <v>1</v>
      </c>
      <c r="U12" s="143" t="str">
        <f>IFERROR(__xludf.DUMMYFUNCTION("""COMPUTED_VALUE"""),"BTR")</f>
        <v>BTR</v>
      </c>
      <c r="V12" s="143" t="str">
        <f>IFERROR(__xludf.DUMMYFUNCTION("""COMPUTED_VALUE"""),"Door Bar")</f>
        <v>Door Bar</v>
      </c>
      <c r="W12" s="143">
        <f>IFERROR(__xludf.DUMMYFUNCTION("""COMPUTED_VALUE"""),1.0)</f>
        <v>1</v>
      </c>
      <c r="X12" s="143">
        <f>IFERROR(__xludf.DUMMYFUNCTION("""COMPUTED_VALUE"""),3.0)</f>
        <v>3</v>
      </c>
      <c r="Y12" s="143">
        <f>IFERROR(__xludf.DUMMYFUNCTION("""COMPUTED_VALUE"""),4.0)</f>
        <v>4</v>
      </c>
      <c r="Z12" s="145">
        <f>IFERROR(__xludf.DUMMYFUNCTION("""COMPUTED_VALUE"""),0.25)</f>
        <v>0.25</v>
      </c>
      <c r="AB12" s="143"/>
      <c r="AC12" s="143"/>
      <c r="AD12" s="143">
        <f>IFERROR(__xludf.DUMMYFUNCTION("COUNTUNIQUE(
 FILTER(
  'Raw Data'!C:C,
  'Raw Data'!D:D=AB12,
  'Raw Data'!B:B&gt;=DATE(YEAR(TODAY()),MONTH(TODAY()),1)
 )
)"),1.0)</f>
        <v>1</v>
      </c>
      <c r="AJ12" s="146"/>
    </row>
    <row r="13" ht="22.5" customHeight="1">
      <c r="B13" s="139">
        <v>46144.0</v>
      </c>
      <c r="C13" s="140" t="s">
        <v>88</v>
      </c>
      <c r="D13" s="141" t="s">
        <v>81</v>
      </c>
      <c r="E13" s="141" t="s">
        <v>81</v>
      </c>
      <c r="F13" s="141">
        <v>1.0</v>
      </c>
      <c r="G13" s="141">
        <f t="shared" si="1"/>
        <v>3</v>
      </c>
      <c r="I13" s="141">
        <v>1.0</v>
      </c>
      <c r="L13" s="141">
        <v>4.0</v>
      </c>
      <c r="M13" s="142"/>
      <c r="N13" s="143" t="str">
        <f>IFERROR(__xludf.DUMMYFUNCTION("""COMPUTED_VALUE"""),"Jugador")</f>
        <v>Jugador</v>
      </c>
      <c r="O13" s="143"/>
      <c r="P13" s="143"/>
      <c r="Q13" s="143"/>
      <c r="R13" s="144" t="e">
        <v>#DIV/0!</v>
      </c>
      <c r="S13" s="143">
        <f>IFERROR(__xludf.DUMMYFUNCTION("COUNTUNIQUE(
 FILTER(
  'Raw Data'!D:D,
  'Raw Data'!C:C=N13
 )
)"),1.0)</f>
        <v>1</v>
      </c>
      <c r="U13" s="143" t="str">
        <f>IFERROR(__xludf.DUMMYFUNCTION("""COMPUTED_VALUE"""),"CSM")</f>
        <v>CSM</v>
      </c>
      <c r="V13" s="143" t="str">
        <f>IFERROR(__xludf.DUMMYFUNCTION("""COMPUTED_VALUE"""),"StockSoul Bar")</f>
        <v>StockSoul Bar</v>
      </c>
      <c r="W13" s="143">
        <f>IFERROR(__xludf.DUMMYFUNCTION("""COMPUTED_VALUE"""),8.0)</f>
        <v>8</v>
      </c>
      <c r="X13" s="143">
        <f>IFERROR(__xludf.DUMMYFUNCTION("""COMPUTED_VALUE"""),4.0)</f>
        <v>4</v>
      </c>
      <c r="Y13" s="143">
        <f>IFERROR(__xludf.DUMMYFUNCTION("""COMPUTED_VALUE"""),12.0)</f>
        <v>12</v>
      </c>
      <c r="Z13" s="145">
        <f>IFERROR(__xludf.DUMMYFUNCTION("""COMPUTED_VALUE"""),0.6666666666666666)</f>
        <v>0.6666666667</v>
      </c>
      <c r="AJ13" s="146"/>
    </row>
    <row r="14" ht="22.5" customHeight="1">
      <c r="B14" s="139">
        <v>46144.0</v>
      </c>
      <c r="C14" s="140" t="s">
        <v>89</v>
      </c>
      <c r="D14" s="141" t="s">
        <v>81</v>
      </c>
      <c r="E14" s="141" t="s">
        <v>81</v>
      </c>
      <c r="F14" s="141">
        <v>1.0</v>
      </c>
      <c r="G14" s="141">
        <f t="shared" si="1"/>
        <v>3</v>
      </c>
      <c r="I14" s="141">
        <v>1.0</v>
      </c>
      <c r="L14" s="141">
        <v>4.0</v>
      </c>
      <c r="M14" s="142"/>
      <c r="N14" s="143" t="str">
        <f>IFERROR(__xludf.DUMMYFUNCTION("""COMPUTED_VALUE"""),"JustFluffy")</f>
        <v>JustFluffy</v>
      </c>
      <c r="O14" s="143">
        <f>IFERROR(__xludf.DUMMYFUNCTION("""COMPUTED_VALUE"""),25.0)</f>
        <v>25</v>
      </c>
      <c r="P14" s="143">
        <f>IFERROR(__xludf.DUMMYFUNCTION("""COMPUTED_VALUE"""),13.0)</f>
        <v>13</v>
      </c>
      <c r="Q14" s="143">
        <f>IFERROR(__xludf.DUMMYFUNCTION("""COMPUTED_VALUE"""),12.0)</f>
        <v>12</v>
      </c>
      <c r="R14" s="144">
        <v>0.52</v>
      </c>
      <c r="S14" s="143">
        <f>IFERROR(__xludf.DUMMYFUNCTION("COUNTUNIQUE(
 FILTER(
  'Raw Data'!D:D,
  'Raw Data'!C:C=N14
 )
)"),2.0)</f>
        <v>2</v>
      </c>
      <c r="U14" s="143" t="str">
        <f>IFERROR(__xludf.DUMMYFUNCTION("""COMPUTED_VALUE"""),"CSM")</f>
        <v>CSM</v>
      </c>
      <c r="V14" s="143" t="str">
        <f>IFERROR(__xludf.DUMMYFUNCTION("""COMPUTED_VALUE"""),"StockSoul Standby")</f>
        <v>StockSoul Standby</v>
      </c>
      <c r="W14" s="143">
        <f>IFERROR(__xludf.DUMMYFUNCTION("""COMPUTED_VALUE"""),3.0)</f>
        <v>3</v>
      </c>
      <c r="X14" s="143">
        <f>IFERROR(__xludf.DUMMYFUNCTION("""COMPUTED_VALUE"""),1.0)</f>
        <v>1</v>
      </c>
      <c r="Y14" s="143">
        <f>IFERROR(__xludf.DUMMYFUNCTION("""COMPUTED_VALUE"""),4.0)</f>
        <v>4</v>
      </c>
      <c r="Z14" s="145">
        <f>IFERROR(__xludf.DUMMYFUNCTION("""COMPUTED_VALUE"""),0.75)</f>
        <v>0.75</v>
      </c>
      <c r="AJ14" s="146"/>
    </row>
    <row r="15" ht="22.5" customHeight="1">
      <c r="B15" s="139">
        <v>46144.0</v>
      </c>
      <c r="C15" s="140" t="s">
        <v>90</v>
      </c>
      <c r="D15" s="141" t="s">
        <v>81</v>
      </c>
      <c r="E15" s="141" t="s">
        <v>81</v>
      </c>
      <c r="F15" s="141">
        <v>1.0</v>
      </c>
      <c r="G15" s="141">
        <f t="shared" si="1"/>
        <v>3</v>
      </c>
      <c r="I15" s="141">
        <v>1.0</v>
      </c>
      <c r="L15" s="141">
        <v>4.0</v>
      </c>
      <c r="M15" s="142"/>
      <c r="N15" s="143" t="str">
        <f>IFERROR(__xludf.DUMMYFUNCTION("""COMPUTED_VALUE"""),"Kartoffel")</f>
        <v>Kartoffel</v>
      </c>
      <c r="O15" s="143">
        <f>IFERROR(__xludf.DUMMYFUNCTION("""COMPUTED_VALUE"""),30.0)</f>
        <v>30</v>
      </c>
      <c r="P15" s="143">
        <f>IFERROR(__xludf.DUMMYFUNCTION("""COMPUTED_VALUE"""),15.0)</f>
        <v>15</v>
      </c>
      <c r="Q15" s="143">
        <f>IFERROR(__xludf.DUMMYFUNCTION("""COMPUTED_VALUE"""),15.0)</f>
        <v>15</v>
      </c>
      <c r="R15" s="144">
        <v>0.5</v>
      </c>
      <c r="S15" s="143">
        <f>IFERROR(__xludf.DUMMYFUNCTION("COUNTUNIQUE(
 FILTER(
  'Raw Data'!D:D,
  'Raw Data'!C:C=N15
 )
)"),3.0)</f>
        <v>3</v>
      </c>
      <c r="U15" s="143" t="str">
        <f>IFERROR(__xludf.DUMMYFUNCTION("""COMPUTED_VALUE"""),"DAL")</f>
        <v>DAL</v>
      </c>
      <c r="V15" s="143" t="str">
        <f>IFERROR(__xludf.DUMMYFUNCTION("""COMPUTED_VALUE"""),"8 Standby")</f>
        <v>8 Standby</v>
      </c>
      <c r="W15" s="143">
        <f>IFERROR(__xludf.DUMMYFUNCTION("""COMPUTED_VALUE"""),8.0)</f>
        <v>8</v>
      </c>
      <c r="X15" s="143">
        <f>IFERROR(__xludf.DUMMYFUNCTION("""COMPUTED_VALUE"""),5.0)</f>
        <v>5</v>
      </c>
      <c r="Y15" s="143">
        <f>IFERROR(__xludf.DUMMYFUNCTION("""COMPUTED_VALUE"""),13.0)</f>
        <v>13</v>
      </c>
      <c r="Z15" s="145">
        <f>IFERROR(__xludf.DUMMYFUNCTION("""COMPUTED_VALUE"""),0.6153846153846154)</f>
        <v>0.6153846154</v>
      </c>
      <c r="AJ15" s="146"/>
    </row>
    <row r="16" ht="22.5" customHeight="1">
      <c r="B16" s="139">
        <v>46144.0</v>
      </c>
      <c r="C16" s="140" t="s">
        <v>91</v>
      </c>
      <c r="D16" s="141" t="s">
        <v>81</v>
      </c>
      <c r="E16" s="141" t="s">
        <v>81</v>
      </c>
      <c r="F16" s="141">
        <v>1.0</v>
      </c>
      <c r="G16" s="141">
        <f t="shared" si="1"/>
        <v>3</v>
      </c>
      <c r="I16" s="141">
        <v>1.0</v>
      </c>
      <c r="L16" s="141">
        <v>4.0</v>
      </c>
      <c r="M16" s="142"/>
      <c r="N16" s="143" t="str">
        <f>IFERROR(__xludf.DUMMYFUNCTION("""COMPUTED_VALUE"""),"Kururu")</f>
        <v>Kururu</v>
      </c>
      <c r="O16" s="143">
        <f>IFERROR(__xludf.DUMMYFUNCTION("""COMPUTED_VALUE"""),26.0)</f>
        <v>26</v>
      </c>
      <c r="P16" s="143">
        <f>IFERROR(__xludf.DUMMYFUNCTION("""COMPUTED_VALUE"""),12.0)</f>
        <v>12</v>
      </c>
      <c r="Q16" s="143">
        <f>IFERROR(__xludf.DUMMYFUNCTION("""COMPUTED_VALUE"""),14.0)</f>
        <v>14</v>
      </c>
      <c r="R16" s="144">
        <v>0.46153846153846156</v>
      </c>
      <c r="S16" s="143">
        <f>IFERROR(__xludf.DUMMYFUNCTION("COUNTUNIQUE(
 FILTER(
  'Raw Data'!D:D,
  'Raw Data'!C:C=N16
 )
)"),4.0)</f>
        <v>4</v>
      </c>
      <c r="U16" s="143" t="str">
        <f>IFERROR(__xludf.DUMMYFUNCTION("""COMPUTED_VALUE"""),"DDD")</f>
        <v>DDD</v>
      </c>
      <c r="V16" s="143" t="str">
        <f>IFERROR(__xludf.DUMMYFUNCTION("""COMPUTED_VALUE"""),"8 Bar")</f>
        <v>8 Bar</v>
      </c>
      <c r="W16" s="143">
        <f>IFERROR(__xludf.DUMMYFUNCTION("""COMPUTED_VALUE"""),3.0)</f>
        <v>3</v>
      </c>
      <c r="X16" s="143">
        <f>IFERROR(__xludf.DUMMYFUNCTION("""COMPUTED_VALUE"""),1.0)</f>
        <v>1</v>
      </c>
      <c r="Y16" s="143">
        <f>IFERROR(__xludf.DUMMYFUNCTION("""COMPUTED_VALUE"""),4.0)</f>
        <v>4</v>
      </c>
      <c r="Z16" s="145">
        <f>IFERROR(__xludf.DUMMYFUNCTION("""COMPUTED_VALUE"""),0.75)</f>
        <v>0.75</v>
      </c>
      <c r="AJ16" s="146"/>
    </row>
    <row r="17" ht="22.5" customHeight="1">
      <c r="B17" s="148"/>
      <c r="C17" s="149"/>
      <c r="D17" s="150"/>
      <c r="E17" s="150"/>
      <c r="F17" s="150"/>
      <c r="G17" s="150"/>
      <c r="H17" s="150"/>
      <c r="I17" s="150"/>
      <c r="J17" s="150"/>
      <c r="K17" s="150"/>
      <c r="L17" s="150"/>
      <c r="M17" s="142"/>
      <c r="N17" s="143" t="str">
        <f>IFERROR(__xludf.DUMMYFUNCTION("""COMPUTED_VALUE"""),"Kydan")</f>
        <v>Kydan</v>
      </c>
      <c r="O17" s="143">
        <f>IFERROR(__xludf.DUMMYFUNCTION("""COMPUTED_VALUE"""),4.0)</f>
        <v>4</v>
      </c>
      <c r="P17" s="143">
        <f>IFERROR(__xludf.DUMMYFUNCTION("""COMPUTED_VALUE"""),1.0)</f>
        <v>1</v>
      </c>
      <c r="Q17" s="143">
        <f>IFERROR(__xludf.DUMMYFUNCTION("""COMPUTED_VALUE"""),3.0)</f>
        <v>3</v>
      </c>
      <c r="R17" s="144">
        <v>0.25</v>
      </c>
      <c r="S17" s="143">
        <f>IFERROR(__xludf.DUMMYFUNCTION("COUNTUNIQUE(
 FILTER(
  'Raw Data'!D:D,
  'Raw Data'!C:C=N17
 )
)"),1.0)</f>
        <v>1</v>
      </c>
      <c r="U17" s="143" t="str">
        <f>IFERROR(__xludf.DUMMYFUNCTION("""COMPUTED_VALUE"""),"DDD")</f>
        <v>DDD</v>
      </c>
      <c r="V17" s="143" t="str">
        <f>IFERROR(__xludf.DUMMYFUNCTION("""COMPUTED_VALUE"""),"8 Choice")</f>
        <v>8 Choice</v>
      </c>
      <c r="W17" s="143">
        <f>IFERROR(__xludf.DUMMYFUNCTION("""COMPUTED_VALUE"""),6.0)</f>
        <v>6</v>
      </c>
      <c r="X17" s="143">
        <f>IFERROR(__xludf.DUMMYFUNCTION("""COMPUTED_VALUE"""),4.0)</f>
        <v>4</v>
      </c>
      <c r="Y17" s="143">
        <f>IFERROR(__xludf.DUMMYFUNCTION("""COMPUTED_VALUE"""),10.0)</f>
        <v>10</v>
      </c>
      <c r="Z17" s="145">
        <f>IFERROR(__xludf.DUMMYFUNCTION("""COMPUTED_VALUE"""),0.6)</f>
        <v>0.6</v>
      </c>
      <c r="AJ17" s="146"/>
    </row>
    <row r="18" ht="22.5" customHeight="1">
      <c r="B18" s="151">
        <v>46151.0</v>
      </c>
      <c r="C18" s="140" t="s">
        <v>64</v>
      </c>
      <c r="D18" s="152" t="s">
        <v>92</v>
      </c>
      <c r="E18" s="152" t="s">
        <v>93</v>
      </c>
      <c r="F18" s="152">
        <v>5.0</v>
      </c>
      <c r="G18" s="141">
        <f t="shared" ref="G18:G38" si="2">L18-F18</f>
        <v>0</v>
      </c>
      <c r="H18" s="153"/>
      <c r="I18" s="152">
        <v>2.0</v>
      </c>
      <c r="J18" s="153"/>
      <c r="K18" s="153"/>
      <c r="L18" s="141">
        <v>5.0</v>
      </c>
      <c r="M18" s="142"/>
      <c r="N18" s="143" t="str">
        <f>IFERROR(__xludf.DUMMYFUNCTION("""COMPUTED_VALUE"""),"Lecna")</f>
        <v>Lecna</v>
      </c>
      <c r="O18" s="143">
        <f>IFERROR(__xludf.DUMMYFUNCTION("""COMPUTED_VALUE"""),8.0)</f>
        <v>8</v>
      </c>
      <c r="P18" s="143">
        <f>IFERROR(__xludf.DUMMYFUNCTION("""COMPUTED_VALUE"""),5.0)</f>
        <v>5</v>
      </c>
      <c r="Q18" s="143">
        <f>IFERROR(__xludf.DUMMYFUNCTION("""COMPUTED_VALUE"""),3.0)</f>
        <v>3</v>
      </c>
      <c r="R18" s="144">
        <v>0.625</v>
      </c>
      <c r="S18" s="143">
        <f>IFERROR(__xludf.DUMMYFUNCTION("COUNTUNIQUE(
 FILTER(
  'Raw Data'!D:D,
  'Raw Data'!C:C=N18
 )
)"),2.0)</f>
        <v>2</v>
      </c>
      <c r="U18" s="143" t="str">
        <f>IFERROR(__xludf.DUMMYFUNCTION("""COMPUTED_VALUE"""),"EIS")</f>
        <v>EIS</v>
      </c>
      <c r="V18" s="143" t="str">
        <f>IFERROR(__xludf.DUMMYFUNCTION("""COMPUTED_VALUE"""),"5 Door 3 Pants Sortie")</f>
        <v>5 Door 3 Pants Sortie</v>
      </c>
      <c r="W18" s="143">
        <f>IFERROR(__xludf.DUMMYFUNCTION("""COMPUTED_VALUE"""),3.0)</f>
        <v>3</v>
      </c>
      <c r="X18" s="143">
        <f>IFERROR(__xludf.DUMMYFUNCTION("""COMPUTED_VALUE"""),1.0)</f>
        <v>1</v>
      </c>
      <c r="Y18" s="143">
        <f>IFERROR(__xludf.DUMMYFUNCTION("""COMPUTED_VALUE"""),4.0)</f>
        <v>4</v>
      </c>
      <c r="Z18" s="145">
        <f>IFERROR(__xludf.DUMMYFUNCTION("""COMPUTED_VALUE"""),0.75)</f>
        <v>0.75</v>
      </c>
      <c r="AJ18" s="146"/>
    </row>
    <row r="19" ht="22.5" customHeight="1">
      <c r="B19" s="151">
        <v>46151.0</v>
      </c>
      <c r="C19" s="152" t="s">
        <v>94</v>
      </c>
      <c r="D19" s="152" t="s">
        <v>95</v>
      </c>
      <c r="E19" s="152" t="s">
        <v>96</v>
      </c>
      <c r="F19" s="152">
        <v>4.0</v>
      </c>
      <c r="G19" s="141">
        <f t="shared" si="2"/>
        <v>1</v>
      </c>
      <c r="H19" s="153"/>
      <c r="I19" s="152">
        <v>2.0</v>
      </c>
      <c r="J19" s="153"/>
      <c r="K19" s="153"/>
      <c r="L19" s="141">
        <v>5.0</v>
      </c>
      <c r="M19" s="142"/>
      <c r="N19" s="143" t="str">
        <f>IFERROR(__xludf.DUMMYFUNCTION("""COMPUTED_VALUE"""),"Mualco")</f>
        <v>Mualco</v>
      </c>
      <c r="O19" s="143">
        <f>IFERROR(__xludf.DUMMYFUNCTION("""COMPUTED_VALUE"""),22.0)</f>
        <v>22</v>
      </c>
      <c r="P19" s="143">
        <f>IFERROR(__xludf.DUMMYFUNCTION("""COMPUTED_VALUE"""),10.0)</f>
        <v>10</v>
      </c>
      <c r="Q19" s="143">
        <f>IFERROR(__xludf.DUMMYFUNCTION("""COMPUTED_VALUE"""),12.0)</f>
        <v>12</v>
      </c>
      <c r="R19" s="144">
        <v>0.45454545454545453</v>
      </c>
      <c r="S19" s="143">
        <f>IFERROR(__xludf.DUMMYFUNCTION("COUNTUNIQUE(
 FILTER(
  'Raw Data'!D:D,
  'Raw Data'!C:C=N19
 )
)"),4.0)</f>
        <v>4</v>
      </c>
      <c r="U19" s="143" t="str">
        <f>IFERROR(__xludf.DUMMYFUNCTION("""COMPUTED_VALUE"""),"EIS")</f>
        <v>EIS</v>
      </c>
      <c r="V19" s="143" t="str">
        <f>IFERROR(__xludf.DUMMYFUNCTION("""COMPUTED_VALUE"""),"6 Standby 2 Door")</f>
        <v>6 Standby 2 Door</v>
      </c>
      <c r="W19" s="143">
        <f>IFERROR(__xludf.DUMMYFUNCTION("""COMPUTED_VALUE"""),4.0)</f>
        <v>4</v>
      </c>
      <c r="X19" s="143">
        <f>IFERROR(__xludf.DUMMYFUNCTION("""COMPUTED_VALUE"""),5.0)</f>
        <v>5</v>
      </c>
      <c r="Y19" s="143">
        <f>IFERROR(__xludf.DUMMYFUNCTION("""COMPUTED_VALUE"""),9.0)</f>
        <v>9</v>
      </c>
      <c r="Z19" s="145">
        <f>IFERROR(__xludf.DUMMYFUNCTION("""COMPUTED_VALUE"""),0.4444444444444444)</f>
        <v>0.4444444444</v>
      </c>
      <c r="AJ19" s="146"/>
    </row>
    <row r="20" ht="22.5" customHeight="1">
      <c r="B20" s="151">
        <v>46151.0</v>
      </c>
      <c r="C20" s="152" t="s">
        <v>72</v>
      </c>
      <c r="D20" s="152" t="s">
        <v>68</v>
      </c>
      <c r="E20" s="152" t="s">
        <v>73</v>
      </c>
      <c r="F20" s="152">
        <v>4.0</v>
      </c>
      <c r="G20" s="141">
        <f t="shared" si="2"/>
        <v>1</v>
      </c>
      <c r="H20" s="153"/>
      <c r="I20" s="152">
        <v>2.0</v>
      </c>
      <c r="J20" s="153"/>
      <c r="K20" s="153"/>
      <c r="L20" s="141">
        <v>5.0</v>
      </c>
      <c r="M20" s="142"/>
      <c r="N20" s="143" t="str">
        <f>IFERROR(__xludf.DUMMYFUNCTION("""COMPUTED_VALUE"""),"Nomar")</f>
        <v>Nomar</v>
      </c>
      <c r="O20" s="143">
        <f>IFERROR(__xludf.DUMMYFUNCTION("""COMPUTED_VALUE"""),22.0)</f>
        <v>22</v>
      </c>
      <c r="P20" s="143">
        <f>IFERROR(__xludf.DUMMYFUNCTION("""COMPUTED_VALUE"""),7.0)</f>
        <v>7</v>
      </c>
      <c r="Q20" s="143">
        <f>IFERROR(__xludf.DUMMYFUNCTION("""COMPUTED_VALUE"""),15.0)</f>
        <v>15</v>
      </c>
      <c r="R20" s="144">
        <v>0.3181818181818182</v>
      </c>
      <c r="S20" s="143">
        <f>IFERROR(__xludf.DUMMYFUNCTION("COUNTUNIQUE(
 FILTER(
  'Raw Data'!D:D,
  'Raw Data'!C:C=N20
 )
)"),4.0)</f>
        <v>4</v>
      </c>
      <c r="U20" s="143" t="str">
        <f>IFERROR(__xludf.DUMMYFUNCTION("""COMPUTED_VALUE"""),"EIS")</f>
        <v>EIS</v>
      </c>
      <c r="V20" s="143" t="str">
        <f>IFERROR(__xludf.DUMMYFUNCTION("""COMPUTED_VALUE"""),"8 Bar")</f>
        <v>8 Bar</v>
      </c>
      <c r="W20" s="143">
        <f>IFERROR(__xludf.DUMMYFUNCTION("""COMPUTED_VALUE"""),2.0)</f>
        <v>2</v>
      </c>
      <c r="X20" s="143">
        <f>IFERROR(__xludf.DUMMYFUNCTION("""COMPUTED_VALUE"""),3.0)</f>
        <v>3</v>
      </c>
      <c r="Y20" s="143">
        <f>IFERROR(__xludf.DUMMYFUNCTION("""COMPUTED_VALUE"""),5.0)</f>
        <v>5</v>
      </c>
      <c r="Z20" s="145">
        <f>IFERROR(__xludf.DUMMYFUNCTION("""COMPUTED_VALUE"""),0.4)</f>
        <v>0.4</v>
      </c>
      <c r="AJ20" s="146"/>
    </row>
    <row r="21" ht="15.75" customHeight="1">
      <c r="B21" s="151">
        <v>46151.0</v>
      </c>
      <c r="C21" s="152" t="s">
        <v>97</v>
      </c>
      <c r="D21" s="152" t="s">
        <v>98</v>
      </c>
      <c r="E21" s="152" t="s">
        <v>73</v>
      </c>
      <c r="F21" s="152">
        <v>4.0</v>
      </c>
      <c r="G21" s="141">
        <f t="shared" si="2"/>
        <v>1</v>
      </c>
      <c r="H21" s="153"/>
      <c r="I21" s="152">
        <v>2.0</v>
      </c>
      <c r="J21" s="153"/>
      <c r="K21" s="153"/>
      <c r="L21" s="141">
        <v>5.0</v>
      </c>
      <c r="M21" s="142"/>
      <c r="N21" s="143" t="str">
        <f>IFERROR(__xludf.DUMMYFUNCTION("""COMPUTED_VALUE"""),"Ostrovsky15")</f>
        <v>Ostrovsky15</v>
      </c>
      <c r="O21" s="143">
        <f>IFERROR(__xludf.DUMMYFUNCTION("""COMPUTED_VALUE"""),7.0)</f>
        <v>7</v>
      </c>
      <c r="P21" s="143">
        <f>IFERROR(__xludf.DUMMYFUNCTION("""COMPUTED_VALUE"""),4.0)</f>
        <v>4</v>
      </c>
      <c r="Q21" s="143">
        <f>IFERROR(__xludf.DUMMYFUNCTION("""COMPUTED_VALUE"""),3.0)</f>
        <v>3</v>
      </c>
      <c r="R21" s="144">
        <v>0.5714285714285714</v>
      </c>
      <c r="S21" s="143">
        <f>IFERROR(__xludf.DUMMYFUNCTION("COUNTUNIQUE(
 FILTER(
  'Raw Data'!D:D,
  'Raw Data'!C:C=N21
 )
)"),1.0)</f>
        <v>1</v>
      </c>
      <c r="U21" s="143" t="str">
        <f>IFERROR(__xludf.DUMMYFUNCTION("""COMPUTED_VALUE"""),"EIS")</f>
        <v>EIS</v>
      </c>
      <c r="V21" s="143" t="str">
        <f>IFERROR(__xludf.DUMMYFUNCTION("""COMPUTED_VALUE"""),"8 Door TD")</f>
        <v>8 Door TD</v>
      </c>
      <c r="W21" s="143">
        <f>IFERROR(__xludf.DUMMYFUNCTION("""COMPUTED_VALUE"""),9.0)</f>
        <v>9</v>
      </c>
      <c r="X21" s="143">
        <f>IFERROR(__xludf.DUMMYFUNCTION("""COMPUTED_VALUE"""),3.0)</f>
        <v>3</v>
      </c>
      <c r="Y21" s="143">
        <f>IFERROR(__xludf.DUMMYFUNCTION("""COMPUTED_VALUE"""),12.0)</f>
        <v>12</v>
      </c>
      <c r="Z21" s="145">
        <f>IFERROR(__xludf.DUMMYFUNCTION("""COMPUTED_VALUE"""),0.75)</f>
        <v>0.75</v>
      </c>
      <c r="AJ21" s="146"/>
    </row>
    <row r="22" ht="15.75" customHeight="1">
      <c r="B22" s="151">
        <v>46151.0</v>
      </c>
      <c r="C22" s="152" t="s">
        <v>99</v>
      </c>
      <c r="D22" s="152" t="s">
        <v>100</v>
      </c>
      <c r="E22" s="152" t="s">
        <v>101</v>
      </c>
      <c r="F22" s="152">
        <v>3.0</v>
      </c>
      <c r="G22" s="141">
        <f t="shared" si="2"/>
        <v>2</v>
      </c>
      <c r="H22" s="153"/>
      <c r="I22" s="152">
        <v>2.0</v>
      </c>
      <c r="J22" s="153"/>
      <c r="K22" s="153"/>
      <c r="L22" s="141">
        <v>5.0</v>
      </c>
      <c r="M22" s="142"/>
      <c r="N22" s="143" t="str">
        <f>IFERROR(__xludf.DUMMYFUNCTION("""COMPUTED_VALUE"""),"PavonShinigami")</f>
        <v>PavonShinigami</v>
      </c>
      <c r="O22" s="143">
        <f>IFERROR(__xludf.DUMMYFUNCTION("""COMPUTED_VALUE"""),9.0)</f>
        <v>9</v>
      </c>
      <c r="P22" s="143">
        <f>IFERROR(__xludf.DUMMYFUNCTION("""COMPUTED_VALUE"""),3.0)</f>
        <v>3</v>
      </c>
      <c r="Q22" s="143">
        <f>IFERROR(__xludf.DUMMYFUNCTION("""COMPUTED_VALUE"""),6.0)</f>
        <v>6</v>
      </c>
      <c r="R22" s="144">
        <v>0.3333333333333333</v>
      </c>
      <c r="S22" s="143">
        <f>IFERROR(__xludf.DUMMYFUNCTION("COUNTUNIQUE(
 FILTER(
  'Raw Data'!D:D,
  'Raw Data'!C:C=N22
 )
)"),1.0)</f>
        <v>1</v>
      </c>
      <c r="U22" s="143" t="str">
        <f>IFERROR(__xludf.DUMMYFUNCTION("""COMPUTED_VALUE"""),"EIS")</f>
        <v>EIS</v>
      </c>
      <c r="V22" s="143" t="str">
        <f>IFERROR(__xludf.DUMMYFUNCTION("""COMPUTED_VALUE"""),"8 Pants Atomic 1+3")</f>
        <v>8 Pants Atomic 1+3</v>
      </c>
      <c r="W22" s="143">
        <f>IFERROR(__xludf.DUMMYFUNCTION("""COMPUTED_VALUE"""),4.0)</f>
        <v>4</v>
      </c>
      <c r="X22" s="143">
        <f>IFERROR(__xludf.DUMMYFUNCTION("""COMPUTED_VALUE"""),4.0)</f>
        <v>4</v>
      </c>
      <c r="Y22" s="143">
        <f>IFERROR(__xludf.DUMMYFUNCTION("""COMPUTED_VALUE"""),8.0)</f>
        <v>8</v>
      </c>
      <c r="Z22" s="145">
        <f>IFERROR(__xludf.DUMMYFUNCTION("""COMPUTED_VALUE"""),0.5)</f>
        <v>0.5</v>
      </c>
      <c r="AJ22" s="146"/>
    </row>
    <row r="23" ht="15.75" customHeight="1">
      <c r="B23" s="151">
        <v>46151.0</v>
      </c>
      <c r="C23" s="152" t="s">
        <v>102</v>
      </c>
      <c r="D23" s="152" t="s">
        <v>95</v>
      </c>
      <c r="E23" s="152" t="s">
        <v>96</v>
      </c>
      <c r="F23" s="152">
        <v>3.0</v>
      </c>
      <c r="G23" s="141">
        <f t="shared" si="2"/>
        <v>2</v>
      </c>
      <c r="H23" s="153"/>
      <c r="I23" s="152">
        <v>2.0</v>
      </c>
      <c r="J23" s="153"/>
      <c r="K23" s="153"/>
      <c r="L23" s="141">
        <v>5.0</v>
      </c>
      <c r="M23" s="142"/>
      <c r="N23" s="143" t="str">
        <f>IFERROR(__xludf.DUMMYFUNCTION("""COMPUTED_VALUE"""),"Pinya")</f>
        <v>Pinya</v>
      </c>
      <c r="O23" s="143">
        <f>IFERROR(__xludf.DUMMYFUNCTION("""COMPUTED_VALUE"""),26.0)</f>
        <v>26</v>
      </c>
      <c r="P23" s="143">
        <f>IFERROR(__xludf.DUMMYFUNCTION("""COMPUTED_VALUE"""),13.0)</f>
        <v>13</v>
      </c>
      <c r="Q23" s="143">
        <f>IFERROR(__xludf.DUMMYFUNCTION("""COMPUTED_VALUE"""),13.0)</f>
        <v>13</v>
      </c>
      <c r="R23" s="144">
        <v>0.5</v>
      </c>
      <c r="S23" s="143">
        <f>IFERROR(__xludf.DUMMYFUNCTION("COUNTUNIQUE(
 FILTER(
  'Raw Data'!D:D,
  'Raw Data'!C:C=N23
 )
)"),2.0)</f>
        <v>2</v>
      </c>
      <c r="U23" s="143" t="str">
        <f>IFERROR(__xludf.DUMMYFUNCTION("""COMPUTED_VALUE"""),"EIS")</f>
        <v>EIS</v>
      </c>
      <c r="V23" s="143" t="str">
        <f>IFERROR(__xludf.DUMMYFUNCTION("""COMPUTED_VALUE"""),"8 Standby")</f>
        <v>8 Standby</v>
      </c>
      <c r="W23" s="143">
        <f>IFERROR(__xludf.DUMMYFUNCTION("""COMPUTED_VALUE"""),19.0)</f>
        <v>19</v>
      </c>
      <c r="X23" s="143">
        <f>IFERROR(__xludf.DUMMYFUNCTION("""COMPUTED_VALUE"""),15.0)</f>
        <v>15</v>
      </c>
      <c r="Y23" s="143">
        <f>IFERROR(__xludf.DUMMYFUNCTION("""COMPUTED_VALUE"""),34.0)</f>
        <v>34</v>
      </c>
      <c r="Z23" s="145">
        <f>IFERROR(__xludf.DUMMYFUNCTION("""COMPUTED_VALUE"""),0.5588235294117647)</f>
        <v>0.5588235294</v>
      </c>
      <c r="AJ23" s="146"/>
    </row>
    <row r="24" ht="15.75" customHeight="1">
      <c r="B24" s="151">
        <v>46151.0</v>
      </c>
      <c r="C24" s="152" t="s">
        <v>103</v>
      </c>
      <c r="D24" s="152" t="s">
        <v>81</v>
      </c>
      <c r="E24" s="152" t="s">
        <v>81</v>
      </c>
      <c r="F24" s="152">
        <v>3.0</v>
      </c>
      <c r="G24" s="141">
        <f t="shared" si="2"/>
        <v>2</v>
      </c>
      <c r="H24" s="153"/>
      <c r="I24" s="152">
        <v>2.0</v>
      </c>
      <c r="J24" s="153"/>
      <c r="K24" s="153"/>
      <c r="L24" s="141">
        <v>5.0</v>
      </c>
      <c r="M24" s="142"/>
      <c r="N24" s="143" t="str">
        <f>IFERROR(__xludf.DUMMYFUNCTION("""COMPUTED_VALUE"""),"Rehmius")</f>
        <v>Rehmius</v>
      </c>
      <c r="O24" s="143">
        <f>IFERROR(__xludf.DUMMYFUNCTION("""COMPUTED_VALUE"""),22.0)</f>
        <v>22</v>
      </c>
      <c r="P24" s="143">
        <f>IFERROR(__xludf.DUMMYFUNCTION("""COMPUTED_VALUE"""),11.0)</f>
        <v>11</v>
      </c>
      <c r="Q24" s="143">
        <f>IFERROR(__xludf.DUMMYFUNCTION("""COMPUTED_VALUE"""),11.0)</f>
        <v>11</v>
      </c>
      <c r="R24" s="144">
        <v>0.5</v>
      </c>
      <c r="S24" s="143">
        <f>IFERROR(__xludf.DUMMYFUNCTION("COUNTUNIQUE(
 FILTER(
  'Raw Data'!D:D,
  'Raw Data'!C:C=N24
 )
)"),3.0)</f>
        <v>3</v>
      </c>
      <c r="U24" s="143" t="str">
        <f>IFERROR(__xludf.DUMMYFUNCTION("""COMPUTED_VALUE"""),"EIS")</f>
        <v>EIS</v>
      </c>
      <c r="V24" s="143" t="str">
        <f>IFERROR(__xludf.DUMMYFUNCTION("""COMPUTED_VALUE"""),"?")</f>
        <v>?</v>
      </c>
      <c r="W24" s="143">
        <f>IFERROR(__xludf.DUMMYFUNCTION("""COMPUTED_VALUE"""),2.0)</f>
        <v>2</v>
      </c>
      <c r="X24" s="143">
        <f>IFERROR(__xludf.DUMMYFUNCTION("""COMPUTED_VALUE"""),3.0)</f>
        <v>3</v>
      </c>
      <c r="Y24" s="143">
        <f>IFERROR(__xludf.DUMMYFUNCTION("""COMPUTED_VALUE"""),5.0)</f>
        <v>5</v>
      </c>
      <c r="Z24" s="145">
        <f>IFERROR(__xludf.DUMMYFUNCTION("""COMPUTED_VALUE"""),0.4)</f>
        <v>0.4</v>
      </c>
      <c r="AJ24" s="146"/>
    </row>
    <row r="25" ht="15.75" customHeight="1">
      <c r="B25" s="151">
        <v>46151.0</v>
      </c>
      <c r="C25" s="152" t="s">
        <v>88</v>
      </c>
      <c r="D25" s="152" t="s">
        <v>68</v>
      </c>
      <c r="E25" s="152" t="s">
        <v>73</v>
      </c>
      <c r="F25" s="152">
        <v>3.0</v>
      </c>
      <c r="G25" s="141">
        <f t="shared" si="2"/>
        <v>2</v>
      </c>
      <c r="H25" s="153"/>
      <c r="I25" s="152">
        <v>2.0</v>
      </c>
      <c r="J25" s="153"/>
      <c r="K25" s="153"/>
      <c r="L25" s="141">
        <v>5.0</v>
      </c>
      <c r="M25" s="142"/>
      <c r="N25" s="143" t="str">
        <f>IFERROR(__xludf.DUMMYFUNCTION("""COMPUTED_VALUE"""),"Ruto")</f>
        <v>Ruto</v>
      </c>
      <c r="O25" s="143">
        <f>IFERROR(__xludf.DUMMYFUNCTION("""COMPUTED_VALUE"""),13.0)</f>
        <v>13</v>
      </c>
      <c r="P25" s="143">
        <f>IFERROR(__xludf.DUMMYFUNCTION("""COMPUTED_VALUE"""),4.0)</f>
        <v>4</v>
      </c>
      <c r="Q25" s="143">
        <f>IFERROR(__xludf.DUMMYFUNCTION("""COMPUTED_VALUE"""),9.0)</f>
        <v>9</v>
      </c>
      <c r="R25" s="144">
        <v>0.3076923076923077</v>
      </c>
      <c r="S25" s="143">
        <f>IFERROR(__xludf.DUMMYFUNCTION("COUNTUNIQUE(
 FILTER(
  'Raw Data'!D:D,
  'Raw Data'!C:C=N25
 )
)"),3.0)</f>
        <v>3</v>
      </c>
      <c r="U25" s="143" t="str">
        <f>IFERROR(__xludf.DUMMYFUNCTION("""COMPUTED_VALUE"""),"EIS")</f>
        <v>EIS</v>
      </c>
      <c r="V25" s="143" t="str">
        <f>IFERROR(__xludf.DUMMYFUNCTION("""COMPUTED_VALUE"""),"StockSoul Bar")</f>
        <v>StockSoul Bar</v>
      </c>
      <c r="W25" s="143">
        <f>IFERROR(__xludf.DUMMYFUNCTION("""COMPUTED_VALUE"""),1.0)</f>
        <v>1</v>
      </c>
      <c r="X25" s="143">
        <f>IFERROR(__xludf.DUMMYFUNCTION("""COMPUTED_VALUE"""),3.0)</f>
        <v>3</v>
      </c>
      <c r="Y25" s="143">
        <f>IFERROR(__xludf.DUMMYFUNCTION("""COMPUTED_VALUE"""),4.0)</f>
        <v>4</v>
      </c>
      <c r="Z25" s="145">
        <f>IFERROR(__xludf.DUMMYFUNCTION("""COMPUTED_VALUE"""),0.25)</f>
        <v>0.25</v>
      </c>
      <c r="AJ25" s="146"/>
    </row>
    <row r="26" ht="15.75" customHeight="1">
      <c r="B26" s="151">
        <v>46151.0</v>
      </c>
      <c r="C26" s="152" t="s">
        <v>104</v>
      </c>
      <c r="D26" s="152" t="s">
        <v>95</v>
      </c>
      <c r="E26" s="152" t="s">
        <v>96</v>
      </c>
      <c r="F26" s="152">
        <v>3.0</v>
      </c>
      <c r="G26" s="141">
        <f t="shared" si="2"/>
        <v>2</v>
      </c>
      <c r="H26" s="153"/>
      <c r="I26" s="152">
        <v>2.0</v>
      </c>
      <c r="J26" s="153"/>
      <c r="K26" s="153"/>
      <c r="L26" s="141">
        <v>5.0</v>
      </c>
      <c r="M26" s="142"/>
      <c r="N26" s="143" t="str">
        <f>IFERROR(__xludf.DUMMYFUNCTION("""COMPUTED_VALUE"""),"STARK")</f>
        <v>STARK</v>
      </c>
      <c r="O26" s="143">
        <f>IFERROR(__xludf.DUMMYFUNCTION("""COMPUTED_VALUE"""),13.0)</f>
        <v>13</v>
      </c>
      <c r="P26" s="143">
        <f>IFERROR(__xludf.DUMMYFUNCTION("""COMPUTED_VALUE"""),7.0)</f>
        <v>7</v>
      </c>
      <c r="Q26" s="143">
        <f>IFERROR(__xludf.DUMMYFUNCTION("""COMPUTED_VALUE"""),6.0)</f>
        <v>6</v>
      </c>
      <c r="R26" s="144">
        <v>0.5384615384615384</v>
      </c>
      <c r="S26" s="143">
        <f>IFERROR(__xludf.DUMMYFUNCTION("COUNTUNIQUE(
 FILTER(
  'Raw Data'!D:D,
  'Raw Data'!C:C=N26
 )
)"),3.0)</f>
        <v>3</v>
      </c>
      <c r="U26" s="143" t="str">
        <f>IFERROR(__xludf.DUMMYFUNCTION("""COMPUTED_VALUE"""),"FT")</f>
        <v>FT</v>
      </c>
      <c r="V26" s="143" t="str">
        <f>IFERROR(__xludf.DUMMYFUNCTION("""COMPUTED_VALUE"""),"Bar Choice")</f>
        <v>Bar Choice</v>
      </c>
      <c r="W26" s="143">
        <f>IFERROR(__xludf.DUMMYFUNCTION("""COMPUTED_VALUE"""),3.0)</f>
        <v>3</v>
      </c>
      <c r="X26" s="143">
        <f>IFERROR(__xludf.DUMMYFUNCTION("""COMPUTED_VALUE"""),6.0)</f>
        <v>6</v>
      </c>
      <c r="Y26" s="143">
        <f>IFERROR(__xludf.DUMMYFUNCTION("""COMPUTED_VALUE"""),9.0)</f>
        <v>9</v>
      </c>
      <c r="Z26" s="145">
        <f>IFERROR(__xludf.DUMMYFUNCTION("""COMPUTED_VALUE"""),0.3333333333333333)</f>
        <v>0.3333333333</v>
      </c>
      <c r="AJ26" s="146"/>
    </row>
    <row r="27" ht="15.75" customHeight="1">
      <c r="B27" s="151">
        <v>46151.0</v>
      </c>
      <c r="C27" s="152" t="s">
        <v>34</v>
      </c>
      <c r="D27" s="152" t="s">
        <v>81</v>
      </c>
      <c r="E27" s="152" t="s">
        <v>81</v>
      </c>
      <c r="F27" s="152">
        <v>3.0</v>
      </c>
      <c r="G27" s="141">
        <f t="shared" si="2"/>
        <v>2</v>
      </c>
      <c r="H27" s="153"/>
      <c r="I27" s="152">
        <v>2.0</v>
      </c>
      <c r="J27" s="153"/>
      <c r="K27" s="153"/>
      <c r="L27" s="141">
        <v>5.0</v>
      </c>
      <c r="M27" s="142"/>
      <c r="N27" s="143" t="str">
        <f>IFERROR(__xludf.DUMMYFUNCTION("""COMPUTED_VALUE"""),"Seyer")</f>
        <v>Seyer</v>
      </c>
      <c r="O27" s="143">
        <f>IFERROR(__xludf.DUMMYFUNCTION("""COMPUTED_VALUE"""),21.0)</f>
        <v>21</v>
      </c>
      <c r="P27" s="143">
        <f>IFERROR(__xludf.DUMMYFUNCTION("""COMPUTED_VALUE"""),15.0)</f>
        <v>15</v>
      </c>
      <c r="Q27" s="143">
        <f>IFERROR(__xludf.DUMMYFUNCTION("""COMPUTED_VALUE"""),6.0)</f>
        <v>6</v>
      </c>
      <c r="R27" s="144">
        <v>0.7142857142857143</v>
      </c>
      <c r="S27" s="143">
        <f>IFERROR(__xludf.DUMMYFUNCTION("COUNTUNIQUE(
 FILTER(
  'Raw Data'!D:D,
  'Raw Data'!C:C=N27
 )
)"),4.0)</f>
        <v>4</v>
      </c>
      <c r="U27" s="143" t="str">
        <f>IFERROR(__xludf.DUMMYFUNCTION("""COMPUTED_VALUE"""),"Fxx")</f>
        <v>Fxx</v>
      </c>
      <c r="V27" s="143" t="str">
        <f>IFERROR(__xludf.DUMMYFUNCTION("""COMPUTED_VALUE"""),"8 Standby")</f>
        <v>8 Standby</v>
      </c>
      <c r="W27" s="143">
        <f>IFERROR(__xludf.DUMMYFUNCTION("""COMPUTED_VALUE"""),4.0)</f>
        <v>4</v>
      </c>
      <c r="X27" s="143">
        <f>IFERROR(__xludf.DUMMYFUNCTION("""COMPUTED_VALUE"""),5.0)</f>
        <v>5</v>
      </c>
      <c r="Y27" s="143">
        <f>IFERROR(__xludf.DUMMYFUNCTION("""COMPUTED_VALUE"""),9.0)</f>
        <v>9</v>
      </c>
      <c r="Z27" s="145">
        <f>IFERROR(__xludf.DUMMYFUNCTION("""COMPUTED_VALUE"""),0.4444444444444444)</f>
        <v>0.4444444444</v>
      </c>
      <c r="AJ27" s="146"/>
    </row>
    <row r="28" ht="15.75" customHeight="1">
      <c r="B28" s="151">
        <v>46151.0</v>
      </c>
      <c r="C28" s="152" t="s">
        <v>83</v>
      </c>
      <c r="D28" s="152" t="s">
        <v>81</v>
      </c>
      <c r="E28" s="152" t="s">
        <v>81</v>
      </c>
      <c r="F28" s="152">
        <v>3.0</v>
      </c>
      <c r="G28" s="141">
        <f t="shared" si="2"/>
        <v>2</v>
      </c>
      <c r="H28" s="153"/>
      <c r="I28" s="152">
        <v>2.0</v>
      </c>
      <c r="J28" s="153"/>
      <c r="K28" s="153"/>
      <c r="L28" s="141">
        <v>5.0</v>
      </c>
      <c r="M28" s="142"/>
      <c r="N28" s="143" t="str">
        <f>IFERROR(__xludf.DUMMYFUNCTION("""COMPUTED_VALUE"""),"SoulQualia")</f>
        <v>SoulQualia</v>
      </c>
      <c r="O28" s="143">
        <f>IFERROR(__xludf.DUMMYFUNCTION("""COMPUTED_VALUE"""),12.0)</f>
        <v>12</v>
      </c>
      <c r="P28" s="143">
        <f>IFERROR(__xludf.DUMMYFUNCTION("""COMPUTED_VALUE"""),5.0)</f>
        <v>5</v>
      </c>
      <c r="Q28" s="143">
        <f>IFERROR(__xludf.DUMMYFUNCTION("""COMPUTED_VALUE"""),7.0)</f>
        <v>7</v>
      </c>
      <c r="R28" s="144">
        <v>0.4166666666666667</v>
      </c>
      <c r="S28" s="143">
        <f>IFERROR(__xludf.DUMMYFUNCTION("COUNTUNIQUE(
 FILTER(
  'Raw Data'!D:D,
  'Raw Data'!C:C=N28
 )
)"),1.0)</f>
        <v>1</v>
      </c>
      <c r="U28" s="143" t="str">
        <f>IFERROR(__xludf.DUMMYFUNCTION("""COMPUTED_VALUE"""),"Fxx")</f>
        <v>Fxx</v>
      </c>
      <c r="V28" s="143" t="str">
        <f>IFERROR(__xludf.DUMMYFUNCTION("""COMPUTED_VALUE"""),"StockSoul Bar")</f>
        <v>StockSoul Bar</v>
      </c>
      <c r="W28" s="143">
        <f>IFERROR(__xludf.DUMMYFUNCTION("""COMPUTED_VALUE"""),3.0)</f>
        <v>3</v>
      </c>
      <c r="X28" s="143">
        <f>IFERROR(__xludf.DUMMYFUNCTION("""COMPUTED_VALUE"""),2.0)</f>
        <v>2</v>
      </c>
      <c r="Y28" s="143">
        <f>IFERROR(__xludf.DUMMYFUNCTION("""COMPUTED_VALUE"""),5.0)</f>
        <v>5</v>
      </c>
      <c r="Z28" s="145">
        <f>IFERROR(__xludf.DUMMYFUNCTION("""COMPUTED_VALUE"""),0.6)</f>
        <v>0.6</v>
      </c>
      <c r="AJ28" s="146"/>
    </row>
    <row r="29" ht="15.75" customHeight="1">
      <c r="B29" s="151">
        <v>46151.0</v>
      </c>
      <c r="C29" s="152" t="s">
        <v>105</v>
      </c>
      <c r="D29" s="152" t="s">
        <v>81</v>
      </c>
      <c r="E29" s="152" t="s">
        <v>81</v>
      </c>
      <c r="F29" s="152">
        <v>2.0</v>
      </c>
      <c r="G29" s="141">
        <f t="shared" si="2"/>
        <v>3</v>
      </c>
      <c r="H29" s="153"/>
      <c r="I29" s="152">
        <v>2.0</v>
      </c>
      <c r="J29" s="153"/>
      <c r="K29" s="153"/>
      <c r="L29" s="141">
        <v>5.0</v>
      </c>
      <c r="M29" s="142"/>
      <c r="N29" s="143" t="str">
        <f>IFERROR(__xludf.DUMMYFUNCTION("""COMPUTED_VALUE"""),"Sp3ctrum")</f>
        <v>Sp3ctrum</v>
      </c>
      <c r="O29" s="143">
        <f>IFERROR(__xludf.DUMMYFUNCTION("""COMPUTED_VALUE"""),13.0)</f>
        <v>13</v>
      </c>
      <c r="P29" s="143">
        <f>IFERROR(__xludf.DUMMYFUNCTION("""COMPUTED_VALUE"""),10.0)</f>
        <v>10</v>
      </c>
      <c r="Q29" s="143">
        <f>IFERROR(__xludf.DUMMYFUNCTION("""COMPUTED_VALUE"""),3.0)</f>
        <v>3</v>
      </c>
      <c r="R29" s="144">
        <v>0.7692307692307693</v>
      </c>
      <c r="S29" s="143">
        <f>IFERROR(__xludf.DUMMYFUNCTION("COUNTUNIQUE(
 FILTER(
  'Raw Data'!D:D,
  'Raw Data'!C:C=N29
 )
)"),2.0)</f>
        <v>2</v>
      </c>
      <c r="U29" s="143" t="str">
        <f>IFERROR(__xludf.DUMMYFUNCTION("""COMPUTED_VALUE"""),"GCR")</f>
        <v>GCR</v>
      </c>
      <c r="V29" s="143" t="str">
        <f>IFERROR(__xludf.DUMMYFUNCTION("""COMPUTED_VALUE"""),"8 Door")</f>
        <v>8 Door</v>
      </c>
      <c r="W29" s="143">
        <f>IFERROR(__xludf.DUMMYFUNCTION("""COMPUTED_VALUE"""),6.0)</f>
        <v>6</v>
      </c>
      <c r="X29" s="143">
        <f>IFERROR(__xludf.DUMMYFUNCTION("""COMPUTED_VALUE"""),7.0)</f>
        <v>7</v>
      </c>
      <c r="Y29" s="143">
        <f>IFERROR(__xludf.DUMMYFUNCTION("""COMPUTED_VALUE"""),13.0)</f>
        <v>13</v>
      </c>
      <c r="Z29" s="145">
        <f>IFERROR(__xludf.DUMMYFUNCTION("""COMPUTED_VALUE"""),0.46153846153846156)</f>
        <v>0.4615384615</v>
      </c>
      <c r="AJ29" s="146"/>
    </row>
    <row r="30" ht="15.75" customHeight="1">
      <c r="B30" s="151">
        <v>46151.0</v>
      </c>
      <c r="C30" s="152" t="s">
        <v>91</v>
      </c>
      <c r="D30" s="152" t="s">
        <v>81</v>
      </c>
      <c r="E30" s="152" t="s">
        <v>81</v>
      </c>
      <c r="F30" s="152">
        <v>2.0</v>
      </c>
      <c r="G30" s="141">
        <f t="shared" si="2"/>
        <v>3</v>
      </c>
      <c r="H30" s="153"/>
      <c r="I30" s="152">
        <v>2.0</v>
      </c>
      <c r="J30" s="153"/>
      <c r="K30" s="153"/>
      <c r="L30" s="141">
        <v>5.0</v>
      </c>
      <c r="M30" s="142"/>
      <c r="N30" s="143" t="str">
        <f>IFERROR(__xludf.DUMMYFUNCTION("""COMPUTED_VALUE"""),"Velz")</f>
        <v>Velz</v>
      </c>
      <c r="O30" s="143">
        <f>IFERROR(__xludf.DUMMYFUNCTION("""COMPUTED_VALUE"""),4.0)</f>
        <v>4</v>
      </c>
      <c r="P30" s="143">
        <f>IFERROR(__xludf.DUMMYFUNCTION("""COMPUTED_VALUE"""),4.0)</f>
        <v>4</v>
      </c>
      <c r="Q30" s="143">
        <f>IFERROR(__xludf.DUMMYFUNCTION("""COMPUTED_VALUE"""),0.0)</f>
        <v>0</v>
      </c>
      <c r="R30" s="144">
        <v>1.0</v>
      </c>
      <c r="S30" s="143">
        <f>IFERROR(__xludf.DUMMYFUNCTION("COUNTUNIQUE(
 FILTER(
  'Raw Data'!D:D,
  'Raw Data'!C:C=N30
 )
)"),1.0)</f>
        <v>1</v>
      </c>
      <c r="U30" s="143" t="str">
        <f>IFERROR(__xludf.DUMMYFUNCTION("""COMPUTED_VALUE"""),"GRI")</f>
        <v>GRI</v>
      </c>
      <c r="V30" s="143" t="str">
        <f>IFERROR(__xludf.DUMMYFUNCTION("""COMPUTED_VALUE"""),"Door Pants ")</f>
        <v>Door Pants </v>
      </c>
      <c r="W30" s="143">
        <f>IFERROR(__xludf.DUMMYFUNCTION("""COMPUTED_VALUE"""),3.0)</f>
        <v>3</v>
      </c>
      <c r="X30" s="143">
        <f>IFERROR(__xludf.DUMMYFUNCTION("""COMPUTED_VALUE"""),1.0)</f>
        <v>1</v>
      </c>
      <c r="Y30" s="143">
        <f>IFERROR(__xludf.DUMMYFUNCTION("""COMPUTED_VALUE"""),4.0)</f>
        <v>4</v>
      </c>
      <c r="Z30" s="145">
        <f>IFERROR(__xludf.DUMMYFUNCTION("""COMPUTED_VALUE"""),0.75)</f>
        <v>0.75</v>
      </c>
      <c r="AJ30" s="146"/>
    </row>
    <row r="31" ht="15.75" customHeight="1">
      <c r="B31" s="151">
        <v>46151.0</v>
      </c>
      <c r="C31" s="152" t="s">
        <v>106</v>
      </c>
      <c r="D31" s="152" t="s">
        <v>81</v>
      </c>
      <c r="E31" s="152" t="s">
        <v>81</v>
      </c>
      <c r="F31" s="152">
        <v>2.0</v>
      </c>
      <c r="G31" s="141">
        <f t="shared" si="2"/>
        <v>3</v>
      </c>
      <c r="H31" s="153"/>
      <c r="I31" s="152">
        <v>2.0</v>
      </c>
      <c r="J31" s="153"/>
      <c r="K31" s="153"/>
      <c r="L31" s="141">
        <v>5.0</v>
      </c>
      <c r="M31" s="142"/>
      <c r="N31" s="143" t="str">
        <f>IFERROR(__xludf.DUMMYFUNCTION("""COMPUTED_VALUE"""),"Will")</f>
        <v>Will</v>
      </c>
      <c r="O31" s="143">
        <f>IFERROR(__xludf.DUMMYFUNCTION("""COMPUTED_VALUE"""),26.0)</f>
        <v>26</v>
      </c>
      <c r="P31" s="143">
        <f>IFERROR(__xludf.DUMMYFUNCTION("""COMPUTED_VALUE"""),19.0)</f>
        <v>19</v>
      </c>
      <c r="Q31" s="143">
        <f>IFERROR(__xludf.DUMMYFUNCTION("""COMPUTED_VALUE"""),7.0)</f>
        <v>7</v>
      </c>
      <c r="R31" s="144">
        <v>0.7307692307692307</v>
      </c>
      <c r="S31" s="143">
        <f>IFERROR(__xludf.DUMMYFUNCTION("COUNTUNIQUE(
 FILTER(
  'Raw Data'!D:D,
  'Raw Data'!C:C=N31
 )
)"),4.0)</f>
        <v>4</v>
      </c>
      <c r="U31" s="143" t="str">
        <f>IFERROR(__xludf.DUMMYFUNCTION("""COMPUTED_VALUE"""),"HOL")</f>
        <v>HOL</v>
      </c>
      <c r="V31" s="143" t="str">
        <f>IFERROR(__xludf.DUMMYFUNCTION("""COMPUTED_VALUE"""),"Polka Choco")</f>
        <v>Polka Choco</v>
      </c>
      <c r="W31" s="143">
        <f>IFERROR(__xludf.DUMMYFUNCTION("""COMPUTED_VALUE"""),6.0)</f>
        <v>6</v>
      </c>
      <c r="X31" s="143">
        <f>IFERROR(__xludf.DUMMYFUNCTION("""COMPUTED_VALUE"""),3.0)</f>
        <v>3</v>
      </c>
      <c r="Y31" s="143">
        <f>IFERROR(__xludf.DUMMYFUNCTION("""COMPUTED_VALUE"""),9.0)</f>
        <v>9</v>
      </c>
      <c r="Z31" s="145">
        <f>IFERROR(__xludf.DUMMYFUNCTION("""COMPUTED_VALUE"""),0.6666666666666666)</f>
        <v>0.6666666667</v>
      </c>
      <c r="AJ31" s="146"/>
    </row>
    <row r="32" ht="15.75" customHeight="1">
      <c r="B32" s="151">
        <v>46151.0</v>
      </c>
      <c r="C32" s="152" t="s">
        <v>90</v>
      </c>
      <c r="D32" s="152" t="s">
        <v>81</v>
      </c>
      <c r="E32" s="152" t="s">
        <v>81</v>
      </c>
      <c r="F32" s="152">
        <v>2.0</v>
      </c>
      <c r="G32" s="141">
        <f t="shared" si="2"/>
        <v>3</v>
      </c>
      <c r="H32" s="153"/>
      <c r="I32" s="152">
        <v>2.0</v>
      </c>
      <c r="J32" s="153"/>
      <c r="K32" s="153"/>
      <c r="L32" s="141">
        <v>5.0</v>
      </c>
      <c r="M32" s="142"/>
      <c r="N32" s="143" t="str">
        <f>IFERROR(__xludf.DUMMYFUNCTION("""COMPUTED_VALUE"""),"YoniTheRobot")</f>
        <v>YoniTheRobot</v>
      </c>
      <c r="O32" s="143">
        <f>IFERROR(__xludf.DUMMYFUNCTION("""COMPUTED_VALUE"""),18.0)</f>
        <v>18</v>
      </c>
      <c r="P32" s="143">
        <f>IFERROR(__xludf.DUMMYFUNCTION("""COMPUTED_VALUE"""),12.0)</f>
        <v>12</v>
      </c>
      <c r="Q32" s="143">
        <f>IFERROR(__xludf.DUMMYFUNCTION("""COMPUTED_VALUE"""),6.0)</f>
        <v>6</v>
      </c>
      <c r="R32" s="144">
        <v>0.6666666666666666</v>
      </c>
      <c r="S32" s="143">
        <f>IFERROR(__xludf.DUMMYFUNCTION("COUNTUNIQUE(
 FILTER(
  'Raw Data'!D:D,
  'Raw Data'!C:C=N32
 )
)"),3.0)</f>
        <v>3</v>
      </c>
      <c r="U32" s="143" t="str">
        <f>IFERROR(__xludf.DUMMYFUNCTION("""COMPUTED_VALUE"""),"LRC")</f>
        <v>LRC</v>
      </c>
      <c r="V32" s="143" t="str">
        <f>IFERROR(__xludf.DUMMYFUNCTION("""COMPUTED_VALUE"""),"8 Door")</f>
        <v>8 Door</v>
      </c>
      <c r="W32" s="143">
        <f>IFERROR(__xludf.DUMMYFUNCTION("""COMPUTED_VALUE"""),4.0)</f>
        <v>4</v>
      </c>
      <c r="X32" s="143">
        <f>IFERROR(__xludf.DUMMYFUNCTION("""COMPUTED_VALUE"""),1.0)</f>
        <v>1</v>
      </c>
      <c r="Y32" s="143">
        <f>IFERROR(__xludf.DUMMYFUNCTION("""COMPUTED_VALUE"""),5.0)</f>
        <v>5</v>
      </c>
      <c r="Z32" s="145">
        <f>IFERROR(__xludf.DUMMYFUNCTION("""COMPUTED_VALUE"""),0.8)</f>
        <v>0.8</v>
      </c>
      <c r="AJ32" s="146"/>
    </row>
    <row r="33" ht="15.75" customHeight="1">
      <c r="B33" s="151">
        <v>46151.0</v>
      </c>
      <c r="C33" s="152" t="s">
        <v>107</v>
      </c>
      <c r="D33" s="152" t="s">
        <v>81</v>
      </c>
      <c r="E33" s="152" t="s">
        <v>81</v>
      </c>
      <c r="F33" s="152">
        <v>2.0</v>
      </c>
      <c r="G33" s="141">
        <f t="shared" si="2"/>
        <v>3</v>
      </c>
      <c r="H33" s="153"/>
      <c r="I33" s="152">
        <v>2.0</v>
      </c>
      <c r="J33" s="153"/>
      <c r="K33" s="153"/>
      <c r="L33" s="141">
        <v>5.0</v>
      </c>
      <c r="M33" s="142"/>
      <c r="N33" s="143" t="str">
        <f>IFERROR(__xludf.DUMMYFUNCTION("""COMPUTED_VALUE"""),"Yuu2be")</f>
        <v>Yuu2be</v>
      </c>
      <c r="O33" s="143">
        <f>IFERROR(__xludf.DUMMYFUNCTION("""COMPUTED_VALUE"""),5.0)</f>
        <v>5</v>
      </c>
      <c r="P33" s="143">
        <f>IFERROR(__xludf.DUMMYFUNCTION("""COMPUTED_VALUE"""),1.0)</f>
        <v>1</v>
      </c>
      <c r="Q33" s="143">
        <f>IFERROR(__xludf.DUMMYFUNCTION("""COMPUTED_VALUE"""),4.0)</f>
        <v>4</v>
      </c>
      <c r="R33" s="144">
        <v>0.2</v>
      </c>
      <c r="S33" s="143">
        <f>IFERROR(__xludf.DUMMYFUNCTION("COUNTUNIQUE(
 FILTER(
  'Raw Data'!D:D,
  'Raw Data'!C:C=N33
 )
)"),1.0)</f>
        <v>1</v>
      </c>
      <c r="U33" s="143" t="str">
        <f>IFERROR(__xludf.DUMMYFUNCTION("""COMPUTED_VALUE"""),"LRC")</f>
        <v>LRC</v>
      </c>
      <c r="V33" s="143" t="str">
        <f>IFERROR(__xludf.DUMMYFUNCTION("""COMPUTED_VALUE"""),"Pants Door")</f>
        <v>Pants Door</v>
      </c>
      <c r="W33" s="143">
        <f>IFERROR(__xludf.DUMMYFUNCTION("""COMPUTED_VALUE"""),2.0)</f>
        <v>2</v>
      </c>
      <c r="X33" s="143">
        <f>IFERROR(__xludf.DUMMYFUNCTION("""COMPUTED_VALUE"""),2.0)</f>
        <v>2</v>
      </c>
      <c r="Y33" s="143">
        <f>IFERROR(__xludf.DUMMYFUNCTION("""COMPUTED_VALUE"""),4.0)</f>
        <v>4</v>
      </c>
      <c r="Z33" s="145">
        <f>IFERROR(__xludf.DUMMYFUNCTION("""COMPUTED_VALUE"""),0.5)</f>
        <v>0.5</v>
      </c>
      <c r="AJ33" s="146"/>
    </row>
    <row r="34" ht="15.75" customHeight="1">
      <c r="B34" s="151">
        <v>46151.0</v>
      </c>
      <c r="C34" s="152" t="s">
        <v>70</v>
      </c>
      <c r="D34" s="152" t="s">
        <v>68</v>
      </c>
      <c r="E34" s="152" t="s">
        <v>81</v>
      </c>
      <c r="F34" s="152">
        <v>2.0</v>
      </c>
      <c r="G34" s="141">
        <f t="shared" si="2"/>
        <v>3</v>
      </c>
      <c r="H34" s="153"/>
      <c r="I34" s="152">
        <v>2.0</v>
      </c>
      <c r="J34" s="153"/>
      <c r="K34" s="153"/>
      <c r="L34" s="141">
        <v>5.0</v>
      </c>
      <c r="M34" s="142"/>
      <c r="N34" s="143" t="str">
        <f>IFERROR(__xludf.DUMMYFUNCTION("""COMPUTED_VALUE"""),"Zeno")</f>
        <v>Zeno</v>
      </c>
      <c r="O34" s="143">
        <f>IFERROR(__xludf.DUMMYFUNCTION("""COMPUTED_VALUE"""),14.0)</f>
        <v>14</v>
      </c>
      <c r="P34" s="143">
        <f>IFERROR(__xludf.DUMMYFUNCTION("""COMPUTED_VALUE"""),7.0)</f>
        <v>7</v>
      </c>
      <c r="Q34" s="143">
        <f>IFERROR(__xludf.DUMMYFUNCTION("""COMPUTED_VALUE"""),7.0)</f>
        <v>7</v>
      </c>
      <c r="R34" s="144">
        <v>0.5</v>
      </c>
      <c r="S34" s="143">
        <f>IFERROR(__xludf.DUMMYFUNCTION("COUNTUNIQUE(
 FILTER(
  'Raw Data'!D:D,
  'Raw Data'!C:C=N34
 )
)"),2.0)</f>
        <v>2</v>
      </c>
      <c r="U34" s="143" t="str">
        <f>IFERROR(__xludf.DUMMYFUNCTION("""COMPUTED_VALUE"""),"MDE")</f>
        <v>MDE</v>
      </c>
      <c r="V34" s="143" t="str">
        <f>IFERROR(__xludf.DUMMYFUNCTION("""COMPUTED_VALUE"""),"Link")</f>
        <v>Link</v>
      </c>
      <c r="W34" s="143">
        <f>IFERROR(__xludf.DUMMYFUNCTION("""COMPUTED_VALUE"""),1.0)</f>
        <v>1</v>
      </c>
      <c r="X34" s="143">
        <f>IFERROR(__xludf.DUMMYFUNCTION("""COMPUTED_VALUE"""),3.0)</f>
        <v>3</v>
      </c>
      <c r="Y34" s="143">
        <f>IFERROR(__xludf.DUMMYFUNCTION("""COMPUTED_VALUE"""),4.0)</f>
        <v>4</v>
      </c>
      <c r="Z34" s="145">
        <f>IFERROR(__xludf.DUMMYFUNCTION("""COMPUTED_VALUE"""),0.25)</f>
        <v>0.25</v>
      </c>
      <c r="AJ34" s="146"/>
    </row>
    <row r="35" ht="15.75" customHeight="1">
      <c r="B35" s="151">
        <v>46151.0</v>
      </c>
      <c r="C35" s="152" t="s">
        <v>108</v>
      </c>
      <c r="D35" s="152" t="s">
        <v>81</v>
      </c>
      <c r="E35" s="152" t="s">
        <v>81</v>
      </c>
      <c r="F35" s="152">
        <v>2.0</v>
      </c>
      <c r="G35" s="141">
        <f t="shared" si="2"/>
        <v>3</v>
      </c>
      <c r="H35" s="153"/>
      <c r="I35" s="152">
        <v>2.0</v>
      </c>
      <c r="J35" s="153"/>
      <c r="K35" s="153"/>
      <c r="L35" s="141">
        <v>5.0</v>
      </c>
      <c r="M35" s="142"/>
      <c r="N35" s="143" t="str">
        <f>IFERROR(__xludf.DUMMYFUNCTION("""COMPUTED_VALUE"""),"byrondeltcg")</f>
        <v>byrondeltcg</v>
      </c>
      <c r="O35" s="143">
        <f>IFERROR(__xludf.DUMMYFUNCTION("""COMPUTED_VALUE"""),10.0)</f>
        <v>10</v>
      </c>
      <c r="P35" s="143">
        <f>IFERROR(__xludf.DUMMYFUNCTION("""COMPUTED_VALUE"""),6.0)</f>
        <v>6</v>
      </c>
      <c r="Q35" s="143">
        <f>IFERROR(__xludf.DUMMYFUNCTION("""COMPUTED_VALUE"""),4.0)</f>
        <v>4</v>
      </c>
      <c r="R35" s="144">
        <v>0.6</v>
      </c>
      <c r="S35" s="143"/>
      <c r="U35" s="143" t="str">
        <f>IFERROR(__xludf.DUMMYFUNCTION("""COMPUTED_VALUE"""),"MKI")</f>
        <v>MKI</v>
      </c>
      <c r="V35" s="143" t="str">
        <f>IFERROR(__xludf.DUMMYFUNCTION("""COMPUTED_VALUE"""),"8 Door")</f>
        <v>8 Door</v>
      </c>
      <c r="W35" s="143">
        <f>IFERROR(__xludf.DUMMYFUNCTION("""COMPUTED_VALUE"""),8.0)</f>
        <v>8</v>
      </c>
      <c r="X35" s="143">
        <f>IFERROR(__xludf.DUMMYFUNCTION("""COMPUTED_VALUE"""),10.0)</f>
        <v>10</v>
      </c>
      <c r="Y35" s="143">
        <f>IFERROR(__xludf.DUMMYFUNCTION("""COMPUTED_VALUE"""),18.0)</f>
        <v>18</v>
      </c>
      <c r="Z35" s="145">
        <f>IFERROR(__xludf.DUMMYFUNCTION("""COMPUTED_VALUE"""),0.4444444444444444)</f>
        <v>0.4444444444</v>
      </c>
      <c r="AJ35" s="146"/>
    </row>
    <row r="36" ht="15.75" customHeight="1">
      <c r="B36" s="151">
        <v>46151.0</v>
      </c>
      <c r="C36" s="152" t="s">
        <v>77</v>
      </c>
      <c r="D36" s="152" t="s">
        <v>109</v>
      </c>
      <c r="E36" s="152" t="s">
        <v>79</v>
      </c>
      <c r="F36" s="152">
        <v>1.0</v>
      </c>
      <c r="G36" s="141">
        <f t="shared" si="2"/>
        <v>4</v>
      </c>
      <c r="H36" s="153"/>
      <c r="I36" s="152">
        <v>2.0</v>
      </c>
      <c r="J36" s="153"/>
      <c r="K36" s="153"/>
      <c r="L36" s="141">
        <v>5.0</v>
      </c>
      <c r="M36" s="142"/>
      <c r="N36" s="143"/>
      <c r="O36" s="143"/>
      <c r="P36" s="143"/>
      <c r="Q36" s="143"/>
      <c r="R36" s="144" t="s">
        <v>110</v>
      </c>
      <c r="S36" s="143"/>
      <c r="U36" s="143" t="str">
        <f>IFERROR(__xludf.DUMMYFUNCTION("""COMPUTED_VALUE"""),"MKI")</f>
        <v>MKI</v>
      </c>
      <c r="V36" s="143" t="str">
        <f>IFERROR(__xludf.DUMMYFUNCTION("""COMPUTED_VALUE"""),"Standby Pants")</f>
        <v>Standby Pants</v>
      </c>
      <c r="W36" s="143">
        <f>IFERROR(__xludf.DUMMYFUNCTION("""COMPUTED_VALUE"""),2.0)</f>
        <v>2</v>
      </c>
      <c r="X36" s="143">
        <f>IFERROR(__xludf.DUMMYFUNCTION("""COMPUTED_VALUE"""),2.0)</f>
        <v>2</v>
      </c>
      <c r="Y36" s="143">
        <f>IFERROR(__xludf.DUMMYFUNCTION("""COMPUTED_VALUE"""),4.0)</f>
        <v>4</v>
      </c>
      <c r="Z36" s="145">
        <f>IFERROR(__xludf.DUMMYFUNCTION("""COMPUTED_VALUE"""),0.5)</f>
        <v>0.5</v>
      </c>
      <c r="AJ36" s="146"/>
    </row>
    <row r="37" ht="15.75" customHeight="1">
      <c r="B37" s="151">
        <v>46151.0</v>
      </c>
      <c r="C37" s="152" t="s">
        <v>84</v>
      </c>
      <c r="D37" s="152" t="s">
        <v>85</v>
      </c>
      <c r="E37" s="152" t="s">
        <v>86</v>
      </c>
      <c r="F37" s="152">
        <v>1.0</v>
      </c>
      <c r="G37" s="141">
        <f t="shared" si="2"/>
        <v>4</v>
      </c>
      <c r="H37" s="153"/>
      <c r="I37" s="152">
        <v>2.0</v>
      </c>
      <c r="J37" s="153"/>
      <c r="K37" s="153"/>
      <c r="L37" s="141">
        <v>5.0</v>
      </c>
      <c r="M37" s="142"/>
      <c r="N37" s="143"/>
      <c r="O37" s="143"/>
      <c r="P37" s="143"/>
      <c r="Q37" s="143"/>
      <c r="R37" s="144" t="s">
        <v>110</v>
      </c>
      <c r="S37" s="143"/>
      <c r="U37" s="143" t="str">
        <f>IFERROR(__xludf.DUMMYFUNCTION("""COMPUTED_VALUE"""),"MM")</f>
        <v>MM</v>
      </c>
      <c r="V37" s="143" t="str">
        <f>IFERROR(__xludf.DUMMYFUNCTION("""COMPUTED_VALUE"""),"StockSoul Door")</f>
        <v>StockSoul Door</v>
      </c>
      <c r="W37" s="143">
        <f>IFERROR(__xludf.DUMMYFUNCTION("""COMPUTED_VALUE"""),2.0)</f>
        <v>2</v>
      </c>
      <c r="X37" s="143">
        <f>IFERROR(__xludf.DUMMYFUNCTION("""COMPUTED_VALUE"""),2.0)</f>
        <v>2</v>
      </c>
      <c r="Y37" s="143">
        <f>IFERROR(__xludf.DUMMYFUNCTION("""COMPUTED_VALUE"""),4.0)</f>
        <v>4</v>
      </c>
      <c r="Z37" s="145">
        <f>IFERROR(__xludf.DUMMYFUNCTION("""COMPUTED_VALUE"""),0.5)</f>
        <v>0.5</v>
      </c>
      <c r="AJ37" s="146"/>
    </row>
    <row r="38" ht="15.75" customHeight="1">
      <c r="B38" s="151">
        <v>46151.0</v>
      </c>
      <c r="C38" s="152" t="s">
        <v>80</v>
      </c>
      <c r="D38" s="152" t="s">
        <v>111</v>
      </c>
      <c r="E38" s="152" t="s">
        <v>112</v>
      </c>
      <c r="F38" s="152">
        <v>1.0</v>
      </c>
      <c r="G38" s="141">
        <f t="shared" si="2"/>
        <v>4</v>
      </c>
      <c r="H38" s="153"/>
      <c r="I38" s="152">
        <v>2.0</v>
      </c>
      <c r="J38" s="153"/>
      <c r="K38" s="153"/>
      <c r="L38" s="141">
        <v>5.0</v>
      </c>
      <c r="M38" s="142"/>
      <c r="N38" s="143"/>
      <c r="O38" s="143"/>
      <c r="P38" s="143"/>
      <c r="Q38" s="143"/>
      <c r="R38" s="144" t="s">
        <v>110</v>
      </c>
      <c r="S38" s="143"/>
      <c r="U38" s="143" t="str">
        <f>IFERROR(__xludf.DUMMYFUNCTION("""COMPUTED_VALUE"""),"NIK")</f>
        <v>NIK</v>
      </c>
      <c r="V38" s="143" t="str">
        <f>IFERROR(__xludf.DUMMYFUNCTION("""COMPUTED_VALUE"""),"Door Standby")</f>
        <v>Door Standby</v>
      </c>
      <c r="W38" s="143">
        <f>IFERROR(__xludf.DUMMYFUNCTION("""COMPUTED_VALUE"""),21.0)</f>
        <v>21</v>
      </c>
      <c r="X38" s="143">
        <f>IFERROR(__xludf.DUMMYFUNCTION("""COMPUTED_VALUE"""),21.0)</f>
        <v>21</v>
      </c>
      <c r="Y38" s="143">
        <f>IFERROR(__xludf.DUMMYFUNCTION("""COMPUTED_VALUE"""),42.0)</f>
        <v>42</v>
      </c>
      <c r="Z38" s="145">
        <f>IFERROR(__xludf.DUMMYFUNCTION("""COMPUTED_VALUE"""),0.5)</f>
        <v>0.5</v>
      </c>
      <c r="AJ38" s="146"/>
    </row>
    <row r="39" ht="15.75" customHeight="1">
      <c r="B39" s="148"/>
      <c r="C39" s="149"/>
      <c r="D39" s="150"/>
      <c r="E39" s="150"/>
      <c r="F39" s="150"/>
      <c r="G39" s="150"/>
      <c r="H39" s="150"/>
      <c r="I39" s="150"/>
      <c r="J39" s="150"/>
      <c r="K39" s="150"/>
      <c r="L39" s="150"/>
      <c r="M39" s="142"/>
      <c r="N39" s="143"/>
      <c r="O39" s="143"/>
      <c r="P39" s="143"/>
      <c r="Q39" s="143"/>
      <c r="R39" s="144" t="s">
        <v>110</v>
      </c>
      <c r="S39" s="143"/>
      <c r="U39" s="143" t="str">
        <f>IFERROR(__xludf.DUMMYFUNCTION("""COMPUTED_VALUE"""),"NIK")</f>
        <v>NIK</v>
      </c>
      <c r="V39" s="143" t="str">
        <f>IFERROR(__xludf.DUMMYFUNCTION("""COMPUTED_VALUE"""),"Pants Bag")</f>
        <v>Pants Bag</v>
      </c>
      <c r="W39" s="143">
        <f>IFERROR(__xludf.DUMMYFUNCTION("""COMPUTED_VALUE"""),1.0)</f>
        <v>1</v>
      </c>
      <c r="X39" s="143">
        <f>IFERROR(__xludf.DUMMYFUNCTION("""COMPUTED_VALUE"""),3.0)</f>
        <v>3</v>
      </c>
      <c r="Y39" s="143">
        <f>IFERROR(__xludf.DUMMYFUNCTION("""COMPUTED_VALUE"""),4.0)</f>
        <v>4</v>
      </c>
      <c r="Z39" s="145">
        <f>IFERROR(__xludf.DUMMYFUNCTION("""COMPUTED_VALUE"""),0.25)</f>
        <v>0.25</v>
      </c>
      <c r="AJ39" s="146"/>
    </row>
    <row r="40" ht="15.75" customHeight="1">
      <c r="B40" s="151">
        <v>46158.0</v>
      </c>
      <c r="C40" s="141" t="s">
        <v>104</v>
      </c>
      <c r="D40" s="152" t="s">
        <v>95</v>
      </c>
      <c r="E40" s="152" t="s">
        <v>96</v>
      </c>
      <c r="F40" s="152">
        <v>4.0</v>
      </c>
      <c r="G40" s="141">
        <f t="shared" ref="G40:G55" si="3">L40-F40</f>
        <v>0</v>
      </c>
      <c r="H40" s="153"/>
      <c r="I40" s="152">
        <v>3.0</v>
      </c>
      <c r="J40" s="153"/>
      <c r="K40" s="153"/>
      <c r="L40" s="141">
        <v>4.0</v>
      </c>
      <c r="M40" s="142"/>
      <c r="N40" s="143"/>
      <c r="O40" s="143"/>
      <c r="P40" s="143"/>
      <c r="Q40" s="143"/>
      <c r="R40" s="144" t="s">
        <v>110</v>
      </c>
      <c r="S40" s="143"/>
      <c r="U40" s="143" t="str">
        <f>IFERROR(__xludf.DUMMYFUNCTION("""COMPUTED_VALUE"""),"OSK")</f>
        <v>OSK</v>
      </c>
      <c r="V40" s="143" t="str">
        <f>IFERROR(__xludf.DUMMYFUNCTION("""COMPUTED_VALUE"""),"Door Pants")</f>
        <v>Door Pants</v>
      </c>
      <c r="W40" s="143">
        <f>IFERROR(__xludf.DUMMYFUNCTION("""COMPUTED_VALUE"""),21.0)</f>
        <v>21</v>
      </c>
      <c r="X40" s="143">
        <f>IFERROR(__xludf.DUMMYFUNCTION("""COMPUTED_VALUE"""),10.0)</f>
        <v>10</v>
      </c>
      <c r="Y40" s="143">
        <f>IFERROR(__xludf.DUMMYFUNCTION("""COMPUTED_VALUE"""),31.0)</f>
        <v>31</v>
      </c>
      <c r="Z40" s="145">
        <f>IFERROR(__xludf.DUMMYFUNCTION("""COMPUTED_VALUE"""),0.6774193548387096)</f>
        <v>0.6774193548</v>
      </c>
      <c r="AJ40" s="146"/>
    </row>
    <row r="41" ht="15.75" customHeight="1">
      <c r="B41" s="151">
        <v>46158.0</v>
      </c>
      <c r="C41" s="152" t="s">
        <v>72</v>
      </c>
      <c r="D41" s="152" t="s">
        <v>113</v>
      </c>
      <c r="E41" s="152" t="s">
        <v>114</v>
      </c>
      <c r="F41" s="152">
        <v>3.0</v>
      </c>
      <c r="G41" s="141">
        <f t="shared" si="3"/>
        <v>1</v>
      </c>
      <c r="H41" s="153"/>
      <c r="I41" s="152">
        <v>3.0</v>
      </c>
      <c r="J41" s="153"/>
      <c r="K41" s="153"/>
      <c r="L41" s="141">
        <v>4.0</v>
      </c>
      <c r="M41" s="142"/>
      <c r="N41" s="143"/>
      <c r="O41" s="143"/>
      <c r="P41" s="143"/>
      <c r="Q41" s="143"/>
      <c r="R41" s="144" t="s">
        <v>110</v>
      </c>
      <c r="S41" s="143"/>
      <c r="U41" s="143" t="str">
        <f>IFERROR(__xludf.DUMMYFUNCTION("""COMPUTED_VALUE"""),"OVL")</f>
        <v>OVL</v>
      </c>
      <c r="V41" s="143" t="str">
        <f>IFERROR(__xludf.DUMMYFUNCTION("""COMPUTED_VALUE"""),"8 Door")</f>
        <v>8 Door</v>
      </c>
      <c r="W41" s="143">
        <f>IFERROR(__xludf.DUMMYFUNCTION("""COMPUTED_VALUE"""),9.0)</f>
        <v>9</v>
      </c>
      <c r="X41" s="143">
        <f>IFERROR(__xludf.DUMMYFUNCTION("""COMPUTED_VALUE"""),3.0)</f>
        <v>3</v>
      </c>
      <c r="Y41" s="143">
        <f>IFERROR(__xludf.DUMMYFUNCTION("""COMPUTED_VALUE"""),12.0)</f>
        <v>12</v>
      </c>
      <c r="Z41" s="145">
        <f>IFERROR(__xludf.DUMMYFUNCTION("""COMPUTED_VALUE"""),0.75)</f>
        <v>0.75</v>
      </c>
      <c r="AJ41" s="146"/>
    </row>
    <row r="42" ht="15.75" customHeight="1">
      <c r="B42" s="151">
        <v>46158.0</v>
      </c>
      <c r="C42" s="141" t="s">
        <v>87</v>
      </c>
      <c r="D42" s="152" t="s">
        <v>100</v>
      </c>
      <c r="E42" s="152" t="s">
        <v>115</v>
      </c>
      <c r="F42" s="152">
        <v>3.0</v>
      </c>
      <c r="G42" s="141">
        <f t="shared" si="3"/>
        <v>1</v>
      </c>
      <c r="H42" s="153"/>
      <c r="I42" s="152">
        <v>3.0</v>
      </c>
      <c r="J42" s="153"/>
      <c r="K42" s="153"/>
      <c r="L42" s="141">
        <v>4.0</v>
      </c>
      <c r="M42" s="142"/>
      <c r="N42" s="143"/>
      <c r="O42" s="143"/>
      <c r="P42" s="143"/>
      <c r="Q42" s="143"/>
      <c r="R42" s="144" t="s">
        <v>110</v>
      </c>
      <c r="S42" s="143"/>
      <c r="U42" s="143" t="str">
        <f>IFERROR(__xludf.DUMMYFUNCTION("""COMPUTED_VALUE"""),"PJS")</f>
        <v>PJS</v>
      </c>
      <c r="V42" s="143" t="str">
        <f>IFERROR(__xludf.DUMMYFUNCTION("""COMPUTED_VALUE"""),"8 Bar")</f>
        <v>8 Bar</v>
      </c>
      <c r="W42" s="143">
        <f>IFERROR(__xludf.DUMMYFUNCTION("""COMPUTED_VALUE"""),0.0)</f>
        <v>0</v>
      </c>
      <c r="X42" s="143">
        <f>IFERROR(__xludf.DUMMYFUNCTION("""COMPUTED_VALUE"""),4.0)</f>
        <v>4</v>
      </c>
      <c r="Y42" s="143">
        <f>IFERROR(__xludf.DUMMYFUNCTION("""COMPUTED_VALUE"""),4.0)</f>
        <v>4</v>
      </c>
      <c r="Z42" s="145">
        <f>IFERROR(__xludf.DUMMYFUNCTION("""COMPUTED_VALUE"""),0.0)</f>
        <v>0</v>
      </c>
      <c r="AJ42" s="146"/>
    </row>
    <row r="43" ht="15.75" customHeight="1">
      <c r="B43" s="151">
        <v>46158.0</v>
      </c>
      <c r="C43" s="152" t="s">
        <v>107</v>
      </c>
      <c r="D43" s="152" t="s">
        <v>116</v>
      </c>
      <c r="E43" s="152" t="s">
        <v>117</v>
      </c>
      <c r="F43" s="152">
        <v>3.0</v>
      </c>
      <c r="G43" s="141">
        <f t="shared" si="3"/>
        <v>1</v>
      </c>
      <c r="H43" s="153"/>
      <c r="I43" s="152">
        <v>3.0</v>
      </c>
      <c r="J43" s="153"/>
      <c r="K43" s="153"/>
      <c r="L43" s="141">
        <v>4.0</v>
      </c>
      <c r="M43" s="142"/>
      <c r="N43" s="143"/>
      <c r="O43" s="143"/>
      <c r="P43" s="143"/>
      <c r="Q43" s="143"/>
      <c r="R43" s="144" t="s">
        <v>110</v>
      </c>
      <c r="S43" s="143"/>
      <c r="U43" s="143" t="str">
        <f>IFERROR(__xludf.DUMMYFUNCTION("""COMPUTED_VALUE"""),"RKN")</f>
        <v>RKN</v>
      </c>
      <c r="V43" s="143" t="str">
        <f>IFERROR(__xludf.DUMMYFUNCTION("""COMPUTED_VALUE"""),"8 StockSoul")</f>
        <v>8 StockSoul</v>
      </c>
      <c r="W43" s="143">
        <f>IFERROR(__xludf.DUMMYFUNCTION("""COMPUTED_VALUE"""),1.0)</f>
        <v>1</v>
      </c>
      <c r="X43" s="143">
        <f>IFERROR(__xludf.DUMMYFUNCTION("""COMPUTED_VALUE"""),4.0)</f>
        <v>4</v>
      </c>
      <c r="Y43" s="143">
        <f>IFERROR(__xludf.DUMMYFUNCTION("""COMPUTED_VALUE"""),5.0)</f>
        <v>5</v>
      </c>
      <c r="Z43" s="145">
        <f>IFERROR(__xludf.DUMMYFUNCTION("""COMPUTED_VALUE"""),0.2)</f>
        <v>0.2</v>
      </c>
      <c r="AJ43" s="146"/>
    </row>
    <row r="44" ht="15.75" customHeight="1">
      <c r="B44" s="151">
        <v>46158.0</v>
      </c>
      <c r="C44" s="152" t="s">
        <v>77</v>
      </c>
      <c r="D44" s="152" t="s">
        <v>109</v>
      </c>
      <c r="E44" s="152" t="s">
        <v>79</v>
      </c>
      <c r="F44" s="152">
        <v>2.0</v>
      </c>
      <c r="G44" s="141">
        <f t="shared" si="3"/>
        <v>2</v>
      </c>
      <c r="H44" s="153"/>
      <c r="I44" s="152">
        <v>3.0</v>
      </c>
      <c r="J44" s="153"/>
      <c r="K44" s="153"/>
      <c r="L44" s="141">
        <v>4.0</v>
      </c>
      <c r="M44" s="142"/>
      <c r="N44" s="143"/>
      <c r="O44" s="143"/>
      <c r="P44" s="143"/>
      <c r="Q44" s="143"/>
      <c r="R44" s="144" t="s">
        <v>110</v>
      </c>
      <c r="S44" s="143"/>
      <c r="U44" s="143" t="str">
        <f>IFERROR(__xludf.DUMMYFUNCTION("""COMPUTED_VALUE"""),"SAO")</f>
        <v>SAO</v>
      </c>
      <c r="V44" s="143" t="str">
        <f>IFERROR(__xludf.DUMMYFUNCTION("""COMPUTED_VALUE"""),"8 Bar Yuna")</f>
        <v>8 Bar Yuna</v>
      </c>
      <c r="W44" s="143">
        <f>IFERROR(__xludf.DUMMYFUNCTION("""COMPUTED_VALUE"""),1.0)</f>
        <v>1</v>
      </c>
      <c r="X44" s="143">
        <f>IFERROR(__xludf.DUMMYFUNCTION("""COMPUTED_VALUE"""),4.0)</f>
        <v>4</v>
      </c>
      <c r="Y44" s="143">
        <f>IFERROR(__xludf.DUMMYFUNCTION("""COMPUTED_VALUE"""),5.0)</f>
        <v>5</v>
      </c>
      <c r="Z44" s="145">
        <f>IFERROR(__xludf.DUMMYFUNCTION("""COMPUTED_VALUE"""),0.2)</f>
        <v>0.2</v>
      </c>
      <c r="AJ44" s="146"/>
    </row>
    <row r="45" ht="15.75" customHeight="1">
      <c r="B45" s="151">
        <v>46158.0</v>
      </c>
      <c r="C45" s="152" t="s">
        <v>102</v>
      </c>
      <c r="D45" s="152" t="s">
        <v>92</v>
      </c>
      <c r="E45" s="152" t="s">
        <v>93</v>
      </c>
      <c r="F45" s="152">
        <v>2.0</v>
      </c>
      <c r="G45" s="141">
        <f t="shared" si="3"/>
        <v>2</v>
      </c>
      <c r="H45" s="153"/>
      <c r="I45" s="152">
        <v>3.0</v>
      </c>
      <c r="J45" s="153"/>
      <c r="K45" s="153"/>
      <c r="L45" s="141">
        <v>4.0</v>
      </c>
      <c r="M45" s="142"/>
      <c r="N45" s="143"/>
      <c r="O45" s="143"/>
      <c r="P45" s="143"/>
      <c r="Q45" s="143"/>
      <c r="R45" s="144" t="s">
        <v>110</v>
      </c>
      <c r="S45" s="143"/>
      <c r="U45" s="143" t="str">
        <f>IFERROR(__xludf.DUMMYFUNCTION("""COMPUTED_VALUE"""),"SFN")</f>
        <v>SFN</v>
      </c>
      <c r="V45" s="143" t="str">
        <f>IFERROR(__xludf.DUMMYFUNCTION("""COMPUTED_VALUE"""),"Modified TD")</f>
        <v>Modified TD</v>
      </c>
      <c r="W45" s="143">
        <f>IFERROR(__xludf.DUMMYFUNCTION("""COMPUTED_VALUE"""),2.0)</f>
        <v>2</v>
      </c>
      <c r="X45" s="143">
        <f>IFERROR(__xludf.DUMMYFUNCTION("""COMPUTED_VALUE"""),2.0)</f>
        <v>2</v>
      </c>
      <c r="Y45" s="143">
        <f>IFERROR(__xludf.DUMMYFUNCTION("""COMPUTED_VALUE"""),4.0)</f>
        <v>4</v>
      </c>
      <c r="Z45" s="145">
        <f>IFERROR(__xludf.DUMMYFUNCTION("""COMPUTED_VALUE"""),0.5)</f>
        <v>0.5</v>
      </c>
      <c r="AJ45" s="146"/>
    </row>
    <row r="46" ht="15.75" customHeight="1">
      <c r="B46" s="151">
        <v>46158.0</v>
      </c>
      <c r="C46" s="152" t="s">
        <v>118</v>
      </c>
      <c r="D46" s="152" t="s">
        <v>68</v>
      </c>
      <c r="E46" s="152" t="s">
        <v>73</v>
      </c>
      <c r="F46" s="152">
        <v>2.0</v>
      </c>
      <c r="G46" s="141">
        <f t="shared" si="3"/>
        <v>2</v>
      </c>
      <c r="H46" s="153"/>
      <c r="I46" s="152">
        <v>3.0</v>
      </c>
      <c r="J46" s="153"/>
      <c r="K46" s="153"/>
      <c r="L46" s="141">
        <v>4.0</v>
      </c>
      <c r="M46" s="142"/>
      <c r="N46" s="143"/>
      <c r="O46" s="143"/>
      <c r="P46" s="143"/>
      <c r="Q46" s="143"/>
      <c r="R46" s="144" t="s">
        <v>110</v>
      </c>
      <c r="S46" s="143"/>
      <c r="U46" s="143" t="str">
        <f>IFERROR(__xludf.DUMMYFUNCTION("""COMPUTED_VALUE"""),"SS")</f>
        <v>SS</v>
      </c>
      <c r="V46" s="143" t="str">
        <f>IFERROR(__xludf.DUMMYFUNCTION("""COMPUTED_VALUE"""),"Choice Door")</f>
        <v>Choice Door</v>
      </c>
      <c r="W46" s="143">
        <f>IFERROR(__xludf.DUMMYFUNCTION("""COMPUTED_VALUE"""),1.0)</f>
        <v>1</v>
      </c>
      <c r="X46" s="143">
        <f>IFERROR(__xludf.DUMMYFUNCTION("""COMPUTED_VALUE"""),3.0)</f>
        <v>3</v>
      </c>
      <c r="Y46" s="143">
        <f>IFERROR(__xludf.DUMMYFUNCTION("""COMPUTED_VALUE"""),4.0)</f>
        <v>4</v>
      </c>
      <c r="Z46" s="145">
        <f>IFERROR(__xludf.DUMMYFUNCTION("""COMPUTED_VALUE"""),0.25)</f>
        <v>0.25</v>
      </c>
      <c r="AJ46" s="146"/>
    </row>
    <row r="47" ht="15.75" customHeight="1">
      <c r="B47" s="151">
        <v>46158.0</v>
      </c>
      <c r="C47" s="152" t="s">
        <v>88</v>
      </c>
      <c r="D47" s="152" t="s">
        <v>68</v>
      </c>
      <c r="E47" s="152" t="s">
        <v>73</v>
      </c>
      <c r="F47" s="152">
        <v>2.0</v>
      </c>
      <c r="G47" s="141">
        <f t="shared" si="3"/>
        <v>2</v>
      </c>
      <c r="H47" s="153"/>
      <c r="I47" s="152">
        <v>3.0</v>
      </c>
      <c r="J47" s="153"/>
      <c r="K47" s="153"/>
      <c r="L47" s="141">
        <v>4.0</v>
      </c>
      <c r="M47" s="142"/>
      <c r="N47" s="143"/>
      <c r="O47" s="143"/>
      <c r="P47" s="143"/>
      <c r="Q47" s="143"/>
      <c r="R47" s="144" t="s">
        <v>110</v>
      </c>
      <c r="S47" s="143"/>
      <c r="U47" s="143"/>
      <c r="V47" s="143"/>
      <c r="W47" s="143"/>
      <c r="X47" s="143"/>
      <c r="Y47" s="143"/>
      <c r="Z47" s="145"/>
      <c r="AJ47" s="146"/>
    </row>
    <row r="48" ht="15.75" customHeight="1">
      <c r="B48" s="151">
        <v>46158.0</v>
      </c>
      <c r="C48" s="152" t="s">
        <v>105</v>
      </c>
      <c r="D48" s="152" t="s">
        <v>119</v>
      </c>
      <c r="E48" s="152" t="s">
        <v>120</v>
      </c>
      <c r="F48" s="152">
        <v>2.0</v>
      </c>
      <c r="G48" s="141">
        <f t="shared" si="3"/>
        <v>2</v>
      </c>
      <c r="H48" s="153"/>
      <c r="I48" s="152">
        <v>3.0</v>
      </c>
      <c r="J48" s="153"/>
      <c r="K48" s="153"/>
      <c r="L48" s="141">
        <v>4.0</v>
      </c>
      <c r="M48" s="142"/>
      <c r="N48" s="143"/>
      <c r="O48" s="143"/>
      <c r="P48" s="143"/>
      <c r="Q48" s="143"/>
      <c r="R48" s="144" t="s">
        <v>110</v>
      </c>
      <c r="S48" s="143"/>
      <c r="U48" s="143"/>
      <c r="V48" s="143"/>
      <c r="W48" s="143"/>
      <c r="X48" s="143"/>
      <c r="Y48" s="143"/>
      <c r="Z48" s="145"/>
      <c r="AJ48" s="146"/>
    </row>
    <row r="49" ht="15.75" customHeight="1">
      <c r="B49" s="151">
        <v>46158.0</v>
      </c>
      <c r="C49" s="152" t="s">
        <v>90</v>
      </c>
      <c r="D49" s="152" t="s">
        <v>121</v>
      </c>
      <c r="E49" s="152" t="s">
        <v>73</v>
      </c>
      <c r="F49" s="152">
        <v>2.0</v>
      </c>
      <c r="G49" s="141">
        <f t="shared" si="3"/>
        <v>2</v>
      </c>
      <c r="H49" s="153"/>
      <c r="I49" s="152">
        <v>3.0</v>
      </c>
      <c r="J49" s="153"/>
      <c r="K49" s="153"/>
      <c r="L49" s="141">
        <v>4.0</v>
      </c>
      <c r="M49" s="142"/>
      <c r="N49" s="143"/>
      <c r="O49" s="143"/>
      <c r="P49" s="143"/>
      <c r="Q49" s="143"/>
      <c r="R49" s="144" t="s">
        <v>110</v>
      </c>
      <c r="S49" s="143"/>
      <c r="U49" s="143"/>
      <c r="V49" s="143"/>
      <c r="W49" s="143"/>
      <c r="X49" s="143"/>
      <c r="Y49" s="143"/>
      <c r="Z49" s="145"/>
      <c r="AJ49" s="146"/>
    </row>
    <row r="50" ht="15.75" customHeight="1">
      <c r="B50" s="151">
        <v>46158.0</v>
      </c>
      <c r="C50" s="152" t="s">
        <v>82</v>
      </c>
      <c r="D50" s="152" t="s">
        <v>122</v>
      </c>
      <c r="E50" s="152" t="s">
        <v>123</v>
      </c>
      <c r="F50" s="152">
        <v>2.0</v>
      </c>
      <c r="G50" s="141">
        <f t="shared" si="3"/>
        <v>2</v>
      </c>
      <c r="H50" s="153"/>
      <c r="I50" s="152">
        <v>3.0</v>
      </c>
      <c r="J50" s="153"/>
      <c r="K50" s="153"/>
      <c r="L50" s="141">
        <v>4.0</v>
      </c>
      <c r="M50" s="142"/>
      <c r="N50" s="143"/>
      <c r="O50" s="143"/>
      <c r="P50" s="143"/>
      <c r="Q50" s="143"/>
      <c r="R50" s="144" t="s">
        <v>110</v>
      </c>
      <c r="S50" s="143"/>
      <c r="U50" s="143"/>
      <c r="V50" s="143"/>
      <c r="W50" s="143"/>
      <c r="X50" s="143"/>
      <c r="Y50" s="143"/>
      <c r="Z50" s="145"/>
      <c r="AJ50" s="146"/>
    </row>
    <row r="51" ht="15.75" customHeight="1">
      <c r="B51" s="151">
        <v>46158.0</v>
      </c>
      <c r="C51" s="152" t="s">
        <v>74</v>
      </c>
      <c r="D51" s="152" t="s">
        <v>65</v>
      </c>
      <c r="E51" s="152" t="s">
        <v>66</v>
      </c>
      <c r="F51" s="152">
        <v>2.0</v>
      </c>
      <c r="G51" s="141">
        <f t="shared" si="3"/>
        <v>2</v>
      </c>
      <c r="H51" s="153"/>
      <c r="I51" s="152">
        <v>3.0</v>
      </c>
      <c r="J51" s="153"/>
      <c r="K51" s="153"/>
      <c r="L51" s="141">
        <v>4.0</v>
      </c>
      <c r="M51" s="142"/>
      <c r="N51" s="143"/>
      <c r="O51" s="143"/>
      <c r="P51" s="143"/>
      <c r="Q51" s="143"/>
      <c r="R51" s="144" t="s">
        <v>110</v>
      </c>
      <c r="S51" s="143"/>
      <c r="U51" s="143"/>
      <c r="V51" s="143"/>
      <c r="W51" s="143"/>
      <c r="X51" s="143"/>
      <c r="Y51" s="143"/>
      <c r="Z51" s="143"/>
      <c r="AJ51" s="146"/>
    </row>
    <row r="52" ht="15.75" customHeight="1">
      <c r="B52" s="151">
        <v>46158.0</v>
      </c>
      <c r="C52" s="152" t="s">
        <v>70</v>
      </c>
      <c r="D52" s="152" t="s">
        <v>68</v>
      </c>
      <c r="E52" s="152" t="s">
        <v>71</v>
      </c>
      <c r="F52" s="152">
        <v>1.0</v>
      </c>
      <c r="G52" s="141">
        <f t="shared" si="3"/>
        <v>3</v>
      </c>
      <c r="H52" s="153"/>
      <c r="I52" s="152">
        <v>3.0</v>
      </c>
      <c r="J52" s="153"/>
      <c r="K52" s="153"/>
      <c r="L52" s="141">
        <v>4.0</v>
      </c>
      <c r="M52" s="142"/>
      <c r="N52" s="143"/>
      <c r="O52" s="143"/>
      <c r="P52" s="143"/>
      <c r="Q52" s="143"/>
      <c r="R52" s="144" t="s">
        <v>110</v>
      </c>
      <c r="S52" s="143"/>
      <c r="U52" s="143"/>
      <c r="V52" s="143"/>
      <c r="W52" s="143"/>
      <c r="X52" s="143"/>
      <c r="Y52" s="143"/>
      <c r="Z52" s="143"/>
      <c r="AJ52" s="146"/>
    </row>
    <row r="53" ht="15.75" customHeight="1">
      <c r="B53" s="151">
        <v>46158.0</v>
      </c>
      <c r="C53" s="152" t="s">
        <v>34</v>
      </c>
      <c r="D53" s="152" t="s">
        <v>124</v>
      </c>
      <c r="E53" s="152" t="s">
        <v>125</v>
      </c>
      <c r="F53" s="152">
        <v>1.0</v>
      </c>
      <c r="G53" s="141">
        <f t="shared" si="3"/>
        <v>3</v>
      </c>
      <c r="H53" s="153"/>
      <c r="I53" s="152">
        <v>3.0</v>
      </c>
      <c r="J53" s="153"/>
      <c r="K53" s="153"/>
      <c r="L53" s="141">
        <v>4.0</v>
      </c>
      <c r="M53" s="142"/>
      <c r="N53" s="143"/>
      <c r="O53" s="143"/>
      <c r="P53" s="143"/>
      <c r="Q53" s="143"/>
      <c r="R53" s="144" t="s">
        <v>110</v>
      </c>
      <c r="S53" s="143"/>
      <c r="U53" s="143"/>
      <c r="V53" s="143"/>
      <c r="W53" s="143"/>
      <c r="X53" s="143"/>
      <c r="Y53" s="143"/>
      <c r="Z53" s="143"/>
      <c r="AJ53" s="146"/>
    </row>
    <row r="54" ht="15.75" customHeight="1">
      <c r="B54" s="151">
        <v>46158.0</v>
      </c>
      <c r="C54" s="152" t="s">
        <v>80</v>
      </c>
      <c r="D54" s="152" t="s">
        <v>126</v>
      </c>
      <c r="E54" s="152" t="s">
        <v>127</v>
      </c>
      <c r="F54" s="152">
        <v>1.0</v>
      </c>
      <c r="G54" s="141">
        <f t="shared" si="3"/>
        <v>3</v>
      </c>
      <c r="H54" s="153"/>
      <c r="I54" s="152">
        <v>3.0</v>
      </c>
      <c r="J54" s="153"/>
      <c r="K54" s="153"/>
      <c r="L54" s="141">
        <v>4.0</v>
      </c>
      <c r="M54" s="142"/>
      <c r="N54" s="143"/>
      <c r="O54" s="143"/>
      <c r="P54" s="143"/>
      <c r="Q54" s="143"/>
      <c r="R54" s="144" t="s">
        <v>110</v>
      </c>
      <c r="S54" s="143"/>
      <c r="U54" s="143"/>
      <c r="V54" s="143"/>
      <c r="W54" s="143"/>
      <c r="X54" s="143"/>
      <c r="Y54" s="143"/>
      <c r="Z54" s="143"/>
      <c r="AJ54" s="146"/>
    </row>
    <row r="55" ht="15.75" customHeight="1">
      <c r="B55" s="151">
        <v>46158.0</v>
      </c>
      <c r="C55" s="152" t="s">
        <v>128</v>
      </c>
      <c r="D55" s="152" t="s">
        <v>92</v>
      </c>
      <c r="E55" s="152" t="s">
        <v>93</v>
      </c>
      <c r="F55" s="152">
        <v>1.0</v>
      </c>
      <c r="G55" s="141">
        <f t="shared" si="3"/>
        <v>3</v>
      </c>
      <c r="H55" s="153"/>
      <c r="I55" s="152">
        <v>3.0</v>
      </c>
      <c r="J55" s="153"/>
      <c r="K55" s="153"/>
      <c r="L55" s="141">
        <v>4.0</v>
      </c>
      <c r="M55" s="142"/>
      <c r="N55" s="143"/>
      <c r="O55" s="143"/>
      <c r="P55" s="143"/>
      <c r="Q55" s="143"/>
      <c r="R55" s="144" t="s">
        <v>110</v>
      </c>
      <c r="S55" s="143"/>
      <c r="U55" s="143"/>
      <c r="V55" s="143"/>
      <c r="W55" s="143"/>
      <c r="X55" s="143"/>
      <c r="Y55" s="143"/>
      <c r="Z55" s="143"/>
      <c r="AJ55" s="146"/>
    </row>
    <row r="56" ht="15.75" customHeight="1">
      <c r="B56" s="148"/>
      <c r="C56" s="149"/>
      <c r="D56" s="150"/>
      <c r="E56" s="150"/>
      <c r="F56" s="150"/>
      <c r="G56" s="150"/>
      <c r="H56" s="150"/>
      <c r="I56" s="150"/>
      <c r="J56" s="150"/>
      <c r="K56" s="150"/>
      <c r="L56" s="150"/>
      <c r="M56" s="142"/>
      <c r="N56" s="143"/>
      <c r="O56" s="143"/>
      <c r="P56" s="143"/>
      <c r="Q56" s="143"/>
      <c r="R56" s="144" t="s">
        <v>110</v>
      </c>
      <c r="S56" s="143"/>
      <c r="U56" s="143"/>
      <c r="V56" s="143"/>
      <c r="W56" s="143"/>
      <c r="X56" s="143"/>
      <c r="Y56" s="143"/>
      <c r="Z56" s="143"/>
      <c r="AJ56" s="146"/>
    </row>
    <row r="57" ht="15.75" customHeight="1">
      <c r="B57" s="151">
        <v>46165.0</v>
      </c>
      <c r="C57" s="141" t="s">
        <v>87</v>
      </c>
      <c r="D57" s="152" t="s">
        <v>129</v>
      </c>
      <c r="E57" s="152" t="s">
        <v>79</v>
      </c>
      <c r="F57" s="152">
        <v>4.0</v>
      </c>
      <c r="G57" s="141">
        <v>1.0</v>
      </c>
      <c r="H57" s="153"/>
      <c r="I57" s="152">
        <v>4.0</v>
      </c>
      <c r="J57" s="153"/>
      <c r="K57" s="153"/>
      <c r="L57" s="141">
        <v>4.0</v>
      </c>
      <c r="M57" s="142"/>
      <c r="N57" s="143"/>
      <c r="O57" s="143"/>
      <c r="P57" s="143"/>
      <c r="Q57" s="143"/>
      <c r="R57" s="144" t="s">
        <v>110</v>
      </c>
      <c r="S57" s="143"/>
      <c r="U57" s="143"/>
      <c r="V57" s="143"/>
      <c r="W57" s="143"/>
      <c r="X57" s="143"/>
      <c r="Y57" s="143"/>
      <c r="Z57" s="143"/>
      <c r="AJ57" s="146"/>
    </row>
    <row r="58" ht="15.75" customHeight="1">
      <c r="B58" s="151">
        <v>46165.0</v>
      </c>
      <c r="C58" s="152" t="s">
        <v>77</v>
      </c>
      <c r="D58" s="152" t="s">
        <v>109</v>
      </c>
      <c r="E58" s="152" t="s">
        <v>79</v>
      </c>
      <c r="F58" s="152">
        <v>4.0</v>
      </c>
      <c r="G58" s="141">
        <v>1.0</v>
      </c>
      <c r="H58" s="153"/>
      <c r="I58" s="152">
        <v>4.0</v>
      </c>
      <c r="J58" s="153"/>
      <c r="K58" s="153"/>
      <c r="L58" s="141">
        <v>4.0</v>
      </c>
      <c r="M58" s="142"/>
      <c r="N58" s="143"/>
      <c r="O58" s="143"/>
      <c r="P58" s="143"/>
      <c r="Q58" s="143"/>
      <c r="R58" s="144" t="s">
        <v>110</v>
      </c>
      <c r="S58" s="143"/>
      <c r="U58" s="143"/>
      <c r="V58" s="143"/>
      <c r="W58" s="143"/>
      <c r="X58" s="143"/>
      <c r="Y58" s="143"/>
      <c r="Z58" s="143"/>
      <c r="AJ58" s="146"/>
    </row>
    <row r="59" ht="15.75" customHeight="1">
      <c r="B59" s="151">
        <v>46165.0</v>
      </c>
      <c r="C59" s="152" t="s">
        <v>102</v>
      </c>
      <c r="D59" s="152" t="s">
        <v>95</v>
      </c>
      <c r="E59" s="152" t="s">
        <v>96</v>
      </c>
      <c r="F59" s="152">
        <v>4.0</v>
      </c>
      <c r="G59" s="141">
        <v>1.0</v>
      </c>
      <c r="H59" s="153"/>
      <c r="I59" s="152">
        <v>4.0</v>
      </c>
      <c r="J59" s="153"/>
      <c r="K59" s="153"/>
      <c r="L59" s="141">
        <v>4.0</v>
      </c>
      <c r="M59" s="142"/>
      <c r="N59" s="143"/>
      <c r="O59" s="143"/>
      <c r="P59" s="143"/>
      <c r="Q59" s="143"/>
      <c r="R59" s="144" t="s">
        <v>110</v>
      </c>
      <c r="S59" s="143"/>
      <c r="U59" s="143"/>
      <c r="V59" s="143"/>
      <c r="W59" s="143"/>
      <c r="X59" s="143"/>
      <c r="Y59" s="143"/>
      <c r="Z59" s="143"/>
      <c r="AJ59" s="146"/>
    </row>
    <row r="60" ht="15.75" customHeight="1">
      <c r="B60" s="151">
        <v>46165.0</v>
      </c>
      <c r="C60" s="152" t="s">
        <v>90</v>
      </c>
      <c r="D60" s="152" t="s">
        <v>121</v>
      </c>
      <c r="E60" s="152" t="s">
        <v>73</v>
      </c>
      <c r="F60" s="152">
        <v>4.0</v>
      </c>
      <c r="G60" s="141">
        <v>1.0</v>
      </c>
      <c r="H60" s="153"/>
      <c r="I60" s="152">
        <v>4.0</v>
      </c>
      <c r="J60" s="153"/>
      <c r="K60" s="153"/>
      <c r="L60" s="141">
        <v>4.0</v>
      </c>
      <c r="M60" s="142"/>
      <c r="N60" s="143"/>
      <c r="O60" s="143"/>
      <c r="P60" s="143"/>
      <c r="Q60" s="143"/>
      <c r="R60" s="144" t="s">
        <v>110</v>
      </c>
      <c r="S60" s="143"/>
      <c r="U60" s="143"/>
      <c r="V60" s="143"/>
      <c r="W60" s="143"/>
      <c r="X60" s="143"/>
      <c r="Y60" s="143"/>
      <c r="Z60" s="143"/>
      <c r="AJ60" s="146"/>
    </row>
    <row r="61" ht="15.75" customHeight="1">
      <c r="B61" s="151">
        <v>46165.0</v>
      </c>
      <c r="C61" s="152" t="s">
        <v>99</v>
      </c>
      <c r="D61" s="152" t="s">
        <v>100</v>
      </c>
      <c r="E61" s="152" t="s">
        <v>101</v>
      </c>
      <c r="F61" s="152">
        <v>3.0</v>
      </c>
      <c r="G61" s="141">
        <v>2.0</v>
      </c>
      <c r="H61" s="153"/>
      <c r="I61" s="152">
        <v>4.0</v>
      </c>
      <c r="J61" s="153"/>
      <c r="K61" s="153"/>
      <c r="L61" s="141">
        <v>4.0</v>
      </c>
      <c r="M61" s="142"/>
      <c r="N61" s="143"/>
      <c r="O61" s="143"/>
      <c r="P61" s="143"/>
      <c r="Q61" s="143"/>
      <c r="R61" s="144" t="s">
        <v>110</v>
      </c>
      <c r="S61" s="143"/>
      <c r="U61" s="143"/>
      <c r="V61" s="143"/>
      <c r="W61" s="143"/>
      <c r="X61" s="143"/>
      <c r="Y61" s="143"/>
      <c r="Z61" s="143"/>
      <c r="AJ61" s="146"/>
    </row>
    <row r="62" ht="15.75" customHeight="1">
      <c r="B62" s="151">
        <v>46165.0</v>
      </c>
      <c r="C62" s="152" t="s">
        <v>64</v>
      </c>
      <c r="D62" s="152" t="s">
        <v>130</v>
      </c>
      <c r="E62" s="152" t="s">
        <v>131</v>
      </c>
      <c r="F62" s="152">
        <v>3.0</v>
      </c>
      <c r="G62" s="141">
        <v>2.0</v>
      </c>
      <c r="H62" s="153"/>
      <c r="I62" s="152">
        <v>4.0</v>
      </c>
      <c r="J62" s="153"/>
      <c r="K62" s="153"/>
      <c r="L62" s="141">
        <v>4.0</v>
      </c>
      <c r="M62" s="142"/>
      <c r="N62" s="143"/>
      <c r="O62" s="143"/>
      <c r="P62" s="143"/>
      <c r="Q62" s="143"/>
      <c r="R62" s="144" t="s">
        <v>110</v>
      </c>
      <c r="S62" s="143"/>
      <c r="U62" s="143"/>
      <c r="V62" s="143"/>
      <c r="W62" s="143"/>
      <c r="X62" s="143"/>
      <c r="Y62" s="143"/>
      <c r="Z62" s="143"/>
      <c r="AJ62" s="146"/>
    </row>
    <row r="63" ht="15.75" customHeight="1">
      <c r="B63" s="151">
        <v>46165.0</v>
      </c>
      <c r="C63" s="152" t="s">
        <v>72</v>
      </c>
      <c r="D63" s="152" t="s">
        <v>113</v>
      </c>
      <c r="E63" s="152" t="s">
        <v>114</v>
      </c>
      <c r="F63" s="152">
        <v>3.0</v>
      </c>
      <c r="G63" s="141">
        <v>2.0</v>
      </c>
      <c r="H63" s="153"/>
      <c r="I63" s="152">
        <v>4.0</v>
      </c>
      <c r="J63" s="153"/>
      <c r="K63" s="153"/>
      <c r="L63" s="141">
        <v>4.0</v>
      </c>
      <c r="M63" s="142"/>
      <c r="N63" s="143"/>
      <c r="O63" s="143"/>
      <c r="P63" s="143"/>
      <c r="Q63" s="143"/>
      <c r="R63" s="144" t="s">
        <v>110</v>
      </c>
      <c r="S63" s="143"/>
      <c r="U63" s="143"/>
      <c r="V63" s="143"/>
      <c r="W63" s="143"/>
      <c r="X63" s="143"/>
      <c r="Y63" s="143"/>
      <c r="Z63" s="143"/>
      <c r="AJ63" s="146"/>
    </row>
    <row r="64" ht="15.75" customHeight="1">
      <c r="B64" s="151">
        <v>46165.0</v>
      </c>
      <c r="C64" s="152" t="s">
        <v>83</v>
      </c>
      <c r="D64" s="152" t="s">
        <v>92</v>
      </c>
      <c r="E64" s="152" t="s">
        <v>93</v>
      </c>
      <c r="F64" s="152">
        <v>3.0</v>
      </c>
      <c r="G64" s="141">
        <v>2.0</v>
      </c>
      <c r="H64" s="153"/>
      <c r="I64" s="152">
        <v>4.0</v>
      </c>
      <c r="J64" s="153"/>
      <c r="K64" s="153"/>
      <c r="L64" s="141">
        <v>4.0</v>
      </c>
      <c r="M64" s="142"/>
      <c r="N64" s="143"/>
      <c r="O64" s="143"/>
      <c r="P64" s="143"/>
      <c r="Q64" s="143"/>
      <c r="R64" s="144" t="s">
        <v>110</v>
      </c>
      <c r="S64" s="143"/>
      <c r="U64" s="143"/>
      <c r="V64" s="143"/>
      <c r="W64" s="143"/>
      <c r="X64" s="143"/>
      <c r="Y64" s="143"/>
      <c r="Z64" s="143"/>
      <c r="AJ64" s="146"/>
    </row>
    <row r="65" ht="15.75" customHeight="1">
      <c r="B65" s="151">
        <v>46165.0</v>
      </c>
      <c r="C65" s="152" t="s">
        <v>88</v>
      </c>
      <c r="D65" s="152" t="s">
        <v>95</v>
      </c>
      <c r="E65" s="152" t="s">
        <v>96</v>
      </c>
      <c r="F65" s="152">
        <v>3.0</v>
      </c>
      <c r="G65" s="141">
        <v>2.0</v>
      </c>
      <c r="H65" s="153"/>
      <c r="I65" s="152">
        <v>4.0</v>
      </c>
      <c r="J65" s="153"/>
      <c r="K65" s="153"/>
      <c r="L65" s="141">
        <v>4.0</v>
      </c>
      <c r="M65" s="142"/>
      <c r="N65" s="143"/>
      <c r="O65" s="143"/>
      <c r="P65" s="143"/>
      <c r="Q65" s="143"/>
      <c r="R65" s="144" t="s">
        <v>110</v>
      </c>
      <c r="S65" s="143"/>
      <c r="U65" s="143"/>
      <c r="V65" s="143"/>
      <c r="W65" s="143"/>
      <c r="X65" s="143"/>
      <c r="Y65" s="143"/>
      <c r="Z65" s="143"/>
      <c r="AJ65" s="146"/>
    </row>
    <row r="66" ht="15.75" customHeight="1">
      <c r="B66" s="151">
        <v>46165.0</v>
      </c>
      <c r="C66" s="152" t="s">
        <v>103</v>
      </c>
      <c r="D66" s="152" t="s">
        <v>81</v>
      </c>
      <c r="E66" s="152" t="s">
        <v>81</v>
      </c>
      <c r="F66" s="152">
        <v>3.0</v>
      </c>
      <c r="G66" s="141">
        <v>2.0</v>
      </c>
      <c r="H66" s="153"/>
      <c r="I66" s="152">
        <v>4.0</v>
      </c>
      <c r="J66" s="153"/>
      <c r="K66" s="153"/>
      <c r="L66" s="141">
        <v>4.0</v>
      </c>
      <c r="M66" s="142"/>
      <c r="N66" s="143"/>
      <c r="O66" s="143"/>
      <c r="P66" s="143"/>
      <c r="Q66" s="143"/>
      <c r="R66" s="144" t="s">
        <v>110</v>
      </c>
      <c r="S66" s="143"/>
      <c r="U66" s="143"/>
      <c r="V66" s="143"/>
      <c r="W66" s="143"/>
      <c r="X66" s="143"/>
      <c r="Y66" s="143"/>
      <c r="Z66" s="143"/>
      <c r="AJ66" s="146"/>
    </row>
    <row r="67" ht="15.75" customHeight="1">
      <c r="B67" s="151">
        <v>46165.0</v>
      </c>
      <c r="C67" s="152" t="s">
        <v>107</v>
      </c>
      <c r="D67" s="152" t="s">
        <v>116</v>
      </c>
      <c r="E67" s="152" t="s">
        <v>117</v>
      </c>
      <c r="F67" s="152">
        <v>2.0</v>
      </c>
      <c r="G67" s="141">
        <v>3.0</v>
      </c>
      <c r="H67" s="153"/>
      <c r="I67" s="152">
        <v>4.0</v>
      </c>
      <c r="J67" s="153"/>
      <c r="K67" s="153"/>
      <c r="L67" s="141">
        <v>4.0</v>
      </c>
      <c r="M67" s="142"/>
      <c r="N67" s="143"/>
      <c r="O67" s="143"/>
      <c r="P67" s="143"/>
      <c r="Q67" s="143"/>
      <c r="R67" s="144" t="s">
        <v>110</v>
      </c>
      <c r="S67" s="143"/>
      <c r="U67" s="143"/>
      <c r="V67" s="143"/>
      <c r="W67" s="143"/>
      <c r="X67" s="143"/>
      <c r="Y67" s="143"/>
      <c r="Z67" s="143"/>
      <c r="AJ67" s="146"/>
    </row>
    <row r="68" ht="15.75" customHeight="1">
      <c r="B68" s="151">
        <v>46165.0</v>
      </c>
      <c r="C68" s="152" t="s">
        <v>132</v>
      </c>
      <c r="D68" s="152" t="s">
        <v>68</v>
      </c>
      <c r="E68" s="152" t="s">
        <v>115</v>
      </c>
      <c r="F68" s="152">
        <v>2.0</v>
      </c>
      <c r="G68" s="141">
        <v>3.0</v>
      </c>
      <c r="H68" s="153"/>
      <c r="I68" s="152">
        <v>4.0</v>
      </c>
      <c r="J68" s="153"/>
      <c r="K68" s="153"/>
      <c r="L68" s="141">
        <v>4.0</v>
      </c>
      <c r="M68" s="142"/>
      <c r="N68" s="143"/>
      <c r="O68" s="143"/>
      <c r="P68" s="143"/>
      <c r="Q68" s="143"/>
      <c r="R68" s="144" t="s">
        <v>110</v>
      </c>
      <c r="S68" s="143"/>
      <c r="U68" s="143"/>
      <c r="V68" s="143"/>
      <c r="W68" s="143"/>
      <c r="X68" s="143"/>
      <c r="Y68" s="143"/>
      <c r="Z68" s="143"/>
      <c r="AJ68" s="146"/>
    </row>
    <row r="69" ht="15.75" customHeight="1">
      <c r="B69" s="151">
        <v>46165.0</v>
      </c>
      <c r="C69" s="152" t="s">
        <v>67</v>
      </c>
      <c r="D69" s="152" t="s">
        <v>130</v>
      </c>
      <c r="E69" s="152" t="s">
        <v>73</v>
      </c>
      <c r="F69" s="152">
        <v>2.0</v>
      </c>
      <c r="G69" s="141">
        <v>3.0</v>
      </c>
      <c r="H69" s="153"/>
      <c r="I69" s="152">
        <v>4.0</v>
      </c>
      <c r="J69" s="153"/>
      <c r="K69" s="153"/>
      <c r="L69" s="141">
        <v>4.0</v>
      </c>
      <c r="M69" s="142"/>
      <c r="N69" s="143"/>
      <c r="O69" s="143"/>
      <c r="P69" s="143"/>
      <c r="Q69" s="143"/>
      <c r="R69" s="144" t="s">
        <v>110</v>
      </c>
      <c r="S69" s="143"/>
      <c r="U69" s="143"/>
      <c r="V69" s="143"/>
      <c r="W69" s="143"/>
      <c r="X69" s="143"/>
      <c r="Y69" s="143"/>
      <c r="Z69" s="143"/>
      <c r="AJ69" s="146"/>
    </row>
    <row r="70" ht="15.75" customHeight="1">
      <c r="B70" s="151">
        <v>46165.0</v>
      </c>
      <c r="C70" s="152" t="s">
        <v>34</v>
      </c>
      <c r="D70" s="152" t="s">
        <v>78</v>
      </c>
      <c r="E70" s="152" t="s">
        <v>79</v>
      </c>
      <c r="F70" s="152">
        <v>2.0</v>
      </c>
      <c r="G70" s="141">
        <v>3.0</v>
      </c>
      <c r="H70" s="153"/>
      <c r="I70" s="152">
        <v>4.0</v>
      </c>
      <c r="J70" s="153"/>
      <c r="K70" s="153"/>
      <c r="L70" s="141">
        <v>4.0</v>
      </c>
      <c r="M70" s="142"/>
      <c r="N70" s="143"/>
      <c r="O70" s="143"/>
      <c r="P70" s="143"/>
      <c r="Q70" s="143"/>
      <c r="R70" s="144" t="s">
        <v>110</v>
      </c>
      <c r="S70" s="143"/>
      <c r="U70" s="143"/>
      <c r="V70" s="143"/>
      <c r="W70" s="143"/>
      <c r="X70" s="143"/>
      <c r="Y70" s="143"/>
      <c r="Z70" s="143"/>
      <c r="AJ70" s="146"/>
    </row>
    <row r="71" ht="15.75" customHeight="1">
      <c r="B71" s="151">
        <v>46165.0</v>
      </c>
      <c r="C71" s="152" t="s">
        <v>97</v>
      </c>
      <c r="D71" s="152" t="s">
        <v>98</v>
      </c>
      <c r="E71" s="152" t="s">
        <v>133</v>
      </c>
      <c r="F71" s="152">
        <v>2.0</v>
      </c>
      <c r="G71" s="141">
        <v>3.0</v>
      </c>
      <c r="H71" s="153"/>
      <c r="I71" s="152">
        <v>4.0</v>
      </c>
      <c r="J71" s="153"/>
      <c r="K71" s="153"/>
      <c r="L71" s="141">
        <v>4.0</v>
      </c>
      <c r="M71" s="142"/>
      <c r="N71" s="143"/>
      <c r="O71" s="143"/>
      <c r="P71" s="143"/>
      <c r="Q71" s="143"/>
      <c r="R71" s="144" t="s">
        <v>110</v>
      </c>
      <c r="S71" s="143"/>
      <c r="U71" s="143"/>
      <c r="V71" s="143"/>
      <c r="W71" s="143"/>
      <c r="X71" s="143"/>
      <c r="Y71" s="143"/>
      <c r="Z71" s="143"/>
      <c r="AJ71" s="146"/>
    </row>
    <row r="72" ht="15.75" customHeight="1">
      <c r="B72" s="151">
        <v>46165.0</v>
      </c>
      <c r="C72" s="152" t="s">
        <v>91</v>
      </c>
      <c r="D72" s="152" t="s">
        <v>68</v>
      </c>
      <c r="E72" s="152" t="s">
        <v>134</v>
      </c>
      <c r="F72" s="152">
        <v>1.0</v>
      </c>
      <c r="G72" s="141">
        <v>4.0</v>
      </c>
      <c r="H72" s="153"/>
      <c r="I72" s="152">
        <v>4.0</v>
      </c>
      <c r="J72" s="153"/>
      <c r="K72" s="153"/>
      <c r="L72" s="141">
        <v>4.0</v>
      </c>
      <c r="M72" s="142"/>
      <c r="N72" s="143"/>
      <c r="O72" s="143"/>
      <c r="P72" s="143"/>
      <c r="Q72" s="143"/>
      <c r="R72" s="144" t="s">
        <v>110</v>
      </c>
      <c r="S72" s="143"/>
      <c r="U72" s="143"/>
      <c r="V72" s="143"/>
      <c r="W72" s="143"/>
      <c r="X72" s="143"/>
      <c r="Y72" s="143"/>
      <c r="Z72" s="143"/>
      <c r="AJ72" s="146"/>
    </row>
    <row r="73" ht="15.75" customHeight="1">
      <c r="B73" s="151">
        <v>46165.0</v>
      </c>
      <c r="C73" s="152" t="s">
        <v>105</v>
      </c>
      <c r="D73" s="152" t="s">
        <v>135</v>
      </c>
      <c r="E73" s="152" t="s">
        <v>136</v>
      </c>
      <c r="F73" s="152">
        <v>1.0</v>
      </c>
      <c r="G73" s="141">
        <v>4.0</v>
      </c>
      <c r="H73" s="153"/>
      <c r="I73" s="152">
        <v>4.0</v>
      </c>
      <c r="J73" s="153"/>
      <c r="K73" s="153"/>
      <c r="L73" s="141">
        <v>4.0</v>
      </c>
      <c r="M73" s="142"/>
      <c r="N73" s="143"/>
      <c r="O73" s="143"/>
      <c r="P73" s="143"/>
      <c r="Q73" s="143"/>
      <c r="R73" s="144" t="s">
        <v>110</v>
      </c>
      <c r="S73" s="143"/>
      <c r="U73" s="143"/>
      <c r="V73" s="143"/>
      <c r="W73" s="143"/>
      <c r="X73" s="143"/>
      <c r="Y73" s="143"/>
      <c r="Z73" s="143"/>
      <c r="AJ73" s="146"/>
    </row>
    <row r="74" ht="15.75" customHeight="1">
      <c r="B74" s="151">
        <v>46165.0</v>
      </c>
      <c r="C74" s="152" t="s">
        <v>137</v>
      </c>
      <c r="D74" s="152" t="s">
        <v>81</v>
      </c>
      <c r="E74" s="152" t="s">
        <v>81</v>
      </c>
      <c r="F74" s="152">
        <v>1.0</v>
      </c>
      <c r="G74" s="141">
        <v>4.0</v>
      </c>
      <c r="H74" s="153"/>
      <c r="I74" s="152">
        <v>4.0</v>
      </c>
      <c r="J74" s="153"/>
      <c r="K74" s="153"/>
      <c r="L74" s="141">
        <v>4.0</v>
      </c>
      <c r="M74" s="142"/>
      <c r="N74" s="143"/>
      <c r="O74" s="143"/>
      <c r="P74" s="143"/>
      <c r="Q74" s="143"/>
      <c r="R74" s="144" t="s">
        <v>110</v>
      </c>
      <c r="S74" s="143"/>
      <c r="U74" s="143"/>
      <c r="V74" s="143"/>
      <c r="W74" s="143"/>
      <c r="X74" s="143"/>
      <c r="Y74" s="143"/>
      <c r="Z74" s="143"/>
      <c r="AJ74" s="146"/>
    </row>
    <row r="75" ht="15.75" customHeight="1">
      <c r="B75" s="151">
        <v>46165.0</v>
      </c>
      <c r="C75" s="152" t="s">
        <v>94</v>
      </c>
      <c r="D75" s="152" t="s">
        <v>95</v>
      </c>
      <c r="E75" s="152" t="s">
        <v>96</v>
      </c>
      <c r="F75" s="152">
        <v>0.0</v>
      </c>
      <c r="G75" s="141">
        <v>2.0</v>
      </c>
      <c r="H75" s="152" t="s">
        <v>138</v>
      </c>
      <c r="I75" s="152">
        <v>4.0</v>
      </c>
      <c r="J75" s="153"/>
      <c r="K75" s="153"/>
      <c r="L75" s="141">
        <v>4.0</v>
      </c>
      <c r="M75" s="142"/>
      <c r="N75" s="143"/>
      <c r="O75" s="143"/>
      <c r="P75" s="143"/>
      <c r="Q75" s="143"/>
      <c r="R75" s="144" t="s">
        <v>110</v>
      </c>
      <c r="S75" s="143"/>
      <c r="U75" s="143"/>
      <c r="V75" s="143"/>
      <c r="W75" s="143"/>
      <c r="X75" s="143"/>
      <c r="Y75" s="143"/>
      <c r="Z75" s="143"/>
      <c r="AJ75" s="146"/>
    </row>
    <row r="76" ht="15.75" customHeight="1">
      <c r="B76" s="148"/>
      <c r="C76" s="149"/>
      <c r="D76" s="150"/>
      <c r="E76" s="150"/>
      <c r="F76" s="150"/>
      <c r="G76" s="150"/>
      <c r="H76" s="150"/>
      <c r="I76" s="150"/>
      <c r="J76" s="150"/>
      <c r="K76" s="150"/>
      <c r="L76" s="150"/>
      <c r="M76" s="142"/>
      <c r="N76" s="143"/>
      <c r="O76" s="143"/>
      <c r="P76" s="143"/>
      <c r="Q76" s="143"/>
      <c r="R76" s="144" t="s">
        <v>110</v>
      </c>
      <c r="S76" s="143"/>
      <c r="U76" s="143"/>
      <c r="V76" s="143"/>
      <c r="W76" s="143"/>
      <c r="X76" s="143"/>
      <c r="Y76" s="143"/>
      <c r="Z76" s="143"/>
      <c r="AJ76" s="146"/>
    </row>
    <row r="77" ht="15.75" customHeight="1">
      <c r="B77" s="151">
        <v>46172.0</v>
      </c>
      <c r="C77" s="141" t="s">
        <v>72</v>
      </c>
      <c r="D77" s="152" t="s">
        <v>92</v>
      </c>
      <c r="E77" s="152" t="s">
        <v>93</v>
      </c>
      <c r="F77" s="152">
        <v>4.0</v>
      </c>
      <c r="G77" s="141">
        <f t="shared" ref="G77:G87" si="4">L77-F77</f>
        <v>0</v>
      </c>
      <c r="H77" s="153"/>
      <c r="I77" s="152">
        <v>5.0</v>
      </c>
      <c r="J77" s="153"/>
      <c r="K77" s="153"/>
      <c r="L77" s="141">
        <v>4.0</v>
      </c>
      <c r="M77" s="142"/>
      <c r="N77" s="143"/>
      <c r="O77" s="143"/>
      <c r="P77" s="143"/>
      <c r="Q77" s="143"/>
      <c r="R77" s="144" t="s">
        <v>110</v>
      </c>
      <c r="S77" s="143"/>
      <c r="U77" s="143"/>
      <c r="V77" s="143"/>
      <c r="W77" s="143"/>
      <c r="X77" s="143"/>
      <c r="Y77" s="143"/>
      <c r="Z77" s="143"/>
      <c r="AJ77" s="146"/>
    </row>
    <row r="78" ht="15.75" customHeight="1">
      <c r="B78" s="151">
        <v>46172.0</v>
      </c>
      <c r="C78" s="152" t="s">
        <v>77</v>
      </c>
      <c r="D78" s="152" t="s">
        <v>139</v>
      </c>
      <c r="E78" s="152" t="s">
        <v>131</v>
      </c>
      <c r="F78" s="152">
        <v>3.0</v>
      </c>
      <c r="G78" s="141">
        <f t="shared" si="4"/>
        <v>1</v>
      </c>
      <c r="H78" s="153"/>
      <c r="I78" s="152">
        <v>5.0</v>
      </c>
      <c r="J78" s="153"/>
      <c r="K78" s="153"/>
      <c r="L78" s="141">
        <v>4.0</v>
      </c>
      <c r="M78" s="142"/>
      <c r="N78" s="143"/>
      <c r="O78" s="143"/>
      <c r="P78" s="143"/>
      <c r="Q78" s="143"/>
      <c r="R78" s="144" t="s">
        <v>110</v>
      </c>
      <c r="S78" s="143"/>
      <c r="U78" s="143"/>
      <c r="V78" s="143"/>
      <c r="W78" s="143"/>
      <c r="X78" s="143"/>
      <c r="Y78" s="143"/>
      <c r="Z78" s="143"/>
      <c r="AJ78" s="146"/>
    </row>
    <row r="79" ht="15.75" customHeight="1">
      <c r="B79" s="151">
        <v>46172.0</v>
      </c>
      <c r="C79" s="152" t="s">
        <v>91</v>
      </c>
      <c r="D79" s="152" t="s">
        <v>68</v>
      </c>
      <c r="E79" s="152" t="s">
        <v>134</v>
      </c>
      <c r="F79" s="152">
        <v>3.0</v>
      </c>
      <c r="G79" s="141">
        <f t="shared" si="4"/>
        <v>1</v>
      </c>
      <c r="H79" s="153"/>
      <c r="I79" s="152">
        <v>5.0</v>
      </c>
      <c r="J79" s="153"/>
      <c r="K79" s="153"/>
      <c r="L79" s="141">
        <v>4.0</v>
      </c>
      <c r="M79" s="142"/>
      <c r="N79" s="143"/>
      <c r="O79" s="143"/>
      <c r="P79" s="143"/>
      <c r="Q79" s="143"/>
      <c r="R79" s="144" t="s">
        <v>110</v>
      </c>
      <c r="S79" s="143"/>
      <c r="U79" s="143"/>
      <c r="V79" s="143"/>
      <c r="W79" s="143"/>
      <c r="X79" s="143"/>
      <c r="Y79" s="143"/>
      <c r="Z79" s="143"/>
      <c r="AJ79" s="146"/>
    </row>
    <row r="80" ht="15.75" customHeight="1">
      <c r="B80" s="151">
        <v>46172.0</v>
      </c>
      <c r="C80" s="152" t="s">
        <v>70</v>
      </c>
      <c r="D80" s="152" t="s">
        <v>140</v>
      </c>
      <c r="E80" s="152" t="s">
        <v>141</v>
      </c>
      <c r="F80" s="152">
        <v>3.0</v>
      </c>
      <c r="G80" s="141">
        <f t="shared" si="4"/>
        <v>1</v>
      </c>
      <c r="H80" s="153"/>
      <c r="I80" s="152">
        <v>5.0</v>
      </c>
      <c r="J80" s="153"/>
      <c r="K80" s="153"/>
      <c r="L80" s="141">
        <v>4.0</v>
      </c>
      <c r="M80" s="142"/>
      <c r="N80" s="143"/>
      <c r="O80" s="143"/>
      <c r="P80" s="143"/>
      <c r="Q80" s="143"/>
      <c r="R80" s="144" t="s">
        <v>110</v>
      </c>
      <c r="S80" s="143"/>
      <c r="U80" s="143"/>
      <c r="V80" s="143"/>
      <c r="W80" s="143"/>
      <c r="X80" s="143"/>
      <c r="Y80" s="143"/>
      <c r="Z80" s="143"/>
      <c r="AJ80" s="146"/>
    </row>
    <row r="81" ht="15.75" customHeight="1">
      <c r="B81" s="151">
        <v>46172.0</v>
      </c>
      <c r="C81" s="152" t="s">
        <v>97</v>
      </c>
      <c r="D81" s="152" t="s">
        <v>98</v>
      </c>
      <c r="E81" s="152" t="s">
        <v>79</v>
      </c>
      <c r="F81" s="152">
        <v>2.0</v>
      </c>
      <c r="G81" s="141">
        <f t="shared" si="4"/>
        <v>2</v>
      </c>
      <c r="H81" s="153"/>
      <c r="I81" s="152">
        <v>5.0</v>
      </c>
      <c r="J81" s="153"/>
      <c r="K81" s="153"/>
      <c r="L81" s="141">
        <v>4.0</v>
      </c>
      <c r="M81" s="142"/>
      <c r="N81" s="143"/>
      <c r="O81" s="143"/>
      <c r="P81" s="143"/>
      <c r="Q81" s="143"/>
      <c r="R81" s="144" t="s">
        <v>110</v>
      </c>
      <c r="S81" s="143"/>
      <c r="U81" s="143"/>
      <c r="V81" s="143"/>
      <c r="W81" s="143"/>
      <c r="X81" s="143"/>
      <c r="Y81" s="143"/>
      <c r="Z81" s="143"/>
      <c r="AJ81" s="146"/>
    </row>
    <row r="82" ht="15.75" customHeight="1">
      <c r="B82" s="151">
        <v>46172.0</v>
      </c>
      <c r="C82" s="152" t="s">
        <v>34</v>
      </c>
      <c r="D82" s="152" t="s">
        <v>78</v>
      </c>
      <c r="E82" s="152" t="s">
        <v>79</v>
      </c>
      <c r="F82" s="152">
        <v>2.0</v>
      </c>
      <c r="G82" s="141">
        <f t="shared" si="4"/>
        <v>2</v>
      </c>
      <c r="H82" s="153"/>
      <c r="I82" s="152">
        <v>5.0</v>
      </c>
      <c r="J82" s="153"/>
      <c r="K82" s="153"/>
      <c r="L82" s="141">
        <v>4.0</v>
      </c>
      <c r="M82" s="142"/>
      <c r="N82" s="143"/>
      <c r="O82" s="143"/>
      <c r="P82" s="143"/>
      <c r="Q82" s="143"/>
      <c r="R82" s="144" t="s">
        <v>110</v>
      </c>
      <c r="S82" s="143"/>
      <c r="U82" s="143"/>
      <c r="V82" s="143"/>
      <c r="W82" s="143"/>
      <c r="X82" s="143"/>
      <c r="Y82" s="143"/>
      <c r="Z82" s="143"/>
      <c r="AJ82" s="146"/>
    </row>
    <row r="83" ht="15.75" customHeight="1">
      <c r="B83" s="151">
        <v>46172.0</v>
      </c>
      <c r="C83" s="152" t="s">
        <v>118</v>
      </c>
      <c r="D83" s="152" t="s">
        <v>68</v>
      </c>
      <c r="E83" s="152" t="s">
        <v>73</v>
      </c>
      <c r="F83" s="152">
        <v>2.0</v>
      </c>
      <c r="G83" s="141">
        <f t="shared" si="4"/>
        <v>2</v>
      </c>
      <c r="H83" s="153"/>
      <c r="I83" s="152">
        <v>5.0</v>
      </c>
      <c r="J83" s="153"/>
      <c r="K83" s="153"/>
      <c r="L83" s="141">
        <v>4.0</v>
      </c>
      <c r="M83" s="142"/>
      <c r="N83" s="143"/>
      <c r="O83" s="143"/>
      <c r="P83" s="143"/>
      <c r="Q83" s="143"/>
      <c r="R83" s="144" t="s">
        <v>110</v>
      </c>
      <c r="S83" s="143"/>
      <c r="U83" s="143"/>
      <c r="V83" s="143"/>
      <c r="W83" s="143"/>
      <c r="X83" s="143"/>
      <c r="Y83" s="143"/>
      <c r="Z83" s="143"/>
      <c r="AJ83" s="146"/>
    </row>
    <row r="84" ht="15.75" customHeight="1">
      <c r="B84" s="151">
        <v>46172.0</v>
      </c>
      <c r="C84" s="152" t="s">
        <v>88</v>
      </c>
      <c r="D84" s="152" t="s">
        <v>68</v>
      </c>
      <c r="E84" s="152" t="s">
        <v>73</v>
      </c>
      <c r="F84" s="152">
        <v>2.0</v>
      </c>
      <c r="G84" s="141">
        <f t="shared" si="4"/>
        <v>2</v>
      </c>
      <c r="H84" s="153"/>
      <c r="I84" s="152">
        <v>5.0</v>
      </c>
      <c r="J84" s="153"/>
      <c r="K84" s="153"/>
      <c r="L84" s="141">
        <v>4.0</v>
      </c>
      <c r="M84" s="142"/>
      <c r="N84" s="143"/>
      <c r="O84" s="143"/>
      <c r="P84" s="143"/>
      <c r="Q84" s="143"/>
      <c r="R84" s="144" t="s">
        <v>110</v>
      </c>
      <c r="S84" s="143"/>
      <c r="U84" s="143"/>
      <c r="V84" s="143"/>
      <c r="W84" s="143"/>
      <c r="X84" s="143"/>
      <c r="Y84" s="143"/>
      <c r="Z84" s="143"/>
      <c r="AJ84" s="146"/>
    </row>
    <row r="85" ht="15.75" customHeight="1">
      <c r="B85" s="151">
        <v>46172.0</v>
      </c>
      <c r="C85" s="152" t="s">
        <v>105</v>
      </c>
      <c r="D85" s="152" t="s">
        <v>92</v>
      </c>
      <c r="E85" s="152" t="s">
        <v>93</v>
      </c>
      <c r="F85" s="152">
        <v>1.0</v>
      </c>
      <c r="G85" s="141">
        <f t="shared" si="4"/>
        <v>3</v>
      </c>
      <c r="H85" s="153"/>
      <c r="I85" s="152">
        <v>5.0</v>
      </c>
      <c r="J85" s="153"/>
      <c r="K85" s="153"/>
      <c r="L85" s="141">
        <v>4.0</v>
      </c>
      <c r="M85" s="142"/>
      <c r="N85" s="143"/>
      <c r="O85" s="143"/>
      <c r="P85" s="143"/>
      <c r="Q85" s="143"/>
      <c r="R85" s="144" t="s">
        <v>110</v>
      </c>
      <c r="S85" s="143"/>
      <c r="U85" s="143"/>
      <c r="V85" s="143"/>
      <c r="W85" s="143"/>
      <c r="X85" s="143"/>
      <c r="Y85" s="143"/>
      <c r="Z85" s="143"/>
      <c r="AJ85" s="146"/>
    </row>
    <row r="86" ht="15.75" customHeight="1">
      <c r="B86" s="151">
        <v>46172.0</v>
      </c>
      <c r="C86" s="152" t="s">
        <v>83</v>
      </c>
      <c r="D86" s="152" t="s">
        <v>92</v>
      </c>
      <c r="E86" s="152" t="s">
        <v>93</v>
      </c>
      <c r="F86" s="152">
        <v>1.0</v>
      </c>
      <c r="G86" s="141">
        <f t="shared" si="4"/>
        <v>3</v>
      </c>
      <c r="H86" s="153"/>
      <c r="I86" s="152">
        <v>5.0</v>
      </c>
      <c r="J86" s="153"/>
      <c r="K86" s="153"/>
      <c r="L86" s="141">
        <v>4.0</v>
      </c>
      <c r="M86" s="142"/>
      <c r="N86" s="143"/>
      <c r="O86" s="143"/>
      <c r="P86" s="143"/>
      <c r="Q86" s="143"/>
      <c r="R86" s="144" t="s">
        <v>110</v>
      </c>
      <c r="S86" s="143"/>
      <c r="U86" s="143"/>
      <c r="V86" s="143"/>
      <c r="W86" s="143"/>
      <c r="X86" s="143"/>
      <c r="Y86" s="143"/>
      <c r="Z86" s="143"/>
      <c r="AJ86" s="146"/>
    </row>
    <row r="87" ht="15.75" customHeight="1">
      <c r="B87" s="151">
        <v>46172.0</v>
      </c>
      <c r="C87" s="152" t="s">
        <v>128</v>
      </c>
      <c r="D87" s="152" t="s">
        <v>92</v>
      </c>
      <c r="E87" s="152" t="s">
        <v>93</v>
      </c>
      <c r="F87" s="152">
        <v>1.0</v>
      </c>
      <c r="G87" s="141">
        <f t="shared" si="4"/>
        <v>3</v>
      </c>
      <c r="H87" s="153"/>
      <c r="I87" s="152">
        <v>5.0</v>
      </c>
      <c r="J87" s="153"/>
      <c r="K87" s="153"/>
      <c r="L87" s="141">
        <v>4.0</v>
      </c>
      <c r="M87" s="142"/>
      <c r="N87" s="143"/>
      <c r="O87" s="143"/>
      <c r="P87" s="143"/>
      <c r="Q87" s="143"/>
      <c r="R87" s="144" t="s">
        <v>110</v>
      </c>
      <c r="S87" s="143"/>
      <c r="U87" s="143"/>
      <c r="V87" s="143"/>
      <c r="W87" s="143"/>
      <c r="X87" s="143"/>
      <c r="Y87" s="143"/>
      <c r="Z87" s="143"/>
      <c r="AJ87" s="146"/>
    </row>
    <row r="88" ht="15.75" customHeight="1">
      <c r="B88" s="148"/>
      <c r="C88" s="149"/>
      <c r="D88" s="150"/>
      <c r="E88" s="150"/>
      <c r="F88" s="150"/>
      <c r="G88" s="150"/>
      <c r="H88" s="150"/>
      <c r="I88" s="150"/>
      <c r="J88" s="150"/>
      <c r="K88" s="150"/>
      <c r="L88" s="150"/>
      <c r="M88" s="142"/>
      <c r="N88" s="143"/>
      <c r="O88" s="143"/>
      <c r="P88" s="143"/>
      <c r="Q88" s="143"/>
      <c r="R88" s="144" t="s">
        <v>110</v>
      </c>
      <c r="S88" s="143"/>
      <c r="U88" s="143"/>
      <c r="V88" s="143"/>
      <c r="W88" s="143"/>
      <c r="X88" s="143"/>
      <c r="Y88" s="143"/>
      <c r="Z88" s="143"/>
      <c r="AJ88" s="146"/>
    </row>
    <row r="89" ht="15.75" customHeight="1">
      <c r="B89" s="151">
        <v>46179.0</v>
      </c>
      <c r="C89" s="152" t="s">
        <v>91</v>
      </c>
      <c r="D89" s="152" t="s">
        <v>68</v>
      </c>
      <c r="E89" s="152" t="s">
        <v>69</v>
      </c>
      <c r="F89" s="152">
        <v>4.0</v>
      </c>
      <c r="G89" s="141">
        <v>0.0</v>
      </c>
      <c r="H89" s="153"/>
      <c r="I89" s="152">
        <v>6.0</v>
      </c>
      <c r="J89" s="153"/>
      <c r="K89" s="153"/>
      <c r="L89" s="141">
        <v>4.0</v>
      </c>
      <c r="M89" s="142"/>
      <c r="N89" s="143"/>
      <c r="O89" s="143"/>
      <c r="P89" s="143"/>
      <c r="Q89" s="143"/>
      <c r="R89" s="144" t="s">
        <v>110</v>
      </c>
      <c r="S89" s="143"/>
      <c r="U89" s="143"/>
      <c r="V89" s="143"/>
      <c r="W89" s="143"/>
      <c r="X89" s="143"/>
      <c r="Y89" s="143"/>
      <c r="Z89" s="143"/>
      <c r="AJ89" s="146"/>
    </row>
    <row r="90" ht="15.75" customHeight="1">
      <c r="B90" s="151">
        <v>46179.0</v>
      </c>
      <c r="C90" s="152" t="s">
        <v>87</v>
      </c>
      <c r="D90" s="152" t="s">
        <v>139</v>
      </c>
      <c r="E90" s="152" t="s">
        <v>142</v>
      </c>
      <c r="F90" s="152">
        <v>3.0</v>
      </c>
      <c r="G90" s="141">
        <v>1.0</v>
      </c>
      <c r="H90" s="153"/>
      <c r="I90" s="152">
        <v>6.0</v>
      </c>
      <c r="J90" s="153"/>
      <c r="K90" s="153"/>
      <c r="L90" s="141">
        <v>4.0</v>
      </c>
      <c r="M90" s="142"/>
      <c r="N90" s="143"/>
      <c r="O90" s="143"/>
      <c r="P90" s="143"/>
      <c r="Q90" s="143"/>
      <c r="R90" s="144" t="s">
        <v>110</v>
      </c>
      <c r="S90" s="143"/>
      <c r="U90" s="143"/>
      <c r="V90" s="143"/>
      <c r="W90" s="143"/>
      <c r="X90" s="143"/>
      <c r="Y90" s="143"/>
      <c r="Z90" s="143"/>
      <c r="AJ90" s="146"/>
    </row>
    <row r="91" ht="15.75" customHeight="1">
      <c r="B91" s="151">
        <v>46179.0</v>
      </c>
      <c r="C91" s="152" t="s">
        <v>102</v>
      </c>
      <c r="D91" s="152" t="s">
        <v>143</v>
      </c>
      <c r="E91" s="152" t="s">
        <v>79</v>
      </c>
      <c r="F91" s="152">
        <v>3.0</v>
      </c>
      <c r="G91" s="141">
        <v>1.0</v>
      </c>
      <c r="H91" s="153"/>
      <c r="I91" s="152">
        <v>6.0</v>
      </c>
      <c r="J91" s="153"/>
      <c r="K91" s="153"/>
      <c r="L91" s="141">
        <v>4.0</v>
      </c>
      <c r="M91" s="142"/>
      <c r="N91" s="143"/>
      <c r="O91" s="143"/>
      <c r="P91" s="143"/>
      <c r="Q91" s="143"/>
      <c r="R91" s="144" t="s">
        <v>110</v>
      </c>
      <c r="S91" s="143"/>
      <c r="U91" s="143"/>
      <c r="V91" s="143"/>
      <c r="W91" s="143"/>
      <c r="X91" s="143"/>
      <c r="Y91" s="143"/>
      <c r="Z91" s="143"/>
      <c r="AJ91" s="146"/>
    </row>
    <row r="92" ht="15.75" customHeight="1">
      <c r="B92" s="151">
        <v>46179.0</v>
      </c>
      <c r="C92" s="152" t="s">
        <v>77</v>
      </c>
      <c r="D92" s="152" t="s">
        <v>139</v>
      </c>
      <c r="E92" s="152" t="s">
        <v>131</v>
      </c>
      <c r="F92" s="152">
        <v>2.0</v>
      </c>
      <c r="G92" s="141">
        <v>2.0</v>
      </c>
      <c r="H92" s="153"/>
      <c r="I92" s="152">
        <v>6.0</v>
      </c>
      <c r="J92" s="153"/>
      <c r="K92" s="153"/>
      <c r="L92" s="141">
        <v>4.0</v>
      </c>
      <c r="M92" s="142"/>
      <c r="N92" s="143"/>
      <c r="O92" s="143"/>
      <c r="P92" s="143"/>
      <c r="Q92" s="143"/>
      <c r="R92" s="144" t="s">
        <v>110</v>
      </c>
      <c r="S92" s="143"/>
      <c r="U92" s="143"/>
      <c r="V92" s="143"/>
      <c r="W92" s="143"/>
      <c r="X92" s="143"/>
      <c r="Y92" s="143"/>
      <c r="Z92" s="143"/>
      <c r="AJ92" s="146"/>
    </row>
    <row r="93" ht="15.75" customHeight="1">
      <c r="B93" s="151">
        <v>46179.0</v>
      </c>
      <c r="C93" s="152" t="s">
        <v>34</v>
      </c>
      <c r="D93" s="152" t="s">
        <v>130</v>
      </c>
      <c r="E93" s="152" t="s">
        <v>73</v>
      </c>
      <c r="F93" s="152">
        <v>2.0</v>
      </c>
      <c r="G93" s="141">
        <v>2.0</v>
      </c>
      <c r="H93" s="153"/>
      <c r="I93" s="152">
        <v>6.0</v>
      </c>
      <c r="J93" s="153"/>
      <c r="K93" s="153"/>
      <c r="L93" s="141">
        <v>4.0</v>
      </c>
      <c r="M93" s="142"/>
      <c r="N93" s="143"/>
      <c r="O93" s="143"/>
      <c r="P93" s="143"/>
      <c r="Q93" s="143"/>
      <c r="R93" s="144" t="s">
        <v>110</v>
      </c>
      <c r="S93" s="143"/>
      <c r="U93" s="143"/>
      <c r="V93" s="143"/>
      <c r="W93" s="143"/>
      <c r="X93" s="143"/>
      <c r="Y93" s="143"/>
      <c r="Z93" s="143"/>
      <c r="AJ93" s="146"/>
    </row>
    <row r="94" ht="15.75" customHeight="1">
      <c r="B94" s="151">
        <v>46179.0</v>
      </c>
      <c r="C94" s="152" t="s">
        <v>83</v>
      </c>
      <c r="D94" s="152" t="s">
        <v>109</v>
      </c>
      <c r="E94" s="152" t="s">
        <v>144</v>
      </c>
      <c r="F94" s="152">
        <v>2.0</v>
      </c>
      <c r="G94" s="141">
        <v>2.0</v>
      </c>
      <c r="H94" s="153"/>
      <c r="I94" s="152">
        <v>6.0</v>
      </c>
      <c r="J94" s="153"/>
      <c r="K94" s="153"/>
      <c r="L94" s="141">
        <v>4.0</v>
      </c>
      <c r="M94" s="142"/>
      <c r="N94" s="143"/>
      <c r="O94" s="143"/>
      <c r="P94" s="143"/>
      <c r="Q94" s="143"/>
      <c r="R94" s="144" t="s">
        <v>110</v>
      </c>
      <c r="S94" s="143"/>
      <c r="U94" s="143"/>
      <c r="V94" s="143"/>
      <c r="W94" s="143"/>
      <c r="X94" s="143"/>
      <c r="Y94" s="143"/>
      <c r="Z94" s="143"/>
      <c r="AJ94" s="146"/>
    </row>
    <row r="95" ht="15.75" customHeight="1">
      <c r="B95" s="151">
        <v>46179.0</v>
      </c>
      <c r="C95" s="152" t="s">
        <v>105</v>
      </c>
      <c r="D95" s="152" t="s">
        <v>92</v>
      </c>
      <c r="E95" s="152" t="s">
        <v>145</v>
      </c>
      <c r="F95" s="152">
        <v>1.0</v>
      </c>
      <c r="G95" s="141">
        <v>3.0</v>
      </c>
      <c r="H95" s="153"/>
      <c r="I95" s="152">
        <v>6.0</v>
      </c>
      <c r="J95" s="153"/>
      <c r="K95" s="153"/>
      <c r="L95" s="141">
        <v>4.0</v>
      </c>
      <c r="M95" s="142"/>
      <c r="N95" s="143"/>
      <c r="O95" s="143"/>
      <c r="P95" s="143"/>
      <c r="Q95" s="143"/>
      <c r="R95" s="144" t="s">
        <v>110</v>
      </c>
      <c r="S95" s="143"/>
      <c r="U95" s="143"/>
      <c r="V95" s="143"/>
      <c r="W95" s="143"/>
      <c r="X95" s="143"/>
      <c r="Y95" s="143"/>
      <c r="Z95" s="143"/>
      <c r="AJ95" s="146"/>
    </row>
    <row r="96" ht="15.75" customHeight="1">
      <c r="B96" s="151">
        <v>46179.0</v>
      </c>
      <c r="C96" s="152" t="s">
        <v>132</v>
      </c>
      <c r="D96" s="152" t="s">
        <v>68</v>
      </c>
      <c r="E96" s="152" t="s">
        <v>131</v>
      </c>
      <c r="F96" s="152">
        <v>1.0</v>
      </c>
      <c r="G96" s="152">
        <v>3.0</v>
      </c>
      <c r="H96" s="153"/>
      <c r="I96" s="152">
        <v>6.0</v>
      </c>
      <c r="J96" s="153"/>
      <c r="K96" s="153"/>
      <c r="L96" s="141">
        <v>4.0</v>
      </c>
      <c r="M96" s="142"/>
      <c r="N96" s="143"/>
      <c r="O96" s="143"/>
      <c r="P96" s="143"/>
      <c r="Q96" s="143"/>
      <c r="R96" s="144" t="s">
        <v>110</v>
      </c>
      <c r="S96" s="143"/>
      <c r="U96" s="143"/>
      <c r="V96" s="143"/>
      <c r="W96" s="143"/>
      <c r="X96" s="143"/>
      <c r="Y96" s="143"/>
      <c r="Z96" s="143"/>
      <c r="AJ96" s="146"/>
    </row>
    <row r="97" ht="15.75" customHeight="1">
      <c r="B97" s="151">
        <v>46179.0</v>
      </c>
      <c r="C97" s="152" t="s">
        <v>70</v>
      </c>
      <c r="D97" s="152" t="s">
        <v>140</v>
      </c>
      <c r="E97" s="141" t="s">
        <v>146</v>
      </c>
      <c r="F97" s="152">
        <v>1.0</v>
      </c>
      <c r="G97" s="152">
        <v>3.0</v>
      </c>
      <c r="H97" s="153"/>
      <c r="I97" s="152">
        <v>6.0</v>
      </c>
      <c r="J97" s="153"/>
      <c r="K97" s="153"/>
      <c r="L97" s="141">
        <v>4.0</v>
      </c>
      <c r="M97" s="142"/>
      <c r="N97" s="143"/>
      <c r="O97" s="143"/>
      <c r="P97" s="143"/>
      <c r="Q97" s="143"/>
      <c r="R97" s="144" t="s">
        <v>110</v>
      </c>
      <c r="S97" s="143"/>
      <c r="U97" s="143"/>
      <c r="V97" s="143"/>
      <c r="W97" s="143"/>
      <c r="X97" s="143"/>
      <c r="Y97" s="143"/>
      <c r="Z97" s="143"/>
      <c r="AJ97" s="146"/>
    </row>
    <row r="98" ht="15.75" customHeight="1">
      <c r="B98" s="151">
        <v>46179.0</v>
      </c>
      <c r="C98" s="152" t="s">
        <v>128</v>
      </c>
      <c r="D98" s="152" t="s">
        <v>92</v>
      </c>
      <c r="E98" s="152" t="s">
        <v>93</v>
      </c>
      <c r="F98" s="152">
        <v>1.0</v>
      </c>
      <c r="G98" s="152">
        <v>3.0</v>
      </c>
      <c r="H98" s="153"/>
      <c r="I98" s="152">
        <v>6.0</v>
      </c>
      <c r="J98" s="153"/>
      <c r="K98" s="153"/>
      <c r="L98" s="141">
        <v>4.0</v>
      </c>
      <c r="M98" s="142"/>
      <c r="N98" s="143"/>
      <c r="O98" s="143"/>
      <c r="P98" s="143"/>
      <c r="Q98" s="143"/>
      <c r="R98" s="144" t="s">
        <v>110</v>
      </c>
      <c r="S98" s="143"/>
      <c r="U98" s="143"/>
      <c r="V98" s="143"/>
      <c r="W98" s="143"/>
      <c r="X98" s="143"/>
      <c r="Y98" s="143"/>
      <c r="Z98" s="143"/>
      <c r="AJ98" s="146"/>
    </row>
    <row r="99" ht="15.75" customHeight="1">
      <c r="B99" s="151">
        <v>46179.0</v>
      </c>
      <c r="C99" s="152" t="s">
        <v>64</v>
      </c>
      <c r="D99" s="153"/>
      <c r="E99" s="153"/>
      <c r="F99" s="152">
        <v>0.0</v>
      </c>
      <c r="G99" s="152">
        <v>4.0</v>
      </c>
      <c r="H99" s="152"/>
      <c r="I99" s="152">
        <v>6.0</v>
      </c>
      <c r="J99" s="153"/>
      <c r="K99" s="153"/>
      <c r="L99" s="141">
        <v>4.0</v>
      </c>
      <c r="M99" s="142"/>
      <c r="N99" s="143"/>
      <c r="O99" s="143"/>
      <c r="P99" s="143"/>
      <c r="Q99" s="143"/>
      <c r="R99" s="144" t="s">
        <v>110</v>
      </c>
      <c r="S99" s="143"/>
      <c r="U99" s="143"/>
      <c r="V99" s="143"/>
      <c r="W99" s="143"/>
      <c r="X99" s="143"/>
      <c r="Y99" s="143"/>
      <c r="Z99" s="143"/>
      <c r="AJ99" s="146"/>
    </row>
    <row r="100" ht="15.75" customHeight="1">
      <c r="B100" s="151">
        <v>46186.0</v>
      </c>
      <c r="C100" s="152" t="s">
        <v>147</v>
      </c>
      <c r="D100" s="152" t="s">
        <v>143</v>
      </c>
      <c r="E100" s="152" t="s">
        <v>79</v>
      </c>
      <c r="F100" s="152">
        <v>4.0</v>
      </c>
      <c r="G100" s="152">
        <v>0.0</v>
      </c>
      <c r="H100" s="153"/>
      <c r="I100" s="152">
        <v>7.0</v>
      </c>
      <c r="J100" s="153"/>
      <c r="K100" s="153"/>
      <c r="L100" s="141">
        <v>4.0</v>
      </c>
      <c r="M100" s="142"/>
      <c r="N100" s="143"/>
      <c r="O100" s="143"/>
      <c r="P100" s="143"/>
      <c r="Q100" s="143"/>
      <c r="R100" s="144" t="s">
        <v>110</v>
      </c>
      <c r="S100" s="143"/>
      <c r="U100" s="143"/>
      <c r="V100" s="143"/>
      <c r="W100" s="143"/>
      <c r="X100" s="143"/>
      <c r="Y100" s="143"/>
      <c r="Z100" s="143"/>
      <c r="AJ100" s="146"/>
    </row>
    <row r="101" ht="15.75" customHeight="1">
      <c r="B101" s="151">
        <v>46186.0</v>
      </c>
      <c r="C101" s="152" t="s">
        <v>87</v>
      </c>
      <c r="D101" s="152" t="s">
        <v>139</v>
      </c>
      <c r="E101" s="152" t="s">
        <v>131</v>
      </c>
      <c r="F101" s="152">
        <v>3.0</v>
      </c>
      <c r="G101" s="152">
        <v>1.0</v>
      </c>
      <c r="H101" s="153"/>
      <c r="I101" s="152">
        <v>7.0</v>
      </c>
      <c r="J101" s="153"/>
      <c r="K101" s="153"/>
      <c r="L101" s="141">
        <v>4.0</v>
      </c>
      <c r="M101" s="142"/>
      <c r="N101" s="143"/>
      <c r="O101" s="143"/>
      <c r="P101" s="143"/>
      <c r="Q101" s="143"/>
      <c r="R101" s="144" t="s">
        <v>110</v>
      </c>
      <c r="S101" s="143"/>
      <c r="U101" s="143"/>
      <c r="V101" s="143"/>
      <c r="W101" s="143"/>
      <c r="X101" s="143"/>
      <c r="Y101" s="143"/>
      <c r="Z101" s="143"/>
      <c r="AJ101" s="146"/>
    </row>
    <row r="102" ht="15.75" customHeight="1">
      <c r="B102" s="151">
        <v>46186.0</v>
      </c>
      <c r="C102" s="152" t="s">
        <v>104</v>
      </c>
      <c r="D102" s="152" t="s">
        <v>148</v>
      </c>
      <c r="E102" s="152" t="s">
        <v>149</v>
      </c>
      <c r="F102" s="152">
        <v>3.0</v>
      </c>
      <c r="G102" s="152">
        <v>1.0</v>
      </c>
      <c r="H102" s="153"/>
      <c r="I102" s="152">
        <v>7.0</v>
      </c>
      <c r="J102" s="153"/>
      <c r="K102" s="153"/>
      <c r="L102" s="141">
        <v>4.0</v>
      </c>
      <c r="M102" s="142"/>
      <c r="N102" s="143"/>
      <c r="O102" s="143"/>
      <c r="P102" s="143"/>
      <c r="Q102" s="143"/>
      <c r="R102" s="144" t="s">
        <v>110</v>
      </c>
      <c r="S102" s="143"/>
      <c r="U102" s="143"/>
      <c r="V102" s="143"/>
      <c r="W102" s="143"/>
      <c r="X102" s="143"/>
      <c r="Y102" s="143"/>
      <c r="Z102" s="143"/>
      <c r="AJ102" s="146"/>
    </row>
    <row r="103" ht="15.75" customHeight="1">
      <c r="B103" s="151">
        <v>46186.0</v>
      </c>
      <c r="C103" s="152" t="s">
        <v>70</v>
      </c>
      <c r="D103" s="152" t="s">
        <v>68</v>
      </c>
      <c r="E103" s="152" t="s">
        <v>150</v>
      </c>
      <c r="F103" s="152">
        <v>3.0</v>
      </c>
      <c r="G103" s="152">
        <v>1.0</v>
      </c>
      <c r="H103" s="153"/>
      <c r="I103" s="152">
        <v>7.0</v>
      </c>
      <c r="J103" s="153"/>
      <c r="K103" s="153"/>
      <c r="L103" s="141">
        <v>4.0</v>
      </c>
      <c r="M103" s="142"/>
      <c r="N103" s="143"/>
      <c r="O103" s="143"/>
      <c r="P103" s="143"/>
      <c r="Q103" s="143"/>
      <c r="R103" s="144" t="s">
        <v>110</v>
      </c>
      <c r="S103" s="143"/>
      <c r="U103" s="143"/>
      <c r="V103" s="143"/>
      <c r="W103" s="143"/>
      <c r="X103" s="143"/>
      <c r="Y103" s="143"/>
      <c r="Z103" s="143"/>
      <c r="AJ103" s="146"/>
    </row>
    <row r="104" ht="15.75" customHeight="1">
      <c r="B104" s="151">
        <v>46186.0</v>
      </c>
      <c r="C104" s="152" t="s">
        <v>91</v>
      </c>
      <c r="D104" s="152" t="s">
        <v>68</v>
      </c>
      <c r="E104" s="152" t="s">
        <v>69</v>
      </c>
      <c r="F104" s="152">
        <v>2.0</v>
      </c>
      <c r="G104" s="152">
        <v>2.0</v>
      </c>
      <c r="H104" s="153"/>
      <c r="I104" s="152">
        <v>7.0</v>
      </c>
      <c r="J104" s="153"/>
      <c r="K104" s="153"/>
      <c r="L104" s="141">
        <v>4.0</v>
      </c>
      <c r="M104" s="142"/>
      <c r="N104" s="143"/>
      <c r="O104" s="143"/>
      <c r="P104" s="143"/>
      <c r="Q104" s="143"/>
      <c r="R104" s="144" t="s">
        <v>110</v>
      </c>
      <c r="S104" s="143"/>
      <c r="U104" s="143"/>
      <c r="V104" s="143"/>
      <c r="W104" s="143"/>
      <c r="X104" s="143"/>
      <c r="Y104" s="143"/>
      <c r="Z104" s="143"/>
      <c r="AJ104" s="146"/>
    </row>
    <row r="105" ht="15.75" customHeight="1">
      <c r="B105" s="151">
        <v>46186.0</v>
      </c>
      <c r="C105" s="152" t="s">
        <v>72</v>
      </c>
      <c r="D105" s="152" t="s">
        <v>129</v>
      </c>
      <c r="E105" s="152" t="s">
        <v>151</v>
      </c>
      <c r="F105" s="152">
        <v>2.0</v>
      </c>
      <c r="G105" s="152">
        <v>2.0</v>
      </c>
      <c r="H105" s="153"/>
      <c r="I105" s="152">
        <v>7.0</v>
      </c>
      <c r="J105" s="153"/>
      <c r="K105" s="153"/>
      <c r="L105" s="141">
        <v>4.0</v>
      </c>
      <c r="M105" s="142"/>
      <c r="N105" s="143"/>
      <c r="O105" s="143"/>
      <c r="P105" s="143"/>
      <c r="Q105" s="143"/>
      <c r="R105" s="144" t="s">
        <v>110</v>
      </c>
      <c r="S105" s="143"/>
      <c r="U105" s="143"/>
      <c r="V105" s="143"/>
      <c r="W105" s="143"/>
      <c r="X105" s="143"/>
      <c r="Y105" s="143"/>
      <c r="Z105" s="143"/>
      <c r="AJ105" s="146"/>
    </row>
    <row r="106" ht="15.75" customHeight="1">
      <c r="B106" s="151">
        <v>46186.0</v>
      </c>
      <c r="C106" s="152" t="s">
        <v>128</v>
      </c>
      <c r="D106" s="152" t="s">
        <v>92</v>
      </c>
      <c r="E106" s="152" t="s">
        <v>93</v>
      </c>
      <c r="F106" s="152">
        <v>2.0</v>
      </c>
      <c r="G106" s="152">
        <v>2.0</v>
      </c>
      <c r="H106" s="153"/>
      <c r="I106" s="152">
        <v>7.0</v>
      </c>
      <c r="J106" s="153"/>
      <c r="K106" s="153"/>
      <c r="L106" s="141">
        <v>4.0</v>
      </c>
      <c r="M106" s="142"/>
      <c r="N106" s="143"/>
      <c r="O106" s="143"/>
      <c r="P106" s="143"/>
      <c r="Q106" s="143"/>
      <c r="R106" s="144" t="s">
        <v>110</v>
      </c>
      <c r="S106" s="143"/>
      <c r="U106" s="143"/>
      <c r="V106" s="143"/>
      <c r="W106" s="143"/>
      <c r="X106" s="143"/>
      <c r="Y106" s="143"/>
      <c r="Z106" s="143"/>
      <c r="AJ106" s="146"/>
    </row>
    <row r="107" ht="15.75" customHeight="1">
      <c r="B107" s="151">
        <v>46186.0</v>
      </c>
      <c r="C107" s="152" t="s">
        <v>90</v>
      </c>
      <c r="D107" s="152" t="s">
        <v>121</v>
      </c>
      <c r="E107" s="152" t="s">
        <v>73</v>
      </c>
      <c r="F107" s="152">
        <v>2.0</v>
      </c>
      <c r="G107" s="152">
        <v>2.0</v>
      </c>
      <c r="H107" s="153"/>
      <c r="I107" s="152">
        <v>7.0</v>
      </c>
      <c r="J107" s="153"/>
      <c r="K107" s="153"/>
      <c r="L107" s="141">
        <v>4.0</v>
      </c>
      <c r="M107" s="142"/>
      <c r="N107" s="143"/>
      <c r="O107" s="143"/>
      <c r="P107" s="143"/>
      <c r="Q107" s="143"/>
      <c r="R107" s="144" t="s">
        <v>110</v>
      </c>
      <c r="S107" s="143"/>
      <c r="U107" s="143"/>
      <c r="V107" s="143"/>
      <c r="W107" s="143"/>
      <c r="X107" s="143"/>
      <c r="Y107" s="143"/>
      <c r="Z107" s="143"/>
      <c r="AJ107" s="146"/>
    </row>
    <row r="108" ht="15.75" customHeight="1">
      <c r="B108" s="151">
        <v>46186.0</v>
      </c>
      <c r="C108" s="152" t="s">
        <v>67</v>
      </c>
      <c r="D108" s="152" t="s">
        <v>143</v>
      </c>
      <c r="E108" s="152" t="s">
        <v>79</v>
      </c>
      <c r="F108" s="152">
        <v>2.0</v>
      </c>
      <c r="G108" s="152">
        <v>2.0</v>
      </c>
      <c r="H108" s="153"/>
      <c r="I108" s="152">
        <v>7.0</v>
      </c>
      <c r="J108" s="153"/>
      <c r="K108" s="153"/>
      <c r="L108" s="141">
        <v>4.0</v>
      </c>
      <c r="M108" s="142"/>
      <c r="N108" s="143"/>
      <c r="O108" s="143"/>
      <c r="P108" s="143"/>
      <c r="Q108" s="143"/>
      <c r="R108" s="144" t="s">
        <v>110</v>
      </c>
      <c r="S108" s="143"/>
      <c r="U108" s="143"/>
      <c r="V108" s="143"/>
      <c r="W108" s="143"/>
      <c r="X108" s="143"/>
      <c r="Y108" s="143"/>
      <c r="Z108" s="143"/>
      <c r="AJ108" s="146"/>
    </row>
    <row r="109" ht="15.75" customHeight="1">
      <c r="B109" s="151">
        <v>46186.0</v>
      </c>
      <c r="C109" s="141" t="s">
        <v>152</v>
      </c>
      <c r="D109" s="141" t="s">
        <v>153</v>
      </c>
      <c r="E109" s="141" t="s">
        <v>154</v>
      </c>
      <c r="F109" s="141">
        <v>2.0</v>
      </c>
      <c r="G109" s="141">
        <v>2.0</v>
      </c>
      <c r="H109" s="153"/>
      <c r="I109" s="152">
        <v>7.0</v>
      </c>
      <c r="J109" s="153"/>
      <c r="K109" s="153"/>
      <c r="L109" s="141">
        <v>4.0</v>
      </c>
      <c r="M109" s="142"/>
      <c r="N109" s="143"/>
      <c r="O109" s="143"/>
      <c r="P109" s="143"/>
      <c r="Q109" s="143"/>
      <c r="R109" s="144" t="s">
        <v>110</v>
      </c>
      <c r="S109" s="143"/>
      <c r="U109" s="143"/>
      <c r="V109" s="143"/>
      <c r="W109" s="143"/>
      <c r="X109" s="143"/>
      <c r="Y109" s="143"/>
      <c r="Z109" s="143"/>
      <c r="AJ109" s="146"/>
    </row>
    <row r="110" ht="15.75" customHeight="1">
      <c r="B110" s="151">
        <v>46186.0</v>
      </c>
      <c r="C110" s="152" t="s">
        <v>83</v>
      </c>
      <c r="D110" s="152" t="s">
        <v>155</v>
      </c>
      <c r="E110" s="152" t="s">
        <v>156</v>
      </c>
      <c r="F110" s="141">
        <v>1.0</v>
      </c>
      <c r="G110" s="141">
        <v>3.0</v>
      </c>
      <c r="H110" s="153"/>
      <c r="I110" s="152">
        <v>7.0</v>
      </c>
      <c r="J110" s="153"/>
      <c r="K110" s="153"/>
      <c r="L110" s="141">
        <v>4.0</v>
      </c>
      <c r="M110" s="142"/>
      <c r="N110" s="143"/>
      <c r="O110" s="143"/>
      <c r="P110" s="143"/>
      <c r="Q110" s="143"/>
      <c r="R110" s="144" t="s">
        <v>110</v>
      </c>
      <c r="S110" s="143"/>
      <c r="U110" s="143"/>
      <c r="V110" s="143"/>
      <c r="W110" s="143"/>
      <c r="X110" s="143"/>
      <c r="Y110" s="143"/>
      <c r="Z110" s="143"/>
      <c r="AJ110" s="146"/>
    </row>
    <row r="111" ht="15.75" customHeight="1">
      <c r="B111" s="151">
        <v>46186.0</v>
      </c>
      <c r="C111" s="152" t="s">
        <v>118</v>
      </c>
      <c r="D111" s="152" t="s">
        <v>68</v>
      </c>
      <c r="E111" s="152" t="s">
        <v>73</v>
      </c>
      <c r="F111" s="152">
        <v>1.0</v>
      </c>
      <c r="G111" s="152">
        <v>3.0</v>
      </c>
      <c r="H111" s="153"/>
      <c r="I111" s="152">
        <v>7.0</v>
      </c>
      <c r="J111" s="153"/>
      <c r="K111" s="153"/>
      <c r="L111" s="141">
        <v>4.0</v>
      </c>
      <c r="M111" s="142"/>
      <c r="N111" s="143"/>
      <c r="O111" s="143"/>
      <c r="P111" s="143"/>
      <c r="Q111" s="143"/>
      <c r="R111" s="144" t="s">
        <v>110</v>
      </c>
      <c r="S111" s="143"/>
      <c r="U111" s="143"/>
      <c r="V111" s="143"/>
      <c r="W111" s="143"/>
      <c r="X111" s="143"/>
      <c r="Y111" s="143"/>
      <c r="Z111" s="143"/>
      <c r="AJ111" s="146"/>
    </row>
    <row r="112" ht="15.75" customHeight="1">
      <c r="B112" s="151">
        <v>46186.0</v>
      </c>
      <c r="C112" s="152" t="s">
        <v>77</v>
      </c>
      <c r="D112" s="152" t="s">
        <v>109</v>
      </c>
      <c r="E112" s="152" t="s">
        <v>79</v>
      </c>
      <c r="F112" s="152">
        <v>1.0</v>
      </c>
      <c r="G112" s="152">
        <v>3.0</v>
      </c>
      <c r="H112" s="153"/>
      <c r="I112" s="152">
        <v>7.0</v>
      </c>
      <c r="J112" s="153"/>
      <c r="K112" s="153"/>
      <c r="L112" s="141">
        <v>4.0</v>
      </c>
      <c r="M112" s="142"/>
      <c r="N112" s="143"/>
      <c r="O112" s="143"/>
      <c r="P112" s="143"/>
      <c r="Q112" s="143"/>
      <c r="R112" s="144" t="s">
        <v>110</v>
      </c>
      <c r="S112" s="143"/>
      <c r="U112" s="143"/>
      <c r="V112" s="143"/>
      <c r="W112" s="143"/>
      <c r="X112" s="143"/>
      <c r="Y112" s="143"/>
      <c r="Z112" s="143"/>
      <c r="AJ112" s="146"/>
    </row>
    <row r="113" ht="15.75" customHeight="1">
      <c r="B113" s="151">
        <v>46186.0</v>
      </c>
      <c r="C113" s="152" t="s">
        <v>157</v>
      </c>
      <c r="D113" s="152" t="s">
        <v>158</v>
      </c>
      <c r="E113" s="152" t="s">
        <v>115</v>
      </c>
      <c r="F113" s="152">
        <v>0.0</v>
      </c>
      <c r="G113" s="152">
        <v>4.0</v>
      </c>
      <c r="H113" s="153"/>
      <c r="I113" s="152">
        <v>7.0</v>
      </c>
      <c r="J113" s="153"/>
      <c r="K113" s="153"/>
      <c r="L113" s="141">
        <v>4.0</v>
      </c>
      <c r="M113" s="142"/>
      <c r="N113" s="143"/>
      <c r="O113" s="143"/>
      <c r="P113" s="143"/>
      <c r="Q113" s="143"/>
      <c r="R113" s="144" t="s">
        <v>110</v>
      </c>
      <c r="S113" s="143"/>
      <c r="U113" s="143"/>
      <c r="V113" s="143"/>
      <c r="W113" s="143"/>
      <c r="X113" s="143"/>
      <c r="Y113" s="143"/>
      <c r="Z113" s="143"/>
      <c r="AJ113" s="146"/>
    </row>
    <row r="114" ht="15.75" customHeight="1">
      <c r="B114" s="139">
        <v>46193.0</v>
      </c>
      <c r="H114" s="153"/>
      <c r="I114" s="152"/>
      <c r="J114" s="153"/>
      <c r="K114" s="153"/>
      <c r="L114" s="153"/>
      <c r="M114" s="142"/>
      <c r="N114" s="143"/>
      <c r="O114" s="143"/>
      <c r="P114" s="143"/>
      <c r="Q114" s="143"/>
      <c r="R114" s="144" t="s">
        <v>110</v>
      </c>
      <c r="S114" s="143"/>
      <c r="U114" s="143"/>
      <c r="V114" s="143"/>
      <c r="W114" s="143"/>
      <c r="X114" s="143"/>
      <c r="Y114" s="143"/>
      <c r="Z114" s="143"/>
      <c r="AJ114" s="146"/>
    </row>
    <row r="115" ht="15.75" customHeight="1">
      <c r="B115" s="92"/>
      <c r="H115" s="153"/>
      <c r="I115" s="152"/>
      <c r="J115" s="153"/>
      <c r="K115" s="153"/>
      <c r="L115" s="153"/>
      <c r="M115" s="142"/>
      <c r="N115" s="143"/>
      <c r="O115" s="143"/>
      <c r="P115" s="143"/>
      <c r="Q115" s="143"/>
      <c r="R115" s="144" t="s">
        <v>110</v>
      </c>
      <c r="S115" s="143"/>
      <c r="U115" s="143"/>
      <c r="V115" s="143"/>
      <c r="W115" s="143"/>
      <c r="X115" s="143"/>
      <c r="Y115" s="143"/>
      <c r="Z115" s="143"/>
      <c r="AJ115" s="146"/>
    </row>
    <row r="116" ht="15.75" customHeight="1">
      <c r="B116" s="92"/>
      <c r="H116" s="153"/>
      <c r="I116" s="152"/>
      <c r="J116" s="153"/>
      <c r="K116" s="153"/>
      <c r="L116" s="153"/>
      <c r="M116" s="142"/>
      <c r="N116" s="143"/>
      <c r="O116" s="143"/>
      <c r="P116" s="143"/>
      <c r="Q116" s="143"/>
      <c r="R116" s="144" t="s">
        <v>110</v>
      </c>
      <c r="S116" s="143"/>
      <c r="U116" s="143"/>
      <c r="V116" s="143"/>
      <c r="W116" s="143"/>
      <c r="X116" s="143"/>
      <c r="Y116" s="143"/>
      <c r="Z116" s="143"/>
      <c r="AJ116" s="146"/>
    </row>
    <row r="117" ht="15.75" customHeight="1">
      <c r="B117" s="92"/>
      <c r="H117" s="153"/>
      <c r="I117" s="152"/>
      <c r="J117" s="153"/>
      <c r="K117" s="153"/>
      <c r="L117" s="153"/>
      <c r="M117" s="142"/>
      <c r="N117" s="143"/>
      <c r="O117" s="143"/>
      <c r="P117" s="143"/>
      <c r="Q117" s="143"/>
      <c r="R117" s="144" t="s">
        <v>110</v>
      </c>
      <c r="S117" s="143"/>
      <c r="U117" s="143"/>
      <c r="V117" s="143"/>
      <c r="W117" s="143"/>
      <c r="X117" s="143"/>
      <c r="Y117" s="143"/>
      <c r="Z117" s="143"/>
      <c r="AJ117" s="146"/>
    </row>
    <row r="118" ht="15.75" customHeight="1">
      <c r="B118" s="92"/>
      <c r="H118" s="153"/>
      <c r="I118" s="152"/>
      <c r="J118" s="153"/>
      <c r="K118" s="153"/>
      <c r="L118" s="153"/>
      <c r="M118" s="142"/>
      <c r="N118" s="143"/>
      <c r="O118" s="143"/>
      <c r="P118" s="143"/>
      <c r="Q118" s="143"/>
      <c r="R118" s="144" t="s">
        <v>110</v>
      </c>
      <c r="S118" s="143"/>
      <c r="U118" s="143"/>
      <c r="V118" s="143"/>
      <c r="W118" s="143"/>
      <c r="X118" s="143"/>
      <c r="Y118" s="143"/>
      <c r="Z118" s="143"/>
      <c r="AJ118" s="146"/>
    </row>
    <row r="119" ht="15.75" customHeight="1">
      <c r="B119" s="92"/>
      <c r="H119" s="153"/>
      <c r="I119" s="152"/>
      <c r="J119" s="153"/>
      <c r="K119" s="153"/>
      <c r="L119" s="153"/>
      <c r="M119" s="142"/>
      <c r="N119" s="143"/>
      <c r="O119" s="143"/>
      <c r="P119" s="143"/>
      <c r="Q119" s="143"/>
      <c r="R119" s="144" t="s">
        <v>110</v>
      </c>
      <c r="S119" s="143"/>
      <c r="U119" s="143"/>
      <c r="V119" s="143"/>
      <c r="W119" s="143"/>
      <c r="X119" s="143"/>
      <c r="Y119" s="143"/>
      <c r="Z119" s="143"/>
      <c r="AJ119" s="146"/>
    </row>
    <row r="120" ht="15.75" customHeight="1">
      <c r="B120" s="92"/>
      <c r="H120" s="153"/>
      <c r="I120" s="152"/>
      <c r="J120" s="153"/>
      <c r="K120" s="153"/>
      <c r="L120" s="153"/>
      <c r="M120" s="142"/>
      <c r="N120" s="143"/>
      <c r="O120" s="143"/>
      <c r="P120" s="143"/>
      <c r="Q120" s="143"/>
      <c r="R120" s="144" t="s">
        <v>110</v>
      </c>
      <c r="S120" s="143"/>
      <c r="U120" s="143"/>
      <c r="V120" s="143"/>
      <c r="W120" s="143"/>
      <c r="X120" s="143"/>
      <c r="Y120" s="143"/>
      <c r="Z120" s="143"/>
      <c r="AJ120" s="146"/>
    </row>
    <row r="121" ht="15.75" customHeight="1">
      <c r="B121" s="92"/>
      <c r="H121" s="153"/>
      <c r="I121" s="152"/>
      <c r="J121" s="153"/>
      <c r="K121" s="153"/>
      <c r="L121" s="153"/>
      <c r="M121" s="142"/>
      <c r="N121" s="143"/>
      <c r="O121" s="143"/>
      <c r="P121" s="143"/>
      <c r="Q121" s="143"/>
      <c r="R121" s="144" t="s">
        <v>110</v>
      </c>
      <c r="S121" s="143"/>
      <c r="U121" s="143"/>
      <c r="V121" s="143"/>
      <c r="W121" s="143"/>
      <c r="X121" s="143"/>
      <c r="Y121" s="143"/>
      <c r="Z121" s="143"/>
      <c r="AJ121" s="146"/>
    </row>
    <row r="122" ht="15.75" customHeight="1">
      <c r="B122" s="92"/>
      <c r="H122" s="153"/>
      <c r="I122" s="152"/>
      <c r="J122" s="153"/>
      <c r="K122" s="153"/>
      <c r="L122" s="153"/>
      <c r="M122" s="142"/>
      <c r="N122" s="143"/>
      <c r="O122" s="143"/>
      <c r="P122" s="143"/>
      <c r="Q122" s="143"/>
      <c r="R122" s="144" t="s">
        <v>110</v>
      </c>
      <c r="S122" s="143"/>
      <c r="U122" s="143"/>
      <c r="V122" s="143"/>
      <c r="W122" s="143"/>
      <c r="X122" s="143"/>
      <c r="Y122" s="143"/>
      <c r="Z122" s="143"/>
      <c r="AJ122" s="146"/>
    </row>
    <row r="123" ht="15.75" customHeight="1">
      <c r="B123" s="92"/>
      <c r="H123" s="153"/>
      <c r="I123" s="152"/>
      <c r="J123" s="153"/>
      <c r="K123" s="153"/>
      <c r="L123" s="153"/>
      <c r="M123" s="142"/>
      <c r="N123" s="143"/>
      <c r="O123" s="143"/>
      <c r="P123" s="143"/>
      <c r="Q123" s="143"/>
      <c r="R123" s="144" t="s">
        <v>110</v>
      </c>
      <c r="S123" s="143"/>
      <c r="U123" s="143"/>
      <c r="V123" s="143"/>
      <c r="W123" s="143"/>
      <c r="X123" s="143"/>
      <c r="Y123" s="143"/>
      <c r="Z123" s="143"/>
      <c r="AJ123" s="146"/>
    </row>
    <row r="124" ht="15.75" customHeight="1">
      <c r="M124" s="142"/>
      <c r="N124" s="143"/>
      <c r="O124" s="143"/>
      <c r="P124" s="143"/>
      <c r="Q124" s="143"/>
      <c r="R124" s="144" t="s">
        <v>110</v>
      </c>
      <c r="S124" s="143"/>
      <c r="U124" s="143"/>
      <c r="V124" s="143"/>
      <c r="W124" s="143"/>
      <c r="X124" s="143"/>
      <c r="Y124" s="143"/>
      <c r="Z124" s="143"/>
      <c r="AJ124" s="146"/>
    </row>
    <row r="125" ht="15.75" customHeight="1">
      <c r="M125" s="142"/>
      <c r="N125" s="143"/>
      <c r="O125" s="143"/>
      <c r="P125" s="143"/>
      <c r="Q125" s="143"/>
      <c r="R125" s="144" t="s">
        <v>110</v>
      </c>
      <c r="S125" s="143"/>
      <c r="U125" s="143"/>
      <c r="V125" s="143"/>
      <c r="W125" s="143"/>
      <c r="X125" s="143"/>
      <c r="Y125" s="143"/>
      <c r="Z125" s="143"/>
      <c r="AJ125" s="146"/>
    </row>
    <row r="126" ht="15.75" customHeight="1">
      <c r="M126" s="142"/>
      <c r="N126" s="143"/>
      <c r="O126" s="143"/>
      <c r="P126" s="143"/>
      <c r="Q126" s="143"/>
      <c r="R126" s="144" t="s">
        <v>110</v>
      </c>
      <c r="S126" s="143"/>
      <c r="U126" s="143"/>
      <c r="V126" s="143"/>
      <c r="W126" s="143"/>
      <c r="X126" s="143"/>
      <c r="Y126" s="143"/>
      <c r="Z126" s="143"/>
      <c r="AJ126" s="146"/>
    </row>
    <row r="127" ht="15.75" customHeight="1">
      <c r="M127" s="142"/>
      <c r="N127" s="143"/>
      <c r="O127" s="143"/>
      <c r="P127" s="143"/>
      <c r="Q127" s="143"/>
      <c r="R127" s="144" t="s">
        <v>110</v>
      </c>
      <c r="S127" s="143"/>
      <c r="U127" s="143"/>
      <c r="V127" s="143"/>
      <c r="W127" s="143"/>
      <c r="X127" s="143"/>
      <c r="Y127" s="143"/>
      <c r="Z127" s="143"/>
      <c r="AJ127" s="146"/>
    </row>
    <row r="128" ht="15.75" customHeight="1">
      <c r="M128" s="142"/>
      <c r="N128" s="143"/>
      <c r="O128" s="143"/>
      <c r="P128" s="143"/>
      <c r="Q128" s="143"/>
      <c r="R128" s="144" t="s">
        <v>110</v>
      </c>
      <c r="S128" s="143"/>
      <c r="U128" s="143"/>
      <c r="V128" s="143"/>
      <c r="W128" s="143"/>
      <c r="X128" s="143"/>
      <c r="Y128" s="143"/>
      <c r="Z128" s="143"/>
      <c r="AJ128" s="146"/>
    </row>
    <row r="129" ht="15.75" customHeight="1">
      <c r="M129" s="142"/>
      <c r="N129" s="143"/>
      <c r="O129" s="143"/>
      <c r="P129" s="143"/>
      <c r="Q129" s="143"/>
      <c r="R129" s="144" t="s">
        <v>110</v>
      </c>
      <c r="S129" s="143"/>
      <c r="U129" s="143"/>
      <c r="V129" s="143"/>
      <c r="W129" s="143"/>
      <c r="X129" s="143"/>
      <c r="Y129" s="143"/>
      <c r="Z129" s="143"/>
      <c r="AJ129" s="146"/>
    </row>
    <row r="130" ht="15.75" customHeight="1">
      <c r="M130" s="142"/>
      <c r="N130" s="143"/>
      <c r="O130" s="143"/>
      <c r="P130" s="143"/>
      <c r="Q130" s="143"/>
      <c r="R130" s="144" t="s">
        <v>110</v>
      </c>
      <c r="S130" s="143"/>
      <c r="U130" s="143"/>
      <c r="V130" s="143"/>
      <c r="W130" s="143"/>
      <c r="X130" s="143"/>
      <c r="Y130" s="143"/>
      <c r="Z130" s="143"/>
      <c r="AJ130" s="146"/>
    </row>
    <row r="131" ht="15.75" customHeight="1">
      <c r="M131" s="142"/>
      <c r="N131" s="143"/>
      <c r="O131" s="143"/>
      <c r="P131" s="143"/>
      <c r="Q131" s="143"/>
      <c r="R131" s="144" t="s">
        <v>110</v>
      </c>
      <c r="S131" s="143"/>
      <c r="U131" s="143"/>
      <c r="V131" s="143"/>
      <c r="W131" s="143"/>
      <c r="X131" s="143"/>
      <c r="Y131" s="143"/>
      <c r="Z131" s="143"/>
      <c r="AJ131" s="146"/>
    </row>
    <row r="132" ht="15.75" customHeight="1">
      <c r="M132" s="142"/>
      <c r="N132" s="143"/>
      <c r="O132" s="143"/>
      <c r="P132" s="143"/>
      <c r="Q132" s="143"/>
      <c r="R132" s="144" t="s">
        <v>110</v>
      </c>
      <c r="S132" s="143"/>
      <c r="U132" s="143"/>
      <c r="V132" s="143"/>
      <c r="W132" s="143"/>
      <c r="X132" s="143"/>
      <c r="Y132" s="143"/>
      <c r="Z132" s="143"/>
      <c r="AJ132" s="146"/>
    </row>
    <row r="133" ht="15.75" customHeight="1">
      <c r="M133" s="142"/>
      <c r="N133" s="143"/>
      <c r="O133" s="143"/>
      <c r="P133" s="143"/>
      <c r="Q133" s="143"/>
      <c r="R133" s="144" t="s">
        <v>110</v>
      </c>
      <c r="S133" s="143"/>
      <c r="U133" s="143"/>
      <c r="V133" s="143"/>
      <c r="W133" s="143"/>
      <c r="X133" s="143"/>
      <c r="Y133" s="143"/>
      <c r="Z133" s="143"/>
      <c r="AJ133" s="146"/>
    </row>
    <row r="134" ht="15.75" customHeight="1">
      <c r="M134" s="142"/>
      <c r="N134" s="143"/>
      <c r="O134" s="143"/>
      <c r="P134" s="143"/>
      <c r="Q134" s="143"/>
      <c r="R134" s="144" t="s">
        <v>110</v>
      </c>
      <c r="S134" s="143"/>
      <c r="U134" s="143"/>
      <c r="V134" s="143"/>
      <c r="W134" s="143"/>
      <c r="X134" s="143"/>
      <c r="Y134" s="143"/>
      <c r="Z134" s="143"/>
      <c r="AJ134" s="146"/>
    </row>
    <row r="135" ht="15.75" customHeight="1">
      <c r="M135" s="142"/>
      <c r="N135" s="143"/>
      <c r="O135" s="143"/>
      <c r="P135" s="143"/>
      <c r="Q135" s="143"/>
      <c r="R135" s="144" t="s">
        <v>110</v>
      </c>
      <c r="S135" s="143"/>
      <c r="U135" s="143"/>
      <c r="V135" s="143"/>
      <c r="W135" s="143"/>
      <c r="X135" s="143"/>
      <c r="Y135" s="143"/>
      <c r="Z135" s="143"/>
      <c r="AJ135" s="146"/>
    </row>
    <row r="136" ht="15.75" customHeight="1">
      <c r="M136" s="142"/>
      <c r="N136" s="143"/>
      <c r="O136" s="143"/>
      <c r="P136" s="143"/>
      <c r="Q136" s="143"/>
      <c r="R136" s="144" t="s">
        <v>110</v>
      </c>
      <c r="S136" s="143"/>
      <c r="U136" s="143"/>
      <c r="V136" s="143"/>
      <c r="W136" s="143"/>
      <c r="X136" s="143"/>
      <c r="Y136" s="143"/>
      <c r="Z136" s="143"/>
      <c r="AJ136" s="146"/>
    </row>
    <row r="137" ht="15.75" customHeight="1">
      <c r="M137" s="142"/>
      <c r="N137" s="143"/>
      <c r="O137" s="143"/>
      <c r="P137" s="143"/>
      <c r="Q137" s="143"/>
      <c r="R137" s="144" t="s">
        <v>110</v>
      </c>
      <c r="S137" s="143"/>
      <c r="U137" s="143"/>
      <c r="V137" s="143"/>
      <c r="W137" s="143"/>
      <c r="X137" s="143"/>
      <c r="Y137" s="143"/>
      <c r="Z137" s="143"/>
      <c r="AJ137" s="146"/>
    </row>
    <row r="138" ht="15.75" customHeight="1">
      <c r="M138" s="142"/>
      <c r="N138" s="143"/>
      <c r="O138" s="143"/>
      <c r="P138" s="143"/>
      <c r="Q138" s="143"/>
      <c r="R138" s="144" t="s">
        <v>110</v>
      </c>
      <c r="S138" s="143"/>
      <c r="U138" s="143"/>
      <c r="V138" s="143"/>
      <c r="W138" s="143"/>
      <c r="X138" s="143"/>
      <c r="Y138" s="143"/>
      <c r="Z138" s="143"/>
      <c r="AJ138" s="146"/>
    </row>
    <row r="139" ht="15.75" customHeight="1">
      <c r="M139" s="142"/>
      <c r="N139" s="143"/>
      <c r="O139" s="143"/>
      <c r="P139" s="143"/>
      <c r="Q139" s="143"/>
      <c r="R139" s="144" t="s">
        <v>110</v>
      </c>
      <c r="S139" s="143"/>
      <c r="U139" s="143"/>
      <c r="V139" s="143"/>
      <c r="W139" s="143"/>
      <c r="X139" s="143"/>
      <c r="Y139" s="143"/>
      <c r="Z139" s="143"/>
      <c r="AJ139" s="146"/>
    </row>
    <row r="140" ht="15.75" customHeight="1">
      <c r="M140" s="142"/>
      <c r="N140" s="143"/>
      <c r="O140" s="143"/>
      <c r="P140" s="143"/>
      <c r="Q140" s="143"/>
      <c r="R140" s="144" t="s">
        <v>110</v>
      </c>
      <c r="S140" s="143"/>
      <c r="U140" s="143"/>
      <c r="V140" s="143"/>
      <c r="W140" s="143"/>
      <c r="X140" s="143"/>
      <c r="Y140" s="143"/>
      <c r="Z140" s="143"/>
      <c r="AJ140" s="146"/>
    </row>
    <row r="141" ht="15.75" customHeight="1">
      <c r="M141" s="142"/>
      <c r="N141" s="143"/>
      <c r="O141" s="143"/>
      <c r="P141" s="143"/>
      <c r="Q141" s="143"/>
      <c r="R141" s="144" t="s">
        <v>110</v>
      </c>
      <c r="S141" s="143"/>
      <c r="U141" s="143"/>
      <c r="V141" s="143"/>
      <c r="W141" s="143"/>
      <c r="X141" s="143"/>
      <c r="Y141" s="143"/>
      <c r="Z141" s="143"/>
      <c r="AJ141" s="146"/>
    </row>
    <row r="142" ht="15.75" customHeight="1">
      <c r="M142" s="142"/>
      <c r="N142" s="143"/>
      <c r="O142" s="143"/>
      <c r="P142" s="143"/>
      <c r="Q142" s="143"/>
      <c r="R142" s="144" t="s">
        <v>110</v>
      </c>
      <c r="S142" s="143"/>
      <c r="U142" s="143"/>
      <c r="V142" s="143"/>
      <c r="W142" s="143"/>
      <c r="X142" s="143"/>
      <c r="Y142" s="143"/>
      <c r="Z142" s="143"/>
      <c r="AJ142" s="146"/>
    </row>
    <row r="143" ht="15.75" customHeight="1">
      <c r="M143" s="142"/>
      <c r="N143" s="143"/>
      <c r="O143" s="143"/>
      <c r="P143" s="143"/>
      <c r="Q143" s="143"/>
      <c r="R143" s="144" t="s">
        <v>110</v>
      </c>
      <c r="S143" s="143"/>
      <c r="U143" s="143"/>
      <c r="V143" s="143"/>
      <c r="W143" s="143"/>
      <c r="X143" s="143"/>
      <c r="Y143" s="143"/>
      <c r="Z143" s="143"/>
      <c r="AJ143" s="146"/>
    </row>
    <row r="144" ht="15.75" customHeight="1">
      <c r="M144" s="142"/>
      <c r="N144" s="143"/>
      <c r="O144" s="143"/>
      <c r="P144" s="143"/>
      <c r="Q144" s="143"/>
      <c r="R144" s="144" t="s">
        <v>110</v>
      </c>
      <c r="S144" s="143"/>
      <c r="U144" s="143"/>
      <c r="V144" s="143"/>
      <c r="W144" s="143"/>
      <c r="X144" s="143"/>
      <c r="Y144" s="143"/>
      <c r="Z144" s="143"/>
      <c r="AJ144" s="146"/>
    </row>
    <row r="145" ht="15.75" customHeight="1">
      <c r="M145" s="142"/>
      <c r="N145" s="143"/>
      <c r="O145" s="143"/>
      <c r="P145" s="143"/>
      <c r="Q145" s="143"/>
      <c r="R145" s="144" t="s">
        <v>110</v>
      </c>
      <c r="S145" s="143"/>
      <c r="U145" s="143"/>
      <c r="V145" s="143"/>
      <c r="W145" s="143"/>
      <c r="X145" s="143"/>
      <c r="Y145" s="143"/>
      <c r="Z145" s="143"/>
      <c r="AJ145" s="146"/>
    </row>
    <row r="146" ht="15.75" customHeight="1">
      <c r="M146" s="142"/>
      <c r="N146" s="143"/>
      <c r="O146" s="143"/>
      <c r="P146" s="143"/>
      <c r="Q146" s="143"/>
      <c r="R146" s="144" t="s">
        <v>110</v>
      </c>
      <c r="S146" s="143"/>
      <c r="U146" s="143"/>
      <c r="V146" s="143"/>
      <c r="W146" s="143"/>
      <c r="X146" s="143"/>
      <c r="Y146" s="143"/>
      <c r="Z146" s="143"/>
      <c r="AJ146" s="146"/>
    </row>
    <row r="147" ht="15.75" customHeight="1">
      <c r="M147" s="142"/>
      <c r="N147" s="143"/>
      <c r="O147" s="143"/>
      <c r="P147" s="143"/>
      <c r="Q147" s="143"/>
      <c r="R147" s="144" t="s">
        <v>110</v>
      </c>
      <c r="S147" s="143"/>
      <c r="U147" s="143"/>
      <c r="V147" s="143"/>
      <c r="W147" s="143"/>
      <c r="X147" s="143"/>
      <c r="Y147" s="143"/>
      <c r="Z147" s="143"/>
      <c r="AJ147" s="146"/>
    </row>
    <row r="148" ht="15.75" customHeight="1">
      <c r="M148" s="142"/>
      <c r="N148" s="143"/>
      <c r="O148" s="143"/>
      <c r="P148" s="143"/>
      <c r="Q148" s="143"/>
      <c r="R148" s="144" t="s">
        <v>110</v>
      </c>
      <c r="S148" s="143"/>
      <c r="U148" s="143"/>
      <c r="V148" s="143"/>
      <c r="W148" s="143"/>
      <c r="X148" s="143"/>
      <c r="Y148" s="143"/>
      <c r="Z148" s="143"/>
      <c r="AJ148" s="146"/>
    </row>
    <row r="149" ht="15.75" customHeight="1">
      <c r="M149" s="142"/>
      <c r="N149" s="143"/>
      <c r="O149" s="143"/>
      <c r="P149" s="143"/>
      <c r="Q149" s="143"/>
      <c r="R149" s="144" t="s">
        <v>110</v>
      </c>
      <c r="S149" s="143"/>
      <c r="U149" s="143"/>
      <c r="V149" s="143"/>
      <c r="W149" s="143"/>
      <c r="X149" s="143"/>
      <c r="Y149" s="143"/>
      <c r="Z149" s="143"/>
      <c r="AJ149" s="146"/>
    </row>
    <row r="150" ht="15.75" customHeight="1">
      <c r="M150" s="142"/>
      <c r="N150" s="143"/>
      <c r="O150" s="143"/>
      <c r="P150" s="143"/>
      <c r="Q150" s="143"/>
      <c r="R150" s="144" t="s">
        <v>110</v>
      </c>
      <c r="S150" s="143"/>
      <c r="U150" s="143"/>
      <c r="V150" s="143"/>
      <c r="W150" s="143"/>
      <c r="X150" s="143"/>
      <c r="Y150" s="143"/>
      <c r="Z150" s="143"/>
      <c r="AJ150" s="146"/>
    </row>
    <row r="151" ht="15.75" customHeight="1">
      <c r="M151" s="142"/>
      <c r="N151" s="143"/>
      <c r="O151" s="143"/>
      <c r="P151" s="143"/>
      <c r="Q151" s="143"/>
      <c r="R151" s="144" t="s">
        <v>110</v>
      </c>
      <c r="S151" s="143"/>
      <c r="U151" s="143"/>
      <c r="V151" s="143"/>
      <c r="W151" s="143"/>
      <c r="X151" s="143"/>
      <c r="Y151" s="143"/>
      <c r="Z151" s="143"/>
      <c r="AJ151" s="146"/>
    </row>
    <row r="152" ht="15.75" customHeight="1">
      <c r="M152" s="142"/>
      <c r="N152" s="143"/>
      <c r="O152" s="143"/>
      <c r="P152" s="143"/>
      <c r="Q152" s="143"/>
      <c r="R152" s="144" t="s">
        <v>110</v>
      </c>
      <c r="S152" s="143"/>
      <c r="U152" s="143"/>
      <c r="V152" s="143"/>
      <c r="W152" s="143"/>
      <c r="X152" s="143"/>
      <c r="Y152" s="143"/>
      <c r="Z152" s="143"/>
      <c r="AJ152" s="146"/>
    </row>
    <row r="153" ht="15.75" customHeight="1">
      <c r="M153" s="142"/>
      <c r="N153" s="143"/>
      <c r="O153" s="143"/>
      <c r="P153" s="143"/>
      <c r="Q153" s="143"/>
      <c r="R153" s="144" t="s">
        <v>110</v>
      </c>
      <c r="S153" s="143"/>
      <c r="U153" s="143"/>
      <c r="V153" s="143"/>
      <c r="W153" s="143"/>
      <c r="X153" s="143"/>
      <c r="Y153" s="143"/>
      <c r="Z153" s="143"/>
      <c r="AJ153" s="146"/>
    </row>
    <row r="154" ht="15.75" customHeight="1">
      <c r="M154" s="142"/>
      <c r="N154" s="143"/>
      <c r="O154" s="143"/>
      <c r="P154" s="143"/>
      <c r="Q154" s="143"/>
      <c r="R154" s="144" t="s">
        <v>110</v>
      </c>
      <c r="S154" s="143"/>
      <c r="U154" s="143"/>
      <c r="V154" s="143"/>
      <c r="W154" s="143"/>
      <c r="X154" s="143"/>
      <c r="Y154" s="143"/>
      <c r="Z154" s="143"/>
      <c r="AJ154" s="146"/>
    </row>
    <row r="155" ht="15.75" customHeight="1">
      <c r="M155" s="142"/>
      <c r="N155" s="143"/>
      <c r="O155" s="143"/>
      <c r="P155" s="143"/>
      <c r="Q155" s="143"/>
      <c r="R155" s="144" t="s">
        <v>110</v>
      </c>
      <c r="S155" s="143"/>
      <c r="U155" s="143"/>
      <c r="V155" s="143"/>
      <c r="W155" s="143"/>
      <c r="X155" s="143"/>
      <c r="Y155" s="143"/>
      <c r="Z155" s="143"/>
      <c r="AJ155" s="146"/>
    </row>
    <row r="156" ht="15.75" customHeight="1">
      <c r="M156" s="142"/>
      <c r="N156" s="143"/>
      <c r="O156" s="143"/>
      <c r="P156" s="143"/>
      <c r="Q156" s="143"/>
      <c r="R156" s="144" t="s">
        <v>110</v>
      </c>
      <c r="S156" s="143"/>
      <c r="U156" s="143"/>
      <c r="V156" s="143"/>
      <c r="W156" s="143"/>
      <c r="X156" s="143"/>
      <c r="Y156" s="143"/>
      <c r="Z156" s="143"/>
      <c r="AJ156" s="146"/>
    </row>
    <row r="157" ht="15.75" customHeight="1">
      <c r="M157" s="142"/>
      <c r="N157" s="143"/>
      <c r="O157" s="143"/>
      <c r="P157" s="143"/>
      <c r="Q157" s="143"/>
      <c r="R157" s="144" t="s">
        <v>110</v>
      </c>
      <c r="S157" s="143"/>
      <c r="U157" s="143"/>
      <c r="V157" s="143"/>
      <c r="W157" s="143"/>
      <c r="X157" s="143"/>
      <c r="Y157" s="143"/>
      <c r="Z157" s="143"/>
      <c r="AJ157" s="146"/>
    </row>
    <row r="158" ht="15.75" customHeight="1">
      <c r="M158" s="142"/>
      <c r="N158" s="143"/>
      <c r="O158" s="143"/>
      <c r="P158" s="143"/>
      <c r="Q158" s="143"/>
      <c r="R158" s="144" t="s">
        <v>110</v>
      </c>
      <c r="S158" s="143"/>
      <c r="U158" s="143"/>
      <c r="V158" s="143"/>
      <c r="W158" s="143"/>
      <c r="X158" s="143"/>
      <c r="Y158" s="143"/>
      <c r="Z158" s="143"/>
      <c r="AJ158" s="146"/>
    </row>
    <row r="159" ht="15.75" customHeight="1">
      <c r="M159" s="142"/>
      <c r="N159" s="143"/>
      <c r="O159" s="143"/>
      <c r="P159" s="143"/>
      <c r="Q159" s="143"/>
      <c r="R159" s="144" t="s">
        <v>110</v>
      </c>
      <c r="S159" s="143"/>
      <c r="U159" s="143"/>
      <c r="V159" s="143"/>
      <c r="W159" s="143"/>
      <c r="X159" s="143"/>
      <c r="Y159" s="143"/>
      <c r="Z159" s="143"/>
      <c r="AJ159" s="146"/>
    </row>
    <row r="160" ht="15.75" customHeight="1">
      <c r="M160" s="142"/>
      <c r="N160" s="143"/>
      <c r="O160" s="143"/>
      <c r="P160" s="143"/>
      <c r="Q160" s="143"/>
      <c r="R160" s="144" t="s">
        <v>110</v>
      </c>
      <c r="S160" s="143"/>
      <c r="U160" s="143"/>
      <c r="V160" s="143"/>
      <c r="W160" s="143"/>
      <c r="X160" s="143"/>
      <c r="Y160" s="143"/>
      <c r="Z160" s="143"/>
      <c r="AJ160" s="146"/>
    </row>
    <row r="161" ht="15.75" customHeight="1">
      <c r="M161" s="142"/>
      <c r="N161" s="143"/>
      <c r="O161" s="143"/>
      <c r="P161" s="143"/>
      <c r="Q161" s="143"/>
      <c r="R161" s="144" t="s">
        <v>110</v>
      </c>
      <c r="S161" s="143"/>
      <c r="U161" s="143"/>
      <c r="V161" s="143"/>
      <c r="W161" s="143"/>
      <c r="X161" s="143"/>
      <c r="Y161" s="143"/>
      <c r="Z161" s="143"/>
      <c r="AJ161" s="146"/>
    </row>
    <row r="162" ht="15.75" customHeight="1">
      <c r="M162" s="142"/>
      <c r="N162" s="143"/>
      <c r="O162" s="143"/>
      <c r="P162" s="143"/>
      <c r="Q162" s="143"/>
      <c r="R162" s="144" t="s">
        <v>110</v>
      </c>
      <c r="S162" s="143"/>
      <c r="U162" s="143"/>
      <c r="V162" s="143"/>
      <c r="W162" s="143"/>
      <c r="X162" s="143"/>
      <c r="Y162" s="143"/>
      <c r="Z162" s="143"/>
      <c r="AJ162" s="146"/>
    </row>
    <row r="163" ht="15.75" customHeight="1">
      <c r="M163" s="142"/>
      <c r="N163" s="143"/>
      <c r="O163" s="143"/>
      <c r="P163" s="143"/>
      <c r="Q163" s="143"/>
      <c r="R163" s="144" t="s">
        <v>110</v>
      </c>
      <c r="S163" s="143"/>
      <c r="U163" s="143"/>
      <c r="V163" s="143"/>
      <c r="W163" s="143"/>
      <c r="X163" s="143"/>
      <c r="Y163" s="143"/>
      <c r="Z163" s="143"/>
      <c r="AJ163" s="146"/>
    </row>
    <row r="164" ht="15.75" customHeight="1">
      <c r="M164" s="142"/>
      <c r="N164" s="143"/>
      <c r="O164" s="143"/>
      <c r="P164" s="143"/>
      <c r="Q164" s="143"/>
      <c r="R164" s="144" t="s">
        <v>110</v>
      </c>
      <c r="S164" s="143"/>
      <c r="U164" s="143"/>
      <c r="V164" s="143"/>
      <c r="W164" s="143"/>
      <c r="X164" s="143"/>
      <c r="Y164" s="143"/>
      <c r="Z164" s="143"/>
      <c r="AJ164" s="146"/>
    </row>
    <row r="165" ht="15.75" customHeight="1">
      <c r="M165" s="142"/>
      <c r="N165" s="143"/>
      <c r="O165" s="143"/>
      <c r="P165" s="143"/>
      <c r="Q165" s="143"/>
      <c r="R165" s="144" t="s">
        <v>110</v>
      </c>
      <c r="S165" s="143"/>
      <c r="U165" s="143"/>
      <c r="V165" s="143"/>
      <c r="W165" s="143"/>
      <c r="X165" s="143"/>
      <c r="Y165" s="143"/>
      <c r="Z165" s="143"/>
      <c r="AJ165" s="146"/>
    </row>
    <row r="166" ht="15.75" customHeight="1">
      <c r="M166" s="142"/>
      <c r="N166" s="143"/>
      <c r="O166" s="143"/>
      <c r="P166" s="143"/>
      <c r="Q166" s="143"/>
      <c r="R166" s="144" t="s">
        <v>110</v>
      </c>
      <c r="S166" s="143"/>
      <c r="U166" s="143"/>
      <c r="V166" s="143"/>
      <c r="W166" s="143"/>
      <c r="X166" s="143"/>
      <c r="Y166" s="143"/>
      <c r="Z166" s="143"/>
      <c r="AJ166" s="146"/>
    </row>
    <row r="167" ht="15.75" customHeight="1">
      <c r="M167" s="142"/>
      <c r="N167" s="143"/>
      <c r="O167" s="143"/>
      <c r="P167" s="143"/>
      <c r="Q167" s="143"/>
      <c r="R167" s="144" t="s">
        <v>110</v>
      </c>
      <c r="S167" s="143"/>
      <c r="U167" s="143"/>
      <c r="V167" s="143"/>
      <c r="W167" s="143"/>
      <c r="X167" s="143"/>
      <c r="Y167" s="143"/>
      <c r="Z167" s="143"/>
      <c r="AJ167" s="146"/>
    </row>
    <row r="168" ht="15.75" customHeight="1">
      <c r="M168" s="142"/>
      <c r="N168" s="143"/>
      <c r="O168" s="143"/>
      <c r="P168" s="143"/>
      <c r="Q168" s="143"/>
      <c r="R168" s="144" t="s">
        <v>110</v>
      </c>
      <c r="S168" s="143"/>
      <c r="U168" s="143"/>
      <c r="V168" s="143"/>
      <c r="W168" s="143"/>
      <c r="X168" s="143"/>
      <c r="Y168" s="143"/>
      <c r="Z168" s="143"/>
      <c r="AJ168" s="146"/>
    </row>
    <row r="169" ht="15.75" customHeight="1">
      <c r="M169" s="142"/>
      <c r="N169" s="143"/>
      <c r="O169" s="143"/>
      <c r="P169" s="143"/>
      <c r="Q169" s="143"/>
      <c r="R169" s="144" t="s">
        <v>110</v>
      </c>
      <c r="S169" s="143"/>
      <c r="U169" s="143"/>
      <c r="V169" s="143"/>
      <c r="W169" s="143"/>
      <c r="X169" s="143"/>
      <c r="Y169" s="143"/>
      <c r="Z169" s="143"/>
      <c r="AJ169" s="146"/>
    </row>
    <row r="170" ht="15.75" customHeight="1">
      <c r="M170" s="142"/>
      <c r="N170" s="143"/>
      <c r="O170" s="143"/>
      <c r="P170" s="143"/>
      <c r="Q170" s="143"/>
      <c r="R170" s="144" t="s">
        <v>110</v>
      </c>
      <c r="S170" s="143"/>
      <c r="U170" s="143"/>
      <c r="V170" s="143"/>
      <c r="W170" s="143"/>
      <c r="X170" s="143"/>
      <c r="Y170" s="143"/>
      <c r="Z170" s="143"/>
      <c r="AJ170" s="146"/>
    </row>
    <row r="171" ht="15.75" customHeight="1">
      <c r="M171" s="142"/>
      <c r="N171" s="143"/>
      <c r="O171" s="143"/>
      <c r="P171" s="143"/>
      <c r="Q171" s="143"/>
      <c r="R171" s="144" t="s">
        <v>110</v>
      </c>
      <c r="S171" s="143"/>
      <c r="U171" s="143"/>
      <c r="V171" s="143"/>
      <c r="W171" s="143"/>
      <c r="X171" s="143"/>
      <c r="Y171" s="143"/>
      <c r="Z171" s="143"/>
      <c r="AJ171" s="146"/>
    </row>
    <row r="172" ht="15.75" customHeight="1">
      <c r="M172" s="142"/>
      <c r="N172" s="143"/>
      <c r="O172" s="143"/>
      <c r="P172" s="143"/>
      <c r="Q172" s="143"/>
      <c r="R172" s="144" t="s">
        <v>110</v>
      </c>
      <c r="S172" s="143"/>
      <c r="U172" s="143"/>
      <c r="V172" s="143"/>
      <c r="W172" s="143"/>
      <c r="X172" s="143"/>
      <c r="Y172" s="143"/>
      <c r="Z172" s="143"/>
      <c r="AJ172" s="146"/>
    </row>
    <row r="173" ht="15.75" customHeight="1">
      <c r="M173" s="142"/>
      <c r="N173" s="143"/>
      <c r="O173" s="143"/>
      <c r="P173" s="143"/>
      <c r="Q173" s="143"/>
      <c r="R173" s="144" t="s">
        <v>110</v>
      </c>
      <c r="S173" s="143"/>
      <c r="U173" s="143"/>
      <c r="V173" s="143"/>
      <c r="W173" s="143"/>
      <c r="X173" s="143"/>
      <c r="Y173" s="143"/>
      <c r="Z173" s="143"/>
      <c r="AJ173" s="146"/>
    </row>
    <row r="174" ht="15.75" customHeight="1">
      <c r="M174" s="142"/>
      <c r="N174" s="143"/>
      <c r="O174" s="143"/>
      <c r="P174" s="143"/>
      <c r="Q174" s="143"/>
      <c r="R174" s="144" t="s">
        <v>110</v>
      </c>
      <c r="S174" s="143"/>
      <c r="U174" s="143"/>
      <c r="V174" s="143"/>
      <c r="W174" s="143"/>
      <c r="X174" s="143"/>
      <c r="Y174" s="143"/>
      <c r="Z174" s="143"/>
      <c r="AJ174" s="146"/>
    </row>
    <row r="175" ht="15.75" customHeight="1">
      <c r="M175" s="142"/>
      <c r="N175" s="143"/>
      <c r="O175" s="143"/>
      <c r="P175" s="143"/>
      <c r="Q175" s="143"/>
      <c r="R175" s="144" t="s">
        <v>110</v>
      </c>
      <c r="S175" s="143"/>
      <c r="U175" s="143"/>
      <c r="V175" s="143"/>
      <c r="W175" s="143"/>
      <c r="X175" s="143"/>
      <c r="Y175" s="143"/>
      <c r="Z175" s="143"/>
      <c r="AJ175" s="146"/>
    </row>
    <row r="176" ht="15.75" customHeight="1">
      <c r="M176" s="142"/>
      <c r="N176" s="143"/>
      <c r="O176" s="143"/>
      <c r="P176" s="143"/>
      <c r="Q176" s="143"/>
      <c r="R176" s="144" t="s">
        <v>110</v>
      </c>
      <c r="S176" s="143"/>
      <c r="U176" s="143"/>
      <c r="V176" s="143"/>
      <c r="W176" s="143"/>
      <c r="X176" s="143"/>
      <c r="Y176" s="143"/>
      <c r="Z176" s="143"/>
      <c r="AJ176" s="146"/>
    </row>
    <row r="177" ht="15.75" customHeight="1">
      <c r="M177" s="142"/>
      <c r="N177" s="143"/>
      <c r="O177" s="143"/>
      <c r="P177" s="143"/>
      <c r="Q177" s="143"/>
      <c r="R177" s="144" t="s">
        <v>110</v>
      </c>
      <c r="S177" s="143"/>
      <c r="U177" s="143"/>
      <c r="V177" s="143"/>
      <c r="W177" s="143"/>
      <c r="X177" s="143"/>
      <c r="Y177" s="143"/>
      <c r="Z177" s="143"/>
      <c r="AJ177" s="146"/>
    </row>
    <row r="178" ht="15.75" customHeight="1">
      <c r="M178" s="142"/>
      <c r="N178" s="143"/>
      <c r="O178" s="143"/>
      <c r="P178" s="143"/>
      <c r="Q178" s="143"/>
      <c r="R178" s="144" t="s">
        <v>110</v>
      </c>
      <c r="S178" s="143"/>
      <c r="U178" s="143"/>
      <c r="V178" s="143"/>
      <c r="W178" s="143"/>
      <c r="X178" s="143"/>
      <c r="Y178" s="143"/>
      <c r="Z178" s="143"/>
      <c r="AJ178" s="146"/>
    </row>
    <row r="179" ht="15.75" customHeight="1">
      <c r="M179" s="142"/>
      <c r="N179" s="143"/>
      <c r="O179" s="143"/>
      <c r="P179" s="143"/>
      <c r="Q179" s="143"/>
      <c r="R179" s="144" t="s">
        <v>110</v>
      </c>
      <c r="S179" s="143"/>
      <c r="U179" s="143"/>
      <c r="V179" s="143"/>
      <c r="W179" s="143"/>
      <c r="X179" s="143"/>
      <c r="Y179" s="143"/>
      <c r="Z179" s="143"/>
      <c r="AJ179" s="146"/>
    </row>
    <row r="180" ht="15.75" customHeight="1">
      <c r="M180" s="142"/>
      <c r="N180" s="143"/>
      <c r="O180" s="143"/>
      <c r="P180" s="143"/>
      <c r="Q180" s="143"/>
      <c r="R180" s="144" t="s">
        <v>110</v>
      </c>
      <c r="S180" s="143"/>
      <c r="U180" s="143"/>
      <c r="V180" s="143"/>
      <c r="W180" s="143"/>
      <c r="X180" s="143"/>
      <c r="Y180" s="143"/>
      <c r="Z180" s="143"/>
      <c r="AJ180" s="146"/>
    </row>
    <row r="181" ht="15.75" customHeight="1">
      <c r="M181" s="142"/>
      <c r="N181" s="143"/>
      <c r="O181" s="143"/>
      <c r="P181" s="143"/>
      <c r="Q181" s="143"/>
      <c r="R181" s="144" t="s">
        <v>110</v>
      </c>
      <c r="S181" s="143"/>
      <c r="U181" s="143"/>
      <c r="V181" s="143"/>
      <c r="W181" s="143"/>
      <c r="X181" s="143"/>
      <c r="Y181" s="143"/>
      <c r="Z181" s="143"/>
      <c r="AJ181" s="146"/>
    </row>
    <row r="182" ht="15.75" customHeight="1">
      <c r="M182" s="142"/>
      <c r="N182" s="143"/>
      <c r="O182" s="143"/>
      <c r="P182" s="143"/>
      <c r="Q182" s="143"/>
      <c r="R182" s="144" t="s">
        <v>110</v>
      </c>
      <c r="S182" s="143"/>
      <c r="U182" s="143"/>
      <c r="V182" s="143"/>
      <c r="W182" s="143"/>
      <c r="X182" s="143"/>
      <c r="Y182" s="143"/>
      <c r="Z182" s="143"/>
      <c r="AJ182" s="146"/>
    </row>
    <row r="183" ht="15.75" customHeight="1">
      <c r="M183" s="142"/>
      <c r="N183" s="143"/>
      <c r="O183" s="143"/>
      <c r="P183" s="143"/>
      <c r="Q183" s="143"/>
      <c r="R183" s="144" t="s">
        <v>110</v>
      </c>
      <c r="S183" s="143"/>
      <c r="U183" s="143"/>
      <c r="V183" s="143"/>
      <c r="W183" s="143"/>
      <c r="X183" s="143"/>
      <c r="Y183" s="143"/>
      <c r="Z183" s="143"/>
      <c r="AJ183" s="146"/>
    </row>
    <row r="184" ht="15.75" customHeight="1">
      <c r="M184" s="142"/>
      <c r="N184" s="143"/>
      <c r="O184" s="143"/>
      <c r="P184" s="143"/>
      <c r="Q184" s="143"/>
      <c r="R184" s="144" t="s">
        <v>110</v>
      </c>
      <c r="S184" s="143"/>
      <c r="U184" s="143"/>
      <c r="V184" s="143"/>
      <c r="W184" s="143"/>
      <c r="X184" s="143"/>
      <c r="Y184" s="143"/>
      <c r="Z184" s="143"/>
      <c r="AJ184" s="146"/>
    </row>
    <row r="185" ht="15.75" customHeight="1">
      <c r="M185" s="142"/>
      <c r="N185" s="143"/>
      <c r="O185" s="143"/>
      <c r="P185" s="143"/>
      <c r="Q185" s="143"/>
      <c r="R185" s="144" t="s">
        <v>110</v>
      </c>
      <c r="S185" s="143"/>
      <c r="U185" s="143"/>
      <c r="V185" s="143"/>
      <c r="W185" s="143"/>
      <c r="X185" s="143"/>
      <c r="Y185" s="143"/>
      <c r="Z185" s="143"/>
      <c r="AJ185" s="146"/>
    </row>
    <row r="186" ht="15.75" customHeight="1">
      <c r="M186" s="142"/>
      <c r="N186" s="143"/>
      <c r="O186" s="143"/>
      <c r="P186" s="143"/>
      <c r="Q186" s="143"/>
      <c r="R186" s="144" t="s">
        <v>110</v>
      </c>
      <c r="S186" s="143"/>
      <c r="U186" s="143"/>
      <c r="V186" s="143"/>
      <c r="W186" s="143"/>
      <c r="X186" s="143"/>
      <c r="Y186" s="143"/>
      <c r="Z186" s="143"/>
      <c r="AJ186" s="146"/>
    </row>
    <row r="187" ht="15.75" customHeight="1">
      <c r="M187" s="142"/>
      <c r="N187" s="143"/>
      <c r="O187" s="143"/>
      <c r="P187" s="143"/>
      <c r="Q187" s="143"/>
      <c r="R187" s="144" t="s">
        <v>110</v>
      </c>
      <c r="S187" s="143"/>
      <c r="U187" s="143"/>
      <c r="V187" s="143"/>
      <c r="W187" s="143"/>
      <c r="X187" s="143"/>
      <c r="Y187" s="143"/>
      <c r="Z187" s="143"/>
      <c r="AJ187" s="146"/>
    </row>
    <row r="188" ht="15.75" customHeight="1">
      <c r="M188" s="142"/>
      <c r="N188" s="143"/>
      <c r="O188" s="143"/>
      <c r="P188" s="143"/>
      <c r="Q188" s="143"/>
      <c r="R188" s="144" t="s">
        <v>110</v>
      </c>
      <c r="S188" s="143"/>
      <c r="U188" s="143"/>
      <c r="V188" s="143"/>
      <c r="W188" s="143"/>
      <c r="X188" s="143"/>
      <c r="Y188" s="143"/>
      <c r="Z188" s="143"/>
      <c r="AJ188" s="146"/>
    </row>
    <row r="189" ht="15.75" customHeight="1">
      <c r="M189" s="142"/>
      <c r="N189" s="143"/>
      <c r="O189" s="143"/>
      <c r="P189" s="143"/>
      <c r="Q189" s="143"/>
      <c r="R189" s="144" t="s">
        <v>110</v>
      </c>
      <c r="S189" s="143"/>
      <c r="U189" s="143"/>
      <c r="V189" s="143"/>
      <c r="W189" s="143"/>
      <c r="X189" s="143"/>
      <c r="Y189" s="143"/>
      <c r="Z189" s="143"/>
      <c r="AJ189" s="146"/>
    </row>
    <row r="190" ht="15.75" customHeight="1">
      <c r="M190" s="142"/>
      <c r="N190" s="143"/>
      <c r="O190" s="143"/>
      <c r="P190" s="143"/>
      <c r="Q190" s="143"/>
      <c r="R190" s="144" t="s">
        <v>110</v>
      </c>
      <c r="S190" s="143"/>
      <c r="U190" s="143"/>
      <c r="V190" s="143"/>
      <c r="W190" s="143"/>
      <c r="X190" s="143"/>
      <c r="Y190" s="143"/>
      <c r="Z190" s="143"/>
      <c r="AJ190" s="146"/>
    </row>
    <row r="191" ht="15.75" customHeight="1">
      <c r="M191" s="142"/>
      <c r="N191" s="143"/>
      <c r="O191" s="143"/>
      <c r="P191" s="143"/>
      <c r="Q191" s="143"/>
      <c r="R191" s="144" t="s">
        <v>110</v>
      </c>
      <c r="S191" s="143"/>
      <c r="U191" s="143"/>
      <c r="V191" s="143"/>
      <c r="W191" s="143"/>
      <c r="X191" s="143"/>
      <c r="Y191" s="143"/>
      <c r="Z191" s="143"/>
      <c r="AJ191" s="146"/>
    </row>
    <row r="192" ht="15.75" customHeight="1">
      <c r="M192" s="142"/>
      <c r="N192" s="143"/>
      <c r="O192" s="143"/>
      <c r="P192" s="143"/>
      <c r="Q192" s="143"/>
      <c r="R192" s="144" t="s">
        <v>110</v>
      </c>
      <c r="S192" s="143"/>
      <c r="U192" s="143"/>
      <c r="V192" s="143"/>
      <c r="W192" s="143"/>
      <c r="X192" s="143"/>
      <c r="Y192" s="143"/>
      <c r="Z192" s="143"/>
      <c r="AJ192" s="146"/>
    </row>
    <row r="193" ht="15.75" customHeight="1">
      <c r="M193" s="142"/>
      <c r="N193" s="143"/>
      <c r="O193" s="143"/>
      <c r="P193" s="143"/>
      <c r="Q193" s="143"/>
      <c r="R193" s="144" t="s">
        <v>110</v>
      </c>
      <c r="S193" s="143"/>
      <c r="U193" s="143"/>
      <c r="V193" s="143"/>
      <c r="W193" s="143"/>
      <c r="X193" s="143"/>
      <c r="Y193" s="143"/>
      <c r="Z193" s="143"/>
      <c r="AJ193" s="146"/>
    </row>
    <row r="194" ht="15.75" customHeight="1">
      <c r="M194" s="142"/>
      <c r="N194" s="143"/>
      <c r="O194" s="143"/>
      <c r="P194" s="143"/>
      <c r="Q194" s="143"/>
      <c r="R194" s="144" t="s">
        <v>110</v>
      </c>
      <c r="S194" s="143"/>
      <c r="U194" s="143"/>
      <c r="V194" s="143"/>
      <c r="W194" s="143"/>
      <c r="X194" s="143"/>
      <c r="Y194" s="143"/>
      <c r="Z194" s="143"/>
      <c r="AJ194" s="146"/>
    </row>
    <row r="195" ht="15.75" customHeight="1">
      <c r="M195" s="142"/>
      <c r="N195" s="143"/>
      <c r="O195" s="143"/>
      <c r="P195" s="143"/>
      <c r="Q195" s="143"/>
      <c r="R195" s="144" t="s">
        <v>110</v>
      </c>
      <c r="S195" s="143"/>
      <c r="U195" s="143"/>
      <c r="V195" s="143"/>
      <c r="W195" s="143"/>
      <c r="X195" s="143"/>
      <c r="Y195" s="143"/>
      <c r="Z195" s="143"/>
      <c r="AJ195" s="146"/>
    </row>
    <row r="196" ht="15.75" customHeight="1">
      <c r="M196" s="142"/>
      <c r="N196" s="143"/>
      <c r="O196" s="143"/>
      <c r="P196" s="143"/>
      <c r="Q196" s="143"/>
      <c r="R196" s="144" t="s">
        <v>110</v>
      </c>
      <c r="S196" s="143"/>
      <c r="U196" s="143"/>
      <c r="V196" s="143"/>
      <c r="W196" s="143"/>
      <c r="X196" s="143"/>
      <c r="Y196" s="143"/>
      <c r="Z196" s="143"/>
      <c r="AJ196" s="146"/>
    </row>
    <row r="197" ht="15.75" customHeight="1">
      <c r="M197" s="142"/>
      <c r="N197" s="143"/>
      <c r="O197" s="143"/>
      <c r="P197" s="143"/>
      <c r="Q197" s="143"/>
      <c r="R197" s="144" t="s">
        <v>110</v>
      </c>
      <c r="S197" s="143"/>
      <c r="U197" s="143"/>
      <c r="V197" s="143"/>
      <c r="W197" s="143"/>
      <c r="X197" s="143"/>
      <c r="Y197" s="143"/>
      <c r="Z197" s="143"/>
      <c r="AJ197" s="146"/>
    </row>
    <row r="198" ht="15.75" customHeight="1">
      <c r="M198" s="142"/>
      <c r="N198" s="143"/>
      <c r="O198" s="143"/>
      <c r="P198" s="143"/>
      <c r="Q198" s="143"/>
      <c r="R198" s="144" t="s">
        <v>110</v>
      </c>
      <c r="S198" s="143"/>
      <c r="U198" s="143"/>
      <c r="V198" s="143"/>
      <c r="W198" s="143"/>
      <c r="X198" s="143"/>
      <c r="Y198" s="143"/>
      <c r="Z198" s="143"/>
      <c r="AJ198" s="146"/>
    </row>
    <row r="199" ht="15.75" customHeight="1">
      <c r="M199" s="142"/>
      <c r="N199" s="143"/>
      <c r="O199" s="143"/>
      <c r="P199" s="143"/>
      <c r="Q199" s="143"/>
      <c r="R199" s="144" t="s">
        <v>110</v>
      </c>
      <c r="S199" s="143"/>
      <c r="U199" s="143"/>
      <c r="V199" s="143"/>
      <c r="W199" s="143"/>
      <c r="X199" s="143"/>
      <c r="Y199" s="143"/>
      <c r="Z199" s="143"/>
      <c r="AJ199" s="146"/>
    </row>
    <row r="200" ht="15.75" customHeight="1">
      <c r="M200" s="142"/>
      <c r="N200" s="143"/>
      <c r="O200" s="143"/>
      <c r="P200" s="143"/>
      <c r="Q200" s="143"/>
      <c r="R200" s="144" t="s">
        <v>110</v>
      </c>
      <c r="S200" s="143"/>
      <c r="U200" s="143"/>
      <c r="V200" s="143"/>
      <c r="W200" s="143"/>
      <c r="X200" s="143"/>
      <c r="Y200" s="143"/>
      <c r="Z200" s="143"/>
      <c r="AJ200" s="146"/>
    </row>
    <row r="201" ht="15.75" customHeight="1">
      <c r="M201" s="142"/>
      <c r="N201" s="143"/>
      <c r="O201" s="143"/>
      <c r="P201" s="143"/>
      <c r="Q201" s="143"/>
      <c r="R201" s="144" t="s">
        <v>110</v>
      </c>
      <c r="S201" s="143"/>
      <c r="U201" s="143"/>
      <c r="V201" s="143"/>
      <c r="W201" s="143"/>
      <c r="X201" s="143"/>
      <c r="Y201" s="143"/>
      <c r="Z201" s="143"/>
      <c r="AJ201" s="146"/>
    </row>
    <row r="202" ht="15.75" customHeight="1">
      <c r="M202" s="142"/>
      <c r="N202" s="143"/>
      <c r="O202" s="143"/>
      <c r="P202" s="143"/>
      <c r="Q202" s="143"/>
      <c r="R202" s="144" t="s">
        <v>110</v>
      </c>
      <c r="S202" s="143"/>
      <c r="U202" s="143"/>
      <c r="V202" s="143"/>
      <c r="W202" s="143"/>
      <c r="X202" s="143"/>
      <c r="Y202" s="143"/>
      <c r="Z202" s="143"/>
      <c r="AJ202" s="146"/>
    </row>
    <row r="203" ht="15.75" customHeight="1">
      <c r="M203" s="142"/>
      <c r="N203" s="143"/>
      <c r="O203" s="143"/>
      <c r="P203" s="143"/>
      <c r="Q203" s="143"/>
      <c r="R203" s="144" t="s">
        <v>110</v>
      </c>
      <c r="S203" s="143"/>
      <c r="U203" s="143"/>
      <c r="V203" s="143"/>
      <c r="W203" s="143"/>
      <c r="X203" s="143"/>
      <c r="Y203" s="143"/>
      <c r="Z203" s="143"/>
      <c r="AJ203" s="146"/>
    </row>
    <row r="204" ht="15.75" customHeight="1">
      <c r="M204" s="142"/>
      <c r="N204" s="143"/>
      <c r="O204" s="143"/>
      <c r="P204" s="143"/>
      <c r="Q204" s="143"/>
      <c r="R204" s="144" t="s">
        <v>110</v>
      </c>
      <c r="S204" s="143"/>
      <c r="U204" s="143"/>
      <c r="V204" s="143"/>
      <c r="W204" s="143"/>
      <c r="X204" s="143"/>
      <c r="Y204" s="143"/>
      <c r="Z204" s="143"/>
      <c r="AJ204" s="146"/>
    </row>
    <row r="205" ht="15.75" customHeight="1">
      <c r="M205" s="142"/>
      <c r="N205" s="143"/>
      <c r="O205" s="143"/>
      <c r="P205" s="143"/>
      <c r="Q205" s="143"/>
      <c r="R205" s="144" t="s">
        <v>110</v>
      </c>
      <c r="S205" s="143"/>
      <c r="U205" s="143"/>
      <c r="V205" s="143"/>
      <c r="W205" s="143"/>
      <c r="X205" s="143"/>
      <c r="Y205" s="143"/>
      <c r="Z205" s="143"/>
      <c r="AJ205" s="146"/>
    </row>
    <row r="206" ht="15.75" customHeight="1">
      <c r="M206" s="142"/>
      <c r="N206" s="143"/>
      <c r="O206" s="143"/>
      <c r="P206" s="143"/>
      <c r="Q206" s="143"/>
      <c r="R206" s="144" t="s">
        <v>110</v>
      </c>
      <c r="S206" s="143"/>
      <c r="U206" s="143"/>
      <c r="V206" s="143"/>
      <c r="W206" s="143"/>
      <c r="X206" s="143"/>
      <c r="Y206" s="143"/>
      <c r="Z206" s="143"/>
      <c r="AJ206" s="146"/>
    </row>
    <row r="207" ht="15.75" customHeight="1">
      <c r="M207" s="142"/>
      <c r="N207" s="143"/>
      <c r="O207" s="143"/>
      <c r="P207" s="143"/>
      <c r="Q207" s="143"/>
      <c r="R207" s="144" t="s">
        <v>110</v>
      </c>
      <c r="S207" s="143"/>
      <c r="U207" s="143"/>
      <c r="V207" s="143"/>
      <c r="W207" s="143"/>
      <c r="X207" s="143"/>
      <c r="Y207" s="143"/>
      <c r="Z207" s="143"/>
      <c r="AJ207" s="146"/>
    </row>
    <row r="208" ht="15.75" customHeight="1">
      <c r="M208" s="142"/>
      <c r="N208" s="143"/>
      <c r="O208" s="143"/>
      <c r="P208" s="143"/>
      <c r="Q208" s="143"/>
      <c r="R208" s="144" t="s">
        <v>110</v>
      </c>
      <c r="S208" s="143"/>
      <c r="U208" s="143"/>
      <c r="V208" s="143"/>
      <c r="W208" s="143"/>
      <c r="X208" s="143"/>
      <c r="Y208" s="143"/>
      <c r="Z208" s="143"/>
      <c r="AJ208" s="146"/>
    </row>
    <row r="209" ht="15.75" customHeight="1">
      <c r="M209" s="142"/>
      <c r="N209" s="143"/>
      <c r="O209" s="143"/>
      <c r="P209" s="143"/>
      <c r="Q209" s="143"/>
      <c r="R209" s="144" t="s">
        <v>110</v>
      </c>
      <c r="S209" s="143"/>
      <c r="U209" s="143"/>
      <c r="V209" s="143"/>
      <c r="W209" s="143"/>
      <c r="X209" s="143"/>
      <c r="Y209" s="143"/>
      <c r="Z209" s="143"/>
      <c r="AJ209" s="146"/>
    </row>
    <row r="210" ht="15.75" customHeight="1">
      <c r="M210" s="142"/>
      <c r="N210" s="143"/>
      <c r="O210" s="143"/>
      <c r="P210" s="143"/>
      <c r="Q210" s="143"/>
      <c r="R210" s="144" t="s">
        <v>110</v>
      </c>
      <c r="S210" s="143"/>
      <c r="U210" s="143"/>
      <c r="V210" s="143"/>
      <c r="W210" s="143"/>
      <c r="X210" s="143"/>
      <c r="Y210" s="143"/>
      <c r="Z210" s="143"/>
      <c r="AJ210" s="146"/>
    </row>
    <row r="211" ht="15.75" customHeight="1">
      <c r="M211" s="142"/>
      <c r="N211" s="143"/>
      <c r="O211" s="143"/>
      <c r="P211" s="143"/>
      <c r="Q211" s="143"/>
      <c r="R211" s="144" t="s">
        <v>110</v>
      </c>
      <c r="S211" s="143"/>
      <c r="U211" s="143"/>
      <c r="V211" s="143"/>
      <c r="W211" s="143"/>
      <c r="X211" s="143"/>
      <c r="Y211" s="143"/>
      <c r="Z211" s="143"/>
      <c r="AJ211" s="146"/>
    </row>
    <row r="212" ht="15.75" customHeight="1">
      <c r="M212" s="142"/>
      <c r="N212" s="143"/>
      <c r="O212" s="143"/>
      <c r="P212" s="143"/>
      <c r="Q212" s="143"/>
      <c r="R212" s="144" t="s">
        <v>110</v>
      </c>
      <c r="S212" s="143"/>
      <c r="U212" s="143"/>
      <c r="V212" s="143"/>
      <c r="W212" s="143"/>
      <c r="X212" s="143"/>
      <c r="Y212" s="143"/>
      <c r="Z212" s="143"/>
      <c r="AJ212" s="146"/>
    </row>
    <row r="213" ht="15.75" customHeight="1">
      <c r="M213" s="142"/>
      <c r="N213" s="143"/>
      <c r="O213" s="143"/>
      <c r="P213" s="143"/>
      <c r="Q213" s="143"/>
      <c r="R213" s="144" t="s">
        <v>110</v>
      </c>
      <c r="S213" s="143"/>
      <c r="U213" s="143"/>
      <c r="V213" s="143"/>
      <c r="W213" s="143"/>
      <c r="X213" s="143"/>
      <c r="Y213" s="143"/>
      <c r="Z213" s="143"/>
      <c r="AJ213" s="146"/>
    </row>
    <row r="214" ht="15.75" customHeight="1">
      <c r="M214" s="142"/>
      <c r="N214" s="143"/>
      <c r="O214" s="143"/>
      <c r="P214" s="143"/>
      <c r="Q214" s="143"/>
      <c r="R214" s="144" t="s">
        <v>110</v>
      </c>
      <c r="S214" s="143"/>
      <c r="U214" s="143"/>
      <c r="V214" s="143"/>
      <c r="W214" s="143"/>
      <c r="X214" s="143"/>
      <c r="Y214" s="143"/>
      <c r="Z214" s="143"/>
      <c r="AJ214" s="146"/>
    </row>
    <row r="215" ht="15.75" customHeight="1">
      <c r="M215" s="142"/>
      <c r="N215" s="143"/>
      <c r="O215" s="143"/>
      <c r="P215" s="143"/>
      <c r="Q215" s="143"/>
      <c r="R215" s="144" t="s">
        <v>110</v>
      </c>
      <c r="S215" s="143"/>
      <c r="U215" s="143"/>
      <c r="V215" s="143"/>
      <c r="W215" s="143"/>
      <c r="X215" s="143"/>
      <c r="Y215" s="143"/>
      <c r="Z215" s="143"/>
      <c r="AJ215" s="146"/>
    </row>
    <row r="216" ht="15.75" customHeight="1">
      <c r="M216" s="142"/>
      <c r="N216" s="143"/>
      <c r="O216" s="143"/>
      <c r="P216" s="143"/>
      <c r="Q216" s="143"/>
      <c r="R216" s="144" t="s">
        <v>110</v>
      </c>
      <c r="S216" s="143"/>
      <c r="U216" s="143"/>
      <c r="V216" s="143"/>
      <c r="W216" s="143"/>
      <c r="X216" s="143"/>
      <c r="Y216" s="143"/>
      <c r="Z216" s="143"/>
      <c r="AJ216" s="146"/>
    </row>
    <row r="217" ht="15.75" customHeight="1">
      <c r="M217" s="142"/>
      <c r="N217" s="143"/>
      <c r="O217" s="143"/>
      <c r="P217" s="143"/>
      <c r="Q217" s="143"/>
      <c r="R217" s="144" t="s">
        <v>110</v>
      </c>
      <c r="S217" s="143"/>
      <c r="U217" s="143"/>
      <c r="V217" s="143"/>
      <c r="W217" s="143"/>
      <c r="X217" s="143"/>
      <c r="Y217" s="143"/>
      <c r="Z217" s="143"/>
      <c r="AJ217" s="146"/>
    </row>
    <row r="218" ht="15.75" customHeight="1">
      <c r="M218" s="142"/>
      <c r="N218" s="143"/>
      <c r="O218" s="143"/>
      <c r="P218" s="143"/>
      <c r="Q218" s="143"/>
      <c r="R218" s="144" t="s">
        <v>110</v>
      </c>
      <c r="S218" s="143"/>
      <c r="U218" s="143"/>
      <c r="V218" s="143"/>
      <c r="W218" s="143"/>
      <c r="X218" s="143"/>
      <c r="Y218" s="143"/>
      <c r="Z218" s="143"/>
      <c r="AJ218" s="146"/>
    </row>
    <row r="219" ht="15.75" customHeight="1">
      <c r="M219" s="142"/>
      <c r="N219" s="143"/>
      <c r="O219" s="143"/>
      <c r="P219" s="143"/>
      <c r="Q219" s="143"/>
      <c r="R219" s="144" t="s">
        <v>110</v>
      </c>
      <c r="S219" s="143"/>
      <c r="U219" s="143"/>
      <c r="V219" s="143"/>
      <c r="W219" s="143"/>
      <c r="X219" s="143"/>
      <c r="Y219" s="143"/>
      <c r="Z219" s="143"/>
      <c r="AJ219" s="146"/>
    </row>
    <row r="220" ht="15.75" customHeight="1">
      <c r="M220" s="142"/>
      <c r="N220" s="143"/>
      <c r="O220" s="143"/>
      <c r="P220" s="143"/>
      <c r="Q220" s="143"/>
      <c r="R220" s="144" t="s">
        <v>110</v>
      </c>
      <c r="S220" s="143"/>
      <c r="U220" s="143"/>
      <c r="V220" s="143"/>
      <c r="W220" s="143"/>
      <c r="X220" s="143"/>
      <c r="Y220" s="143"/>
      <c r="Z220" s="143"/>
      <c r="AJ220" s="146"/>
    </row>
    <row r="221" ht="15.75" customHeight="1">
      <c r="M221" s="142"/>
      <c r="N221" s="143"/>
      <c r="O221" s="143"/>
      <c r="P221" s="143"/>
      <c r="Q221" s="143"/>
      <c r="R221" s="144" t="s">
        <v>110</v>
      </c>
      <c r="S221" s="143"/>
      <c r="U221" s="143"/>
      <c r="V221" s="143"/>
      <c r="W221" s="143"/>
      <c r="X221" s="143"/>
      <c r="Y221" s="143"/>
      <c r="Z221" s="143"/>
      <c r="AJ221" s="146"/>
    </row>
    <row r="222" ht="15.75" customHeight="1">
      <c r="M222" s="142"/>
      <c r="N222" s="143"/>
      <c r="O222" s="143"/>
      <c r="P222" s="143"/>
      <c r="Q222" s="143"/>
      <c r="R222" s="144" t="s">
        <v>110</v>
      </c>
      <c r="S222" s="143"/>
      <c r="U222" s="143"/>
      <c r="V222" s="143"/>
      <c r="W222" s="143"/>
      <c r="X222" s="143"/>
      <c r="Y222" s="143"/>
      <c r="Z222" s="143"/>
      <c r="AJ222" s="146"/>
    </row>
    <row r="223" ht="15.75" customHeight="1">
      <c r="M223" s="142"/>
      <c r="N223" s="143"/>
      <c r="O223" s="143"/>
      <c r="P223" s="143"/>
      <c r="Q223" s="143"/>
      <c r="R223" s="144" t="s">
        <v>110</v>
      </c>
      <c r="S223" s="143"/>
      <c r="U223" s="143"/>
      <c r="V223" s="143"/>
      <c r="W223" s="143"/>
      <c r="X223" s="143"/>
      <c r="Y223" s="143"/>
      <c r="Z223" s="143"/>
      <c r="AJ223" s="146"/>
    </row>
    <row r="224" ht="15.75" customHeight="1">
      <c r="M224" s="142"/>
      <c r="N224" s="143"/>
      <c r="O224" s="143"/>
      <c r="P224" s="143"/>
      <c r="Q224" s="143"/>
      <c r="R224" s="144" t="s">
        <v>110</v>
      </c>
      <c r="S224" s="143"/>
      <c r="U224" s="143"/>
      <c r="V224" s="143"/>
      <c r="W224" s="143"/>
      <c r="X224" s="143"/>
      <c r="Y224" s="143"/>
      <c r="Z224" s="143"/>
      <c r="AJ224" s="146"/>
    </row>
    <row r="225" ht="15.75" customHeight="1">
      <c r="M225" s="142"/>
      <c r="N225" s="143"/>
      <c r="O225" s="143"/>
      <c r="P225" s="143"/>
      <c r="Q225" s="143"/>
      <c r="R225" s="144" t="s">
        <v>110</v>
      </c>
      <c r="S225" s="143"/>
      <c r="U225" s="143"/>
      <c r="V225" s="143"/>
      <c r="W225" s="143"/>
      <c r="X225" s="143"/>
      <c r="Y225" s="143"/>
      <c r="Z225" s="143"/>
      <c r="AJ225" s="146"/>
    </row>
    <row r="226" ht="15.75" customHeight="1">
      <c r="M226" s="142"/>
      <c r="N226" s="143"/>
      <c r="O226" s="143"/>
      <c r="P226" s="143"/>
      <c r="Q226" s="143"/>
      <c r="R226" s="144" t="s">
        <v>110</v>
      </c>
      <c r="S226" s="143"/>
      <c r="U226" s="143"/>
      <c r="V226" s="143"/>
      <c r="W226" s="143"/>
      <c r="X226" s="143"/>
      <c r="Y226" s="143"/>
      <c r="Z226" s="143"/>
      <c r="AJ226" s="146"/>
    </row>
    <row r="227" ht="15.75" customHeight="1">
      <c r="M227" s="142"/>
      <c r="N227" s="143"/>
      <c r="O227" s="143"/>
      <c r="P227" s="143"/>
      <c r="Q227" s="143"/>
      <c r="R227" s="144" t="s">
        <v>110</v>
      </c>
      <c r="S227" s="143"/>
      <c r="U227" s="143"/>
      <c r="V227" s="143"/>
      <c r="W227" s="143"/>
      <c r="X227" s="143"/>
      <c r="Y227" s="143"/>
      <c r="Z227" s="143"/>
      <c r="AJ227" s="146"/>
    </row>
    <row r="228" ht="15.75" customHeight="1">
      <c r="M228" s="142"/>
      <c r="N228" s="143"/>
      <c r="O228" s="143"/>
      <c r="P228" s="143"/>
      <c r="Q228" s="143"/>
      <c r="R228" s="144" t="s">
        <v>110</v>
      </c>
      <c r="S228" s="143"/>
      <c r="U228" s="143"/>
      <c r="V228" s="143"/>
      <c r="W228" s="143"/>
      <c r="X228" s="143"/>
      <c r="Y228" s="143"/>
      <c r="Z228" s="143"/>
      <c r="AJ228" s="146"/>
    </row>
    <row r="229" ht="15.75" customHeight="1">
      <c r="M229" s="142"/>
      <c r="N229" s="143"/>
      <c r="O229" s="143"/>
      <c r="P229" s="143"/>
      <c r="Q229" s="143"/>
      <c r="R229" s="144" t="s">
        <v>110</v>
      </c>
      <c r="S229" s="143"/>
      <c r="U229" s="143"/>
      <c r="V229" s="143"/>
      <c r="W229" s="143"/>
      <c r="X229" s="143"/>
      <c r="Y229" s="143"/>
      <c r="Z229" s="143"/>
      <c r="AJ229" s="146"/>
    </row>
    <row r="230" ht="15.75" customHeight="1">
      <c r="M230" s="142"/>
      <c r="N230" s="143"/>
      <c r="O230" s="143"/>
      <c r="P230" s="143"/>
      <c r="Q230" s="143"/>
      <c r="R230" s="144" t="s">
        <v>110</v>
      </c>
      <c r="S230" s="143"/>
      <c r="U230" s="143"/>
      <c r="V230" s="143"/>
      <c r="W230" s="143"/>
      <c r="X230" s="143"/>
      <c r="Y230" s="143"/>
      <c r="Z230" s="143"/>
      <c r="AJ230" s="146"/>
    </row>
    <row r="231" ht="15.75" customHeight="1">
      <c r="M231" s="142"/>
      <c r="N231" s="143"/>
      <c r="O231" s="143"/>
      <c r="P231" s="143"/>
      <c r="Q231" s="143"/>
      <c r="R231" s="144" t="s">
        <v>110</v>
      </c>
      <c r="S231" s="143"/>
      <c r="U231" s="143"/>
      <c r="V231" s="143"/>
      <c r="W231" s="143"/>
      <c r="X231" s="143"/>
      <c r="Y231" s="143"/>
      <c r="Z231" s="143"/>
      <c r="AJ231" s="146"/>
    </row>
    <row r="232" ht="15.75" customHeight="1">
      <c r="M232" s="142"/>
      <c r="N232" s="143"/>
      <c r="O232" s="143"/>
      <c r="P232" s="143"/>
      <c r="Q232" s="143"/>
      <c r="R232" s="144" t="s">
        <v>110</v>
      </c>
      <c r="S232" s="143"/>
      <c r="U232" s="143"/>
      <c r="V232" s="143"/>
      <c r="W232" s="143"/>
      <c r="X232" s="143"/>
      <c r="Y232" s="143"/>
      <c r="Z232" s="143"/>
      <c r="AJ232" s="146"/>
    </row>
    <row r="233" ht="15.75" customHeight="1">
      <c r="M233" s="142"/>
      <c r="N233" s="143"/>
      <c r="O233" s="143"/>
      <c r="P233" s="143"/>
      <c r="Q233" s="143"/>
      <c r="R233" s="144" t="s">
        <v>110</v>
      </c>
      <c r="S233" s="143"/>
      <c r="U233" s="143"/>
      <c r="V233" s="143"/>
      <c r="W233" s="143"/>
      <c r="X233" s="143"/>
      <c r="Y233" s="143"/>
      <c r="Z233" s="143"/>
      <c r="AJ233" s="146"/>
    </row>
    <row r="234" ht="15.75" customHeight="1">
      <c r="M234" s="142"/>
      <c r="N234" s="143"/>
      <c r="O234" s="143"/>
      <c r="P234" s="143"/>
      <c r="Q234" s="143"/>
      <c r="R234" s="144" t="s">
        <v>110</v>
      </c>
      <c r="S234" s="143"/>
      <c r="U234" s="143"/>
      <c r="V234" s="143"/>
      <c r="W234" s="143"/>
      <c r="X234" s="143"/>
      <c r="Y234" s="143"/>
      <c r="Z234" s="143"/>
      <c r="AJ234" s="146"/>
    </row>
    <row r="235" ht="15.75" customHeight="1">
      <c r="M235" s="142"/>
      <c r="N235" s="143"/>
      <c r="O235" s="143"/>
      <c r="P235" s="143"/>
      <c r="Q235" s="143"/>
      <c r="R235" s="144" t="s">
        <v>110</v>
      </c>
      <c r="S235" s="143"/>
      <c r="U235" s="143"/>
      <c r="V235" s="143"/>
      <c r="W235" s="143"/>
      <c r="X235" s="143"/>
      <c r="Y235" s="143"/>
      <c r="Z235" s="143"/>
      <c r="AJ235" s="146"/>
    </row>
    <row r="236" ht="15.75" customHeight="1">
      <c r="M236" s="142"/>
      <c r="N236" s="143"/>
      <c r="O236" s="143"/>
      <c r="P236" s="143"/>
      <c r="Q236" s="143"/>
      <c r="R236" s="144" t="s">
        <v>110</v>
      </c>
      <c r="S236" s="143"/>
      <c r="U236" s="143"/>
      <c r="V236" s="143"/>
      <c r="W236" s="143"/>
      <c r="X236" s="143"/>
      <c r="Y236" s="143"/>
      <c r="Z236" s="143"/>
      <c r="AJ236" s="146"/>
    </row>
    <row r="237" ht="15.75" customHeight="1">
      <c r="M237" s="142"/>
      <c r="N237" s="143"/>
      <c r="O237" s="143"/>
      <c r="P237" s="143"/>
      <c r="Q237" s="143"/>
      <c r="R237" s="144" t="s">
        <v>110</v>
      </c>
      <c r="S237" s="143"/>
      <c r="U237" s="143"/>
      <c r="V237" s="143"/>
      <c r="W237" s="143"/>
      <c r="X237" s="143"/>
      <c r="Y237" s="143"/>
      <c r="Z237" s="143"/>
      <c r="AJ237" s="146"/>
    </row>
    <row r="238" ht="15.75" customHeight="1">
      <c r="M238" s="142"/>
      <c r="N238" s="143"/>
      <c r="O238" s="143"/>
      <c r="P238" s="143"/>
      <c r="Q238" s="143"/>
      <c r="R238" s="144" t="s">
        <v>110</v>
      </c>
      <c r="S238" s="143"/>
      <c r="U238" s="143"/>
      <c r="V238" s="143"/>
      <c r="W238" s="143"/>
      <c r="X238" s="143"/>
      <c r="Y238" s="143"/>
      <c r="Z238" s="143"/>
      <c r="AJ238" s="146"/>
    </row>
    <row r="239" ht="15.75" customHeight="1">
      <c r="M239" s="142"/>
      <c r="N239" s="143"/>
      <c r="O239" s="143"/>
      <c r="P239" s="143"/>
      <c r="Q239" s="143"/>
      <c r="R239" s="144" t="s">
        <v>110</v>
      </c>
      <c r="S239" s="143"/>
      <c r="U239" s="143"/>
      <c r="V239" s="143"/>
      <c r="W239" s="143"/>
      <c r="X239" s="143"/>
      <c r="Y239" s="143"/>
      <c r="Z239" s="143"/>
      <c r="AJ239" s="146"/>
    </row>
    <row r="240" ht="15.75" customHeight="1">
      <c r="M240" s="142"/>
      <c r="N240" s="143"/>
      <c r="O240" s="143"/>
      <c r="P240" s="143"/>
      <c r="Q240" s="143"/>
      <c r="R240" s="144" t="s">
        <v>110</v>
      </c>
      <c r="S240" s="143"/>
      <c r="U240" s="143"/>
      <c r="V240" s="143"/>
      <c r="W240" s="143"/>
      <c r="X240" s="143"/>
      <c r="Y240" s="143"/>
      <c r="Z240" s="143"/>
      <c r="AJ240" s="146"/>
    </row>
    <row r="241" ht="15.75" customHeight="1">
      <c r="M241" s="142"/>
      <c r="N241" s="143"/>
      <c r="O241" s="143"/>
      <c r="P241" s="143"/>
      <c r="Q241" s="143"/>
      <c r="R241" s="144" t="s">
        <v>110</v>
      </c>
      <c r="S241" s="143"/>
      <c r="U241" s="143"/>
      <c r="V241" s="143"/>
      <c r="W241" s="143"/>
      <c r="X241" s="143"/>
      <c r="Y241" s="143"/>
      <c r="Z241" s="143"/>
      <c r="AJ241" s="146"/>
    </row>
    <row r="242" ht="15.75" customHeight="1">
      <c r="M242" s="142"/>
      <c r="N242" s="143"/>
      <c r="O242" s="143"/>
      <c r="P242" s="143"/>
      <c r="Q242" s="143"/>
      <c r="R242" s="144" t="s">
        <v>110</v>
      </c>
      <c r="S242" s="143"/>
      <c r="U242" s="143"/>
      <c r="V242" s="143"/>
      <c r="W242" s="143"/>
      <c r="X242" s="143"/>
      <c r="Y242" s="143"/>
      <c r="Z242" s="143"/>
      <c r="AJ242" s="146"/>
    </row>
    <row r="243" ht="15.75" customHeight="1">
      <c r="M243" s="142"/>
      <c r="N243" s="143"/>
      <c r="O243" s="143"/>
      <c r="P243" s="143"/>
      <c r="Q243" s="143"/>
      <c r="R243" s="144" t="s">
        <v>110</v>
      </c>
      <c r="S243" s="143"/>
      <c r="U243" s="143"/>
      <c r="V243" s="143"/>
      <c r="W243" s="143"/>
      <c r="X243" s="143"/>
      <c r="Y243" s="143"/>
      <c r="Z243" s="143"/>
      <c r="AJ243" s="146"/>
    </row>
    <row r="244" ht="15.75" customHeight="1">
      <c r="M244" s="142"/>
      <c r="N244" s="143"/>
      <c r="O244" s="143"/>
      <c r="P244" s="143"/>
      <c r="Q244" s="143"/>
      <c r="R244" s="144" t="s">
        <v>110</v>
      </c>
      <c r="S244" s="143"/>
      <c r="U244" s="143"/>
      <c r="V244" s="143"/>
      <c r="W244" s="143"/>
      <c r="X244" s="143"/>
      <c r="Y244" s="143"/>
      <c r="Z244" s="143"/>
      <c r="AJ244" s="146"/>
    </row>
    <row r="245" ht="15.75" customHeight="1">
      <c r="M245" s="142"/>
      <c r="N245" s="143"/>
      <c r="O245" s="143"/>
      <c r="P245" s="143"/>
      <c r="Q245" s="143"/>
      <c r="R245" s="144" t="s">
        <v>110</v>
      </c>
      <c r="S245" s="143"/>
      <c r="U245" s="143"/>
      <c r="V245" s="143"/>
      <c r="W245" s="143"/>
      <c r="X245" s="143"/>
      <c r="Y245" s="143"/>
      <c r="Z245" s="143"/>
      <c r="AJ245" s="146"/>
    </row>
    <row r="246" ht="15.75" customHeight="1">
      <c r="M246" s="142"/>
      <c r="N246" s="143"/>
      <c r="O246" s="143"/>
      <c r="P246" s="143"/>
      <c r="Q246" s="143"/>
      <c r="R246" s="144" t="s">
        <v>110</v>
      </c>
      <c r="S246" s="143"/>
      <c r="U246" s="143"/>
      <c r="V246" s="143"/>
      <c r="W246" s="143"/>
      <c r="X246" s="143"/>
      <c r="Y246" s="143"/>
      <c r="Z246" s="143"/>
      <c r="AJ246" s="146"/>
    </row>
    <row r="247" ht="15.75" customHeight="1">
      <c r="M247" s="142"/>
      <c r="N247" s="143"/>
      <c r="O247" s="143"/>
      <c r="P247" s="143"/>
      <c r="Q247" s="143"/>
      <c r="R247" s="144" t="s">
        <v>110</v>
      </c>
      <c r="S247" s="143"/>
      <c r="U247" s="143"/>
      <c r="V247" s="143"/>
      <c r="W247" s="143"/>
      <c r="X247" s="143"/>
      <c r="Y247" s="143"/>
      <c r="Z247" s="143"/>
      <c r="AJ247" s="146"/>
    </row>
    <row r="248" ht="15.75" customHeight="1">
      <c r="M248" s="142"/>
      <c r="N248" s="143"/>
      <c r="O248" s="143"/>
      <c r="P248" s="143"/>
      <c r="Q248" s="143"/>
      <c r="R248" s="144" t="s">
        <v>110</v>
      </c>
      <c r="S248" s="143"/>
      <c r="U248" s="143"/>
      <c r="V248" s="143"/>
      <c r="W248" s="143"/>
      <c r="X248" s="143"/>
      <c r="Y248" s="143"/>
      <c r="Z248" s="143"/>
      <c r="AJ248" s="146"/>
    </row>
    <row r="249" ht="15.75" customHeight="1">
      <c r="M249" s="142"/>
      <c r="N249" s="143"/>
      <c r="O249" s="143"/>
      <c r="P249" s="143"/>
      <c r="Q249" s="143"/>
      <c r="R249" s="144" t="s">
        <v>110</v>
      </c>
      <c r="S249" s="143"/>
      <c r="U249" s="143"/>
      <c r="V249" s="143"/>
      <c r="W249" s="143"/>
      <c r="X249" s="143"/>
      <c r="Y249" s="143"/>
      <c r="Z249" s="143"/>
      <c r="AJ249" s="146"/>
    </row>
    <row r="250" ht="15.75" customHeight="1">
      <c r="M250" s="142"/>
      <c r="N250" s="143"/>
      <c r="O250" s="143"/>
      <c r="P250" s="143"/>
      <c r="Q250" s="143"/>
      <c r="R250" s="144" t="s">
        <v>110</v>
      </c>
      <c r="S250" s="143"/>
      <c r="U250" s="143"/>
      <c r="V250" s="143"/>
      <c r="W250" s="143"/>
      <c r="X250" s="143"/>
      <c r="Y250" s="143"/>
      <c r="Z250" s="143"/>
      <c r="AJ250" s="146"/>
    </row>
    <row r="251" ht="15.75" customHeight="1">
      <c r="M251" s="142"/>
      <c r="N251" s="143"/>
      <c r="O251" s="143"/>
      <c r="P251" s="143"/>
      <c r="Q251" s="143"/>
      <c r="R251" s="144" t="s">
        <v>110</v>
      </c>
      <c r="S251" s="143"/>
      <c r="U251" s="143"/>
      <c r="V251" s="143"/>
      <c r="W251" s="143"/>
      <c r="X251" s="143"/>
      <c r="Y251" s="143"/>
      <c r="Z251" s="143"/>
      <c r="AJ251" s="146"/>
    </row>
    <row r="252" ht="15.75" customHeight="1">
      <c r="M252" s="142"/>
      <c r="N252" s="143"/>
      <c r="O252" s="143"/>
      <c r="P252" s="143"/>
      <c r="Q252" s="143"/>
      <c r="R252" s="144" t="s">
        <v>110</v>
      </c>
      <c r="S252" s="143"/>
      <c r="U252" s="143"/>
      <c r="V252" s="143"/>
      <c r="W252" s="143"/>
      <c r="X252" s="143"/>
      <c r="Y252" s="143"/>
      <c r="Z252" s="143"/>
      <c r="AJ252" s="146"/>
    </row>
    <row r="253" ht="15.75" customHeight="1">
      <c r="M253" s="142"/>
      <c r="N253" s="143"/>
      <c r="O253" s="143"/>
      <c r="P253" s="143"/>
      <c r="Q253" s="143"/>
      <c r="R253" s="144" t="s">
        <v>110</v>
      </c>
      <c r="S253" s="143"/>
      <c r="U253" s="143"/>
      <c r="V253" s="143"/>
      <c r="W253" s="143"/>
      <c r="X253" s="143"/>
      <c r="Y253" s="143"/>
      <c r="Z253" s="143"/>
      <c r="AJ253" s="146"/>
    </row>
    <row r="254" ht="15.75" customHeight="1">
      <c r="M254" s="142"/>
      <c r="N254" s="143"/>
      <c r="O254" s="143"/>
      <c r="P254" s="143"/>
      <c r="Q254" s="143"/>
      <c r="R254" s="144" t="s">
        <v>110</v>
      </c>
      <c r="S254" s="143"/>
      <c r="U254" s="143"/>
      <c r="V254" s="143"/>
      <c r="W254" s="143"/>
      <c r="X254" s="143"/>
      <c r="Y254" s="143"/>
      <c r="Z254" s="143"/>
      <c r="AJ254" s="146"/>
    </row>
    <row r="255" ht="15.75" customHeight="1">
      <c r="M255" s="142"/>
      <c r="N255" s="143"/>
      <c r="O255" s="143"/>
      <c r="P255" s="143"/>
      <c r="Q255" s="143"/>
      <c r="R255" s="144" t="s">
        <v>110</v>
      </c>
      <c r="S255" s="143"/>
      <c r="U255" s="143"/>
      <c r="V255" s="143"/>
      <c r="W255" s="143"/>
      <c r="X255" s="143"/>
      <c r="Y255" s="143"/>
      <c r="Z255" s="143"/>
      <c r="AJ255" s="146"/>
    </row>
    <row r="256" ht="15.75" customHeight="1">
      <c r="M256" s="142"/>
      <c r="N256" s="143"/>
      <c r="O256" s="143"/>
      <c r="P256" s="143"/>
      <c r="Q256" s="143"/>
      <c r="R256" s="144" t="s">
        <v>110</v>
      </c>
      <c r="S256" s="143"/>
      <c r="U256" s="143"/>
      <c r="V256" s="143"/>
      <c r="W256" s="143"/>
      <c r="X256" s="143"/>
      <c r="Y256" s="143"/>
      <c r="Z256" s="143"/>
      <c r="AJ256" s="146"/>
    </row>
    <row r="257" ht="15.75" customHeight="1">
      <c r="M257" s="142"/>
      <c r="N257" s="143"/>
      <c r="O257" s="143"/>
      <c r="P257" s="143"/>
      <c r="Q257" s="143"/>
      <c r="R257" s="144" t="s">
        <v>110</v>
      </c>
      <c r="S257" s="143"/>
      <c r="U257" s="143"/>
      <c r="V257" s="143"/>
      <c r="W257" s="143"/>
      <c r="X257" s="143"/>
      <c r="Y257" s="143"/>
      <c r="Z257" s="143"/>
      <c r="AJ257" s="146"/>
    </row>
    <row r="258" ht="15.75" customHeight="1">
      <c r="M258" s="142"/>
      <c r="N258" s="143"/>
      <c r="O258" s="143"/>
      <c r="P258" s="143"/>
      <c r="Q258" s="143"/>
      <c r="R258" s="144" t="s">
        <v>110</v>
      </c>
      <c r="S258" s="143"/>
      <c r="U258" s="143"/>
      <c r="V258" s="143"/>
      <c r="W258" s="143"/>
      <c r="X258" s="143"/>
      <c r="Y258" s="143"/>
      <c r="Z258" s="143"/>
      <c r="AJ258" s="146"/>
    </row>
    <row r="259" ht="15.75" customHeight="1">
      <c r="M259" s="142"/>
      <c r="N259" s="143"/>
      <c r="O259" s="143"/>
      <c r="P259" s="143"/>
      <c r="Q259" s="143"/>
      <c r="R259" s="144" t="s">
        <v>110</v>
      </c>
      <c r="S259" s="143"/>
      <c r="U259" s="143"/>
      <c r="V259" s="143"/>
      <c r="W259" s="143"/>
      <c r="X259" s="143"/>
      <c r="Y259" s="143"/>
      <c r="Z259" s="143"/>
      <c r="AJ259" s="146"/>
    </row>
    <row r="260" ht="15.75" customHeight="1">
      <c r="M260" s="142"/>
      <c r="N260" s="143"/>
      <c r="O260" s="143"/>
      <c r="P260" s="143"/>
      <c r="Q260" s="143"/>
      <c r="R260" s="144" t="s">
        <v>110</v>
      </c>
      <c r="S260" s="143"/>
      <c r="U260" s="143"/>
      <c r="V260" s="143"/>
      <c r="W260" s="143"/>
      <c r="X260" s="143"/>
      <c r="Y260" s="143"/>
      <c r="Z260" s="143"/>
      <c r="AJ260" s="146"/>
    </row>
    <row r="261" ht="15.75" customHeight="1">
      <c r="M261" s="142"/>
      <c r="N261" s="143"/>
      <c r="O261" s="143"/>
      <c r="P261" s="143"/>
      <c r="Q261" s="143"/>
      <c r="R261" s="144" t="s">
        <v>110</v>
      </c>
      <c r="S261" s="143"/>
      <c r="U261" s="143"/>
      <c r="V261" s="143"/>
      <c r="W261" s="143"/>
      <c r="X261" s="143"/>
      <c r="Y261" s="143"/>
      <c r="Z261" s="143"/>
      <c r="AJ261" s="146"/>
    </row>
    <row r="262" ht="15.75" customHeight="1">
      <c r="M262" s="142"/>
      <c r="N262" s="143"/>
      <c r="O262" s="143"/>
      <c r="P262" s="143"/>
      <c r="Q262" s="143"/>
      <c r="R262" s="144" t="s">
        <v>110</v>
      </c>
      <c r="S262" s="143"/>
      <c r="U262" s="143"/>
      <c r="V262" s="143"/>
      <c r="W262" s="143"/>
      <c r="X262" s="143"/>
      <c r="Y262" s="143"/>
      <c r="Z262" s="143"/>
      <c r="AJ262" s="146"/>
    </row>
    <row r="263" ht="15.75" customHeight="1">
      <c r="M263" s="142"/>
      <c r="N263" s="143"/>
      <c r="O263" s="143"/>
      <c r="P263" s="143"/>
      <c r="Q263" s="143"/>
      <c r="R263" s="144" t="s">
        <v>110</v>
      </c>
      <c r="S263" s="143"/>
      <c r="U263" s="143"/>
      <c r="V263" s="143"/>
      <c r="W263" s="143"/>
      <c r="X263" s="143"/>
      <c r="Y263" s="143"/>
      <c r="Z263" s="143"/>
      <c r="AJ263" s="146"/>
    </row>
    <row r="264" ht="15.75" customHeight="1">
      <c r="M264" s="142"/>
      <c r="N264" s="143"/>
      <c r="O264" s="143"/>
      <c r="P264" s="143"/>
      <c r="Q264" s="143"/>
      <c r="R264" s="144" t="s">
        <v>110</v>
      </c>
      <c r="S264" s="143"/>
      <c r="U264" s="143"/>
      <c r="V264" s="143"/>
      <c r="W264" s="143"/>
      <c r="X264" s="143"/>
      <c r="Y264" s="143"/>
      <c r="Z264" s="143"/>
      <c r="AJ264" s="146"/>
    </row>
    <row r="265" ht="15.75" customHeight="1">
      <c r="M265" s="142"/>
      <c r="N265" s="143"/>
      <c r="O265" s="143"/>
      <c r="P265" s="143"/>
      <c r="Q265" s="143"/>
      <c r="R265" s="144" t="s">
        <v>110</v>
      </c>
      <c r="S265" s="143"/>
      <c r="U265" s="143"/>
      <c r="V265" s="143"/>
      <c r="W265" s="143"/>
      <c r="X265" s="143"/>
      <c r="Y265" s="143"/>
      <c r="Z265" s="143"/>
      <c r="AJ265" s="146"/>
    </row>
    <row r="266" ht="15.75" customHeight="1">
      <c r="M266" s="142"/>
      <c r="N266" s="143"/>
      <c r="O266" s="143"/>
      <c r="P266" s="143"/>
      <c r="Q266" s="143"/>
      <c r="R266" s="144" t="s">
        <v>110</v>
      </c>
      <c r="S266" s="143"/>
      <c r="U266" s="143"/>
      <c r="V266" s="143"/>
      <c r="W266" s="143"/>
      <c r="X266" s="143"/>
      <c r="Y266" s="143"/>
      <c r="Z266" s="143"/>
      <c r="AJ266" s="146"/>
    </row>
    <row r="267" ht="15.75" customHeight="1">
      <c r="M267" s="142"/>
      <c r="N267" s="143"/>
      <c r="O267" s="143"/>
      <c r="P267" s="143"/>
      <c r="Q267" s="143"/>
      <c r="R267" s="144" t="s">
        <v>110</v>
      </c>
      <c r="S267" s="143"/>
      <c r="U267" s="143"/>
      <c r="V267" s="143"/>
      <c r="W267" s="143"/>
      <c r="X267" s="143"/>
      <c r="Y267" s="143"/>
      <c r="Z267" s="143"/>
      <c r="AJ267" s="146"/>
    </row>
    <row r="268" ht="15.75" customHeight="1">
      <c r="M268" s="142"/>
      <c r="N268" s="143"/>
      <c r="O268" s="143"/>
      <c r="P268" s="143"/>
      <c r="Q268" s="143"/>
      <c r="R268" s="144" t="s">
        <v>110</v>
      </c>
      <c r="S268" s="143"/>
      <c r="U268" s="143"/>
      <c r="V268" s="143"/>
      <c r="W268" s="143"/>
      <c r="X268" s="143"/>
      <c r="Y268" s="143"/>
      <c r="Z268" s="143"/>
      <c r="AJ268" s="146"/>
    </row>
    <row r="269" ht="15.75" customHeight="1">
      <c r="M269" s="142"/>
      <c r="N269" s="143"/>
      <c r="O269" s="143"/>
      <c r="P269" s="143"/>
      <c r="Q269" s="143"/>
      <c r="R269" s="144" t="s">
        <v>110</v>
      </c>
      <c r="S269" s="143"/>
      <c r="U269" s="143"/>
      <c r="V269" s="143"/>
      <c r="W269" s="143"/>
      <c r="X269" s="143"/>
      <c r="Y269" s="143"/>
      <c r="Z269" s="143"/>
      <c r="AJ269" s="146"/>
    </row>
    <row r="270" ht="15.75" customHeight="1">
      <c r="M270" s="142"/>
      <c r="N270" s="143"/>
      <c r="O270" s="143"/>
      <c r="P270" s="143"/>
      <c r="Q270" s="143"/>
      <c r="R270" s="144" t="s">
        <v>110</v>
      </c>
      <c r="S270" s="143"/>
      <c r="U270" s="143"/>
      <c r="V270" s="143"/>
      <c r="W270" s="143"/>
      <c r="X270" s="143"/>
      <c r="Y270" s="143"/>
      <c r="Z270" s="143"/>
      <c r="AJ270" s="146"/>
    </row>
    <row r="271" ht="15.75" customHeight="1">
      <c r="M271" s="142"/>
      <c r="N271" s="143"/>
      <c r="O271" s="143"/>
      <c r="P271" s="143"/>
      <c r="Q271" s="143"/>
      <c r="R271" s="144" t="s">
        <v>110</v>
      </c>
      <c r="S271" s="143"/>
      <c r="U271" s="143"/>
      <c r="V271" s="143"/>
      <c r="W271" s="143"/>
      <c r="X271" s="143"/>
      <c r="Y271" s="143"/>
      <c r="Z271" s="143"/>
      <c r="AJ271" s="146"/>
    </row>
    <row r="272" ht="15.75" customHeight="1">
      <c r="M272" s="142"/>
      <c r="N272" s="143"/>
      <c r="O272" s="143"/>
      <c r="P272" s="143"/>
      <c r="Q272" s="143"/>
      <c r="R272" s="144" t="s">
        <v>110</v>
      </c>
      <c r="S272" s="143"/>
      <c r="U272" s="143"/>
      <c r="V272" s="143"/>
      <c r="W272" s="143"/>
      <c r="X272" s="143"/>
      <c r="Y272" s="143"/>
      <c r="Z272" s="143"/>
      <c r="AJ272" s="146"/>
    </row>
    <row r="273" ht="15.75" customHeight="1">
      <c r="M273" s="142"/>
      <c r="N273" s="143"/>
      <c r="O273" s="143"/>
      <c r="P273" s="143"/>
      <c r="Q273" s="143"/>
      <c r="R273" s="144" t="s">
        <v>110</v>
      </c>
      <c r="S273" s="143"/>
      <c r="U273" s="143"/>
      <c r="V273" s="143"/>
      <c r="W273" s="143"/>
      <c r="X273" s="143"/>
      <c r="Y273" s="143"/>
      <c r="Z273" s="143"/>
      <c r="AJ273" s="146"/>
    </row>
    <row r="274" ht="15.75" customHeight="1">
      <c r="M274" s="142"/>
      <c r="N274" s="143"/>
      <c r="O274" s="143"/>
      <c r="P274" s="143"/>
      <c r="Q274" s="143"/>
      <c r="R274" s="144" t="s">
        <v>110</v>
      </c>
      <c r="S274" s="143"/>
      <c r="U274" s="143"/>
      <c r="V274" s="143"/>
      <c r="W274" s="143"/>
      <c r="X274" s="143"/>
      <c r="Y274" s="143"/>
      <c r="Z274" s="143"/>
      <c r="AJ274" s="146"/>
    </row>
    <row r="275" ht="15.75" customHeight="1">
      <c r="M275" s="142"/>
      <c r="N275" s="143"/>
      <c r="O275" s="143"/>
      <c r="P275" s="143"/>
      <c r="Q275" s="143"/>
      <c r="R275" s="144" t="s">
        <v>110</v>
      </c>
      <c r="S275" s="143"/>
      <c r="U275" s="143"/>
      <c r="V275" s="143"/>
      <c r="W275" s="143"/>
      <c r="X275" s="143"/>
      <c r="Y275" s="143"/>
      <c r="Z275" s="143"/>
      <c r="AJ275" s="146"/>
    </row>
    <row r="276" ht="15.75" customHeight="1">
      <c r="M276" s="142"/>
      <c r="N276" s="143"/>
      <c r="O276" s="143"/>
      <c r="P276" s="143"/>
      <c r="Q276" s="143"/>
      <c r="R276" s="144" t="s">
        <v>110</v>
      </c>
      <c r="S276" s="143"/>
      <c r="U276" s="143"/>
      <c r="V276" s="143"/>
      <c r="W276" s="143"/>
      <c r="X276" s="143"/>
      <c r="Y276" s="143"/>
      <c r="Z276" s="143"/>
      <c r="AJ276" s="146"/>
    </row>
    <row r="277" ht="15.75" customHeight="1">
      <c r="M277" s="142"/>
      <c r="N277" s="143"/>
      <c r="O277" s="143"/>
      <c r="P277" s="143"/>
      <c r="Q277" s="143"/>
      <c r="R277" s="144" t="s">
        <v>110</v>
      </c>
      <c r="S277" s="143"/>
      <c r="U277" s="143"/>
      <c r="V277" s="143"/>
      <c r="W277" s="143"/>
      <c r="X277" s="143"/>
      <c r="Y277" s="143"/>
      <c r="Z277" s="143"/>
      <c r="AJ277" s="146"/>
    </row>
    <row r="278" ht="15.75" customHeight="1">
      <c r="M278" s="142"/>
      <c r="N278" s="143"/>
      <c r="O278" s="143"/>
      <c r="P278" s="143"/>
      <c r="Q278" s="143"/>
      <c r="R278" s="144" t="s">
        <v>110</v>
      </c>
      <c r="S278" s="143"/>
      <c r="U278" s="143"/>
      <c r="V278" s="143"/>
      <c r="W278" s="143"/>
      <c r="X278" s="143"/>
      <c r="Y278" s="143"/>
      <c r="Z278" s="143"/>
      <c r="AJ278" s="146"/>
    </row>
    <row r="279" ht="15.75" customHeight="1">
      <c r="M279" s="142"/>
      <c r="N279" s="143"/>
      <c r="O279" s="143"/>
      <c r="P279" s="143"/>
      <c r="Q279" s="143"/>
      <c r="R279" s="144" t="s">
        <v>110</v>
      </c>
      <c r="S279" s="143"/>
      <c r="U279" s="143"/>
      <c r="V279" s="143"/>
      <c r="W279" s="143"/>
      <c r="X279" s="143"/>
      <c r="Y279" s="143"/>
      <c r="Z279" s="143"/>
      <c r="AJ279" s="146"/>
    </row>
    <row r="280" ht="15.75" customHeight="1">
      <c r="M280" s="142"/>
      <c r="N280" s="143"/>
      <c r="O280" s="143"/>
      <c r="P280" s="143"/>
      <c r="Q280" s="143"/>
      <c r="R280" s="144" t="s">
        <v>110</v>
      </c>
      <c r="S280" s="143"/>
      <c r="U280" s="143"/>
      <c r="V280" s="143"/>
      <c r="W280" s="143"/>
      <c r="X280" s="143"/>
      <c r="Y280" s="143"/>
      <c r="Z280" s="143"/>
      <c r="AJ280" s="146"/>
    </row>
    <row r="281" ht="15.75" customHeight="1">
      <c r="M281" s="142"/>
      <c r="N281" s="143"/>
      <c r="O281" s="143"/>
      <c r="P281" s="143"/>
      <c r="Q281" s="143"/>
      <c r="R281" s="144" t="s">
        <v>110</v>
      </c>
      <c r="S281" s="143"/>
      <c r="U281" s="143"/>
      <c r="V281" s="143"/>
      <c r="W281" s="143"/>
      <c r="X281" s="143"/>
      <c r="Y281" s="143"/>
      <c r="Z281" s="143"/>
      <c r="AJ281" s="146"/>
    </row>
    <row r="282" ht="15.75" customHeight="1">
      <c r="M282" s="142"/>
      <c r="N282" s="143"/>
      <c r="O282" s="143"/>
      <c r="P282" s="143"/>
      <c r="Q282" s="143"/>
      <c r="R282" s="144" t="s">
        <v>110</v>
      </c>
      <c r="S282" s="143"/>
      <c r="U282" s="143"/>
      <c r="V282" s="143"/>
      <c r="W282" s="143"/>
      <c r="X282" s="143"/>
      <c r="Y282" s="143"/>
      <c r="Z282" s="143"/>
      <c r="AJ282" s="146"/>
    </row>
    <row r="283" ht="15.75" customHeight="1">
      <c r="M283" s="142"/>
      <c r="N283" s="143"/>
      <c r="O283" s="143"/>
      <c r="P283" s="143"/>
      <c r="Q283" s="143"/>
      <c r="R283" s="144" t="s">
        <v>110</v>
      </c>
      <c r="S283" s="143"/>
      <c r="U283" s="143"/>
      <c r="V283" s="143"/>
      <c r="W283" s="143"/>
      <c r="X283" s="143"/>
      <c r="Y283" s="143"/>
      <c r="Z283" s="143"/>
      <c r="AJ283" s="146"/>
    </row>
    <row r="284" ht="15.75" customHeight="1">
      <c r="M284" s="142"/>
      <c r="N284" s="143"/>
      <c r="O284" s="143"/>
      <c r="P284" s="143"/>
      <c r="Q284" s="143"/>
      <c r="R284" s="144" t="s">
        <v>110</v>
      </c>
      <c r="S284" s="143"/>
      <c r="U284" s="143"/>
      <c r="V284" s="143"/>
      <c r="W284" s="143"/>
      <c r="X284" s="143"/>
      <c r="Y284" s="143"/>
      <c r="Z284" s="143"/>
      <c r="AJ284" s="146"/>
    </row>
    <row r="285" ht="15.75" customHeight="1">
      <c r="M285" s="142"/>
      <c r="N285" s="143"/>
      <c r="O285" s="143"/>
      <c r="P285" s="143"/>
      <c r="Q285" s="143"/>
      <c r="R285" s="144" t="s">
        <v>110</v>
      </c>
      <c r="S285" s="143"/>
      <c r="U285" s="143"/>
      <c r="V285" s="143"/>
      <c r="W285" s="143"/>
      <c r="X285" s="143"/>
      <c r="Y285" s="143"/>
      <c r="Z285" s="143"/>
      <c r="AJ285" s="146"/>
    </row>
    <row r="286" ht="15.75" customHeight="1">
      <c r="M286" s="142"/>
      <c r="N286" s="143"/>
      <c r="O286" s="143"/>
      <c r="P286" s="143"/>
      <c r="Q286" s="143"/>
      <c r="R286" s="144" t="s">
        <v>110</v>
      </c>
      <c r="S286" s="143"/>
      <c r="U286" s="143"/>
      <c r="V286" s="143"/>
      <c r="W286" s="143"/>
      <c r="X286" s="143"/>
      <c r="Y286" s="143"/>
      <c r="Z286" s="143"/>
      <c r="AJ286" s="146"/>
    </row>
    <row r="287" ht="15.75" customHeight="1">
      <c r="M287" s="142"/>
      <c r="N287" s="143"/>
      <c r="O287" s="143"/>
      <c r="P287" s="143"/>
      <c r="Q287" s="143"/>
      <c r="R287" s="144" t="s">
        <v>110</v>
      </c>
      <c r="S287" s="143"/>
      <c r="U287" s="143"/>
      <c r="V287" s="143"/>
      <c r="W287" s="143"/>
      <c r="X287" s="143"/>
      <c r="Y287" s="143"/>
      <c r="Z287" s="143"/>
      <c r="AJ287" s="146"/>
    </row>
    <row r="288" ht="15.75" customHeight="1">
      <c r="M288" s="142"/>
      <c r="N288" s="143"/>
      <c r="O288" s="143"/>
      <c r="P288" s="143"/>
      <c r="Q288" s="143"/>
      <c r="R288" s="144" t="s">
        <v>110</v>
      </c>
      <c r="S288" s="143"/>
      <c r="U288" s="143"/>
      <c r="V288" s="143"/>
      <c r="W288" s="143"/>
      <c r="X288" s="143"/>
      <c r="Y288" s="143"/>
      <c r="Z288" s="143"/>
      <c r="AJ288" s="146"/>
    </row>
    <row r="289" ht="15.75" customHeight="1">
      <c r="M289" s="142"/>
      <c r="N289" s="143"/>
      <c r="O289" s="143"/>
      <c r="P289" s="143"/>
      <c r="Q289" s="143"/>
      <c r="R289" s="144" t="s">
        <v>110</v>
      </c>
      <c r="S289" s="143"/>
      <c r="U289" s="143"/>
      <c r="V289" s="143"/>
      <c r="W289" s="143"/>
      <c r="X289" s="143"/>
      <c r="Y289" s="143"/>
      <c r="Z289" s="143"/>
      <c r="AJ289" s="146"/>
    </row>
    <row r="290" ht="15.75" customHeight="1">
      <c r="M290" s="142"/>
      <c r="N290" s="143"/>
      <c r="O290" s="143"/>
      <c r="P290" s="143"/>
      <c r="Q290" s="143"/>
      <c r="R290" s="144" t="s">
        <v>110</v>
      </c>
      <c r="S290" s="143"/>
      <c r="U290" s="143"/>
      <c r="V290" s="143"/>
      <c r="W290" s="143"/>
      <c r="X290" s="143"/>
      <c r="Y290" s="143"/>
      <c r="Z290" s="143"/>
      <c r="AJ290" s="146"/>
    </row>
    <row r="291" ht="15.75" customHeight="1">
      <c r="M291" s="142"/>
      <c r="N291" s="143"/>
      <c r="O291" s="143"/>
      <c r="P291" s="143"/>
      <c r="Q291" s="143"/>
      <c r="R291" s="144" t="s">
        <v>110</v>
      </c>
      <c r="S291" s="143"/>
      <c r="U291" s="143"/>
      <c r="V291" s="143"/>
      <c r="W291" s="143"/>
      <c r="X291" s="143"/>
      <c r="Y291" s="143"/>
      <c r="Z291" s="143"/>
      <c r="AJ291" s="146"/>
    </row>
    <row r="292" ht="15.75" customHeight="1">
      <c r="M292" s="142"/>
      <c r="N292" s="143"/>
      <c r="O292" s="143"/>
      <c r="P292" s="143"/>
      <c r="Q292" s="143"/>
      <c r="R292" s="144" t="s">
        <v>110</v>
      </c>
      <c r="S292" s="143"/>
      <c r="U292" s="143"/>
      <c r="V292" s="143"/>
      <c r="W292" s="143"/>
      <c r="X292" s="143"/>
      <c r="Y292" s="143"/>
      <c r="Z292" s="143"/>
      <c r="AJ292" s="146"/>
    </row>
    <row r="293" ht="15.75" customHeight="1">
      <c r="M293" s="142"/>
      <c r="N293" s="143"/>
      <c r="O293" s="143"/>
      <c r="P293" s="143"/>
      <c r="Q293" s="143"/>
      <c r="R293" s="144" t="s">
        <v>110</v>
      </c>
      <c r="S293" s="143"/>
      <c r="U293" s="143"/>
      <c r="V293" s="143"/>
      <c r="W293" s="143"/>
      <c r="X293" s="143"/>
      <c r="Y293" s="143"/>
      <c r="Z293" s="143"/>
      <c r="AJ293" s="146"/>
    </row>
    <row r="294" ht="15.75" customHeight="1">
      <c r="M294" s="142"/>
      <c r="N294" s="143"/>
      <c r="O294" s="143"/>
      <c r="P294" s="143"/>
      <c r="Q294" s="143"/>
      <c r="R294" s="144" t="s">
        <v>110</v>
      </c>
      <c r="S294" s="143"/>
      <c r="U294" s="143"/>
      <c r="V294" s="143"/>
      <c r="W294" s="143"/>
      <c r="X294" s="143"/>
      <c r="Y294" s="143"/>
      <c r="Z294" s="143"/>
      <c r="AJ294" s="146"/>
    </row>
    <row r="295" ht="15.75" customHeight="1">
      <c r="M295" s="142"/>
      <c r="N295" s="143"/>
      <c r="O295" s="143"/>
      <c r="P295" s="143"/>
      <c r="Q295" s="143"/>
      <c r="R295" s="144" t="s">
        <v>110</v>
      </c>
      <c r="S295" s="143"/>
      <c r="U295" s="143"/>
      <c r="V295" s="143"/>
      <c r="W295" s="143"/>
      <c r="X295" s="143"/>
      <c r="Y295" s="143"/>
      <c r="Z295" s="143"/>
      <c r="AJ295" s="146"/>
    </row>
    <row r="296" ht="15.75" customHeight="1">
      <c r="M296" s="142"/>
      <c r="N296" s="143"/>
      <c r="O296" s="143"/>
      <c r="P296" s="143"/>
      <c r="Q296" s="143"/>
      <c r="R296" s="144" t="s">
        <v>110</v>
      </c>
      <c r="S296" s="143"/>
      <c r="U296" s="143"/>
      <c r="V296" s="143"/>
      <c r="W296" s="143"/>
      <c r="X296" s="143"/>
      <c r="Y296" s="143"/>
      <c r="Z296" s="143"/>
      <c r="AJ296" s="146"/>
    </row>
    <row r="297" ht="15.75" customHeight="1">
      <c r="M297" s="142"/>
      <c r="N297" s="143"/>
      <c r="O297" s="143"/>
      <c r="P297" s="143"/>
      <c r="Q297" s="143"/>
      <c r="R297" s="144" t="s">
        <v>110</v>
      </c>
      <c r="S297" s="143"/>
      <c r="U297" s="143"/>
      <c r="V297" s="143"/>
      <c r="W297" s="143"/>
      <c r="X297" s="143"/>
      <c r="Y297" s="143"/>
      <c r="Z297" s="143"/>
      <c r="AJ297" s="146"/>
    </row>
    <row r="298" ht="15.75" customHeight="1">
      <c r="M298" s="142"/>
      <c r="N298" s="143"/>
      <c r="O298" s="143"/>
      <c r="P298" s="143"/>
      <c r="Q298" s="143"/>
      <c r="R298" s="144" t="s">
        <v>110</v>
      </c>
      <c r="S298" s="143"/>
      <c r="U298" s="143"/>
      <c r="V298" s="143"/>
      <c r="W298" s="143"/>
      <c r="X298" s="143"/>
      <c r="Y298" s="143"/>
      <c r="Z298" s="143"/>
      <c r="AJ298" s="146"/>
    </row>
    <row r="299" ht="15.75" customHeight="1">
      <c r="M299" s="142"/>
      <c r="N299" s="143"/>
      <c r="O299" s="143"/>
      <c r="P299" s="143"/>
      <c r="Q299" s="143"/>
      <c r="R299" s="144" t="s">
        <v>110</v>
      </c>
      <c r="S299" s="143"/>
      <c r="U299" s="143"/>
      <c r="V299" s="143"/>
      <c r="W299" s="143"/>
      <c r="X299" s="143"/>
      <c r="Y299" s="143"/>
      <c r="Z299" s="143"/>
      <c r="AJ299" s="146"/>
    </row>
    <row r="300" ht="15.75" customHeight="1">
      <c r="M300" s="142"/>
      <c r="N300" s="143"/>
      <c r="O300" s="143"/>
      <c r="P300" s="143"/>
      <c r="Q300" s="143"/>
      <c r="R300" s="144" t="s">
        <v>110</v>
      </c>
      <c r="S300" s="143"/>
      <c r="U300" s="143"/>
      <c r="V300" s="143"/>
      <c r="W300" s="143"/>
      <c r="X300" s="143"/>
      <c r="Y300" s="143"/>
      <c r="Z300" s="143"/>
      <c r="AJ300" s="146"/>
    </row>
    <row r="301" ht="15.75" customHeight="1">
      <c r="M301" s="142"/>
      <c r="N301" s="143"/>
      <c r="O301" s="143"/>
      <c r="P301" s="143"/>
      <c r="Q301" s="143"/>
      <c r="R301" s="144" t="s">
        <v>110</v>
      </c>
      <c r="S301" s="143"/>
      <c r="U301" s="143"/>
      <c r="V301" s="143"/>
      <c r="W301" s="143"/>
      <c r="X301" s="143"/>
      <c r="Y301" s="143"/>
      <c r="Z301" s="143"/>
      <c r="AJ301" s="146"/>
    </row>
    <row r="302" ht="15.75" customHeight="1">
      <c r="M302" s="142"/>
      <c r="N302" s="143"/>
      <c r="O302" s="143"/>
      <c r="P302" s="143"/>
      <c r="Q302" s="143"/>
      <c r="R302" s="144" t="s">
        <v>110</v>
      </c>
      <c r="S302" s="143"/>
      <c r="U302" s="143"/>
      <c r="V302" s="143"/>
      <c r="W302" s="143"/>
      <c r="X302" s="143"/>
      <c r="Y302" s="143"/>
      <c r="Z302" s="143"/>
      <c r="AJ302" s="146"/>
    </row>
    <row r="303" ht="15.75" customHeight="1">
      <c r="M303" s="142"/>
      <c r="N303" s="143"/>
      <c r="O303" s="143"/>
      <c r="P303" s="143"/>
      <c r="Q303" s="143"/>
      <c r="R303" s="144" t="s">
        <v>110</v>
      </c>
      <c r="S303" s="143"/>
      <c r="U303" s="143"/>
      <c r="V303" s="143"/>
      <c r="W303" s="143"/>
      <c r="X303" s="143"/>
      <c r="Y303" s="143"/>
      <c r="Z303" s="143"/>
      <c r="AJ303" s="146"/>
    </row>
    <row r="304" ht="15.75" customHeight="1">
      <c r="M304" s="142"/>
      <c r="N304" s="143"/>
      <c r="O304" s="143"/>
      <c r="P304" s="143"/>
      <c r="Q304" s="143"/>
      <c r="R304" s="144" t="s">
        <v>110</v>
      </c>
      <c r="S304" s="143"/>
      <c r="U304" s="143"/>
      <c r="V304" s="143"/>
      <c r="W304" s="143"/>
      <c r="X304" s="143"/>
      <c r="Y304" s="143"/>
      <c r="Z304" s="143"/>
      <c r="AJ304" s="146"/>
    </row>
    <row r="305" ht="15.75" customHeight="1">
      <c r="M305" s="142"/>
      <c r="N305" s="143"/>
      <c r="O305" s="143"/>
      <c r="P305" s="143"/>
      <c r="Q305" s="143"/>
      <c r="R305" s="144" t="s">
        <v>110</v>
      </c>
      <c r="S305" s="143"/>
      <c r="U305" s="143"/>
      <c r="V305" s="143"/>
      <c r="W305" s="143"/>
      <c r="X305" s="143"/>
      <c r="Y305" s="143"/>
      <c r="Z305" s="143"/>
      <c r="AJ305" s="146"/>
    </row>
    <row r="306" ht="15.75" customHeight="1">
      <c r="M306" s="142"/>
      <c r="N306" s="143"/>
      <c r="O306" s="143"/>
      <c r="P306" s="143"/>
      <c r="Q306" s="143"/>
      <c r="R306" s="144" t="s">
        <v>110</v>
      </c>
      <c r="S306" s="143"/>
      <c r="U306" s="143"/>
      <c r="V306" s="143"/>
      <c r="W306" s="143"/>
      <c r="X306" s="143"/>
      <c r="Y306" s="143"/>
      <c r="Z306" s="143"/>
      <c r="AJ306" s="146"/>
    </row>
    <row r="307" ht="15.75" customHeight="1">
      <c r="M307" s="142"/>
      <c r="N307" s="143"/>
      <c r="O307" s="143"/>
      <c r="P307" s="143"/>
      <c r="Q307" s="143"/>
      <c r="R307" s="144" t="s">
        <v>110</v>
      </c>
      <c r="S307" s="143"/>
      <c r="U307" s="143"/>
      <c r="V307" s="143"/>
      <c r="W307" s="143"/>
      <c r="X307" s="143"/>
      <c r="Y307" s="143"/>
      <c r="Z307" s="143"/>
      <c r="AJ307" s="146"/>
    </row>
    <row r="308" ht="15.75" customHeight="1">
      <c r="M308" s="142"/>
      <c r="N308" s="143"/>
      <c r="O308" s="143"/>
      <c r="P308" s="143"/>
      <c r="Q308" s="143"/>
      <c r="R308" s="144" t="s">
        <v>110</v>
      </c>
      <c r="S308" s="143"/>
      <c r="U308" s="143"/>
      <c r="V308" s="143"/>
      <c r="W308" s="143"/>
      <c r="X308" s="143"/>
      <c r="Y308" s="143"/>
      <c r="Z308" s="143"/>
      <c r="AJ308" s="146"/>
    </row>
    <row r="309" ht="15.75" customHeight="1">
      <c r="M309" s="142"/>
      <c r="N309" s="143"/>
      <c r="O309" s="143"/>
      <c r="P309" s="143"/>
      <c r="Q309" s="143"/>
      <c r="R309" s="144" t="s">
        <v>110</v>
      </c>
      <c r="S309" s="143"/>
      <c r="U309" s="143"/>
      <c r="V309" s="143"/>
      <c r="W309" s="143"/>
      <c r="X309" s="143"/>
      <c r="Y309" s="143"/>
      <c r="Z309" s="143"/>
      <c r="AJ309" s="146"/>
    </row>
    <row r="310" ht="15.75" customHeight="1">
      <c r="M310" s="142"/>
      <c r="N310" s="143"/>
      <c r="O310" s="143"/>
      <c r="P310" s="143"/>
      <c r="Q310" s="143"/>
      <c r="R310" s="144" t="s">
        <v>110</v>
      </c>
      <c r="S310" s="143"/>
      <c r="U310" s="143"/>
      <c r="V310" s="143"/>
      <c r="W310" s="143"/>
      <c r="X310" s="143"/>
      <c r="Y310" s="143"/>
      <c r="Z310" s="143"/>
      <c r="AJ310" s="146"/>
    </row>
    <row r="311" ht="15.75" customHeight="1">
      <c r="M311" s="142"/>
      <c r="N311" s="143"/>
      <c r="O311" s="143"/>
      <c r="P311" s="143"/>
      <c r="Q311" s="143"/>
      <c r="R311" s="144" t="s">
        <v>110</v>
      </c>
      <c r="S311" s="143"/>
      <c r="U311" s="143"/>
      <c r="V311" s="143"/>
      <c r="W311" s="143"/>
      <c r="X311" s="143"/>
      <c r="Y311" s="143"/>
      <c r="Z311" s="143"/>
      <c r="AJ311" s="146"/>
    </row>
    <row r="312" ht="15.75" customHeight="1">
      <c r="M312" s="142"/>
      <c r="N312" s="143"/>
      <c r="O312" s="143"/>
      <c r="P312" s="143"/>
      <c r="Q312" s="143"/>
      <c r="R312" s="144" t="s">
        <v>110</v>
      </c>
      <c r="S312" s="143"/>
      <c r="U312" s="143"/>
      <c r="V312" s="143"/>
      <c r="W312" s="143"/>
      <c r="X312" s="143"/>
      <c r="Y312" s="143"/>
      <c r="Z312" s="143"/>
      <c r="AJ312" s="146"/>
    </row>
    <row r="313" ht="15.75" customHeight="1">
      <c r="M313" s="142"/>
      <c r="N313" s="143"/>
      <c r="O313" s="143"/>
      <c r="P313" s="143"/>
      <c r="Q313" s="143"/>
      <c r="R313" s="144" t="s">
        <v>110</v>
      </c>
      <c r="S313" s="143"/>
      <c r="U313" s="143"/>
      <c r="V313" s="143"/>
      <c r="W313" s="143"/>
      <c r="X313" s="143"/>
      <c r="Y313" s="143"/>
      <c r="Z313" s="143"/>
      <c r="AJ313" s="146"/>
    </row>
    <row r="314" ht="15.75" customHeight="1">
      <c r="M314" s="142"/>
      <c r="N314" s="143"/>
      <c r="O314" s="143"/>
      <c r="P314" s="143"/>
      <c r="Q314" s="143"/>
      <c r="R314" s="144" t="s">
        <v>110</v>
      </c>
      <c r="S314" s="143"/>
      <c r="U314" s="143"/>
      <c r="V314" s="143"/>
      <c r="W314" s="143"/>
      <c r="X314" s="143"/>
      <c r="Y314" s="143"/>
      <c r="Z314" s="143"/>
      <c r="AJ314" s="146"/>
    </row>
    <row r="315" ht="15.75" customHeight="1">
      <c r="M315" s="142"/>
      <c r="N315" s="143"/>
      <c r="O315" s="143"/>
      <c r="P315" s="143"/>
      <c r="Q315" s="143"/>
      <c r="R315" s="144" t="s">
        <v>110</v>
      </c>
      <c r="S315" s="143"/>
      <c r="U315" s="143"/>
      <c r="V315" s="143"/>
      <c r="W315" s="143"/>
      <c r="X315" s="143"/>
      <c r="Y315" s="143"/>
      <c r="Z315" s="143"/>
      <c r="AJ315" s="146"/>
    </row>
    <row r="316" ht="15.75" customHeight="1">
      <c r="M316" s="142"/>
      <c r="N316" s="143"/>
      <c r="O316" s="143"/>
      <c r="P316" s="143"/>
      <c r="Q316" s="143"/>
      <c r="R316" s="144" t="s">
        <v>110</v>
      </c>
      <c r="S316" s="143"/>
      <c r="U316" s="143"/>
      <c r="V316" s="143"/>
      <c r="W316" s="143"/>
      <c r="X316" s="143"/>
      <c r="Y316" s="143"/>
      <c r="Z316" s="143"/>
      <c r="AJ316" s="146"/>
    </row>
    <row r="317" ht="15.75" customHeight="1">
      <c r="M317" s="142"/>
      <c r="N317" s="143"/>
      <c r="O317" s="143"/>
      <c r="P317" s="143"/>
      <c r="Q317" s="143"/>
      <c r="R317" s="144" t="s">
        <v>110</v>
      </c>
      <c r="S317" s="143"/>
      <c r="U317" s="143"/>
      <c r="V317" s="143"/>
      <c r="W317" s="143"/>
      <c r="X317" s="143"/>
      <c r="Y317" s="143"/>
      <c r="Z317" s="143"/>
      <c r="AJ317" s="146"/>
    </row>
    <row r="318" ht="15.75" customHeight="1">
      <c r="M318" s="142"/>
      <c r="N318" s="143"/>
      <c r="O318" s="143"/>
      <c r="P318" s="143"/>
      <c r="Q318" s="143"/>
      <c r="R318" s="144" t="s">
        <v>110</v>
      </c>
      <c r="S318" s="143"/>
      <c r="U318" s="143"/>
      <c r="V318" s="143"/>
      <c r="W318" s="143"/>
      <c r="X318" s="143"/>
      <c r="Y318" s="143"/>
      <c r="Z318" s="143"/>
      <c r="AJ318" s="146"/>
    </row>
    <row r="319" ht="15.75" customHeight="1">
      <c r="M319" s="142"/>
      <c r="N319" s="143"/>
      <c r="O319" s="143"/>
      <c r="P319" s="143"/>
      <c r="Q319" s="143"/>
      <c r="R319" s="144" t="s">
        <v>110</v>
      </c>
      <c r="S319" s="143"/>
      <c r="U319" s="143"/>
      <c r="V319" s="143"/>
      <c r="W319" s="143"/>
      <c r="X319" s="143"/>
      <c r="Y319" s="143"/>
      <c r="Z319" s="143"/>
      <c r="AJ319" s="146"/>
    </row>
    <row r="320" ht="15.75" customHeight="1">
      <c r="M320" s="142"/>
      <c r="N320" s="143"/>
      <c r="O320" s="143"/>
      <c r="P320" s="143"/>
      <c r="Q320" s="143"/>
      <c r="R320" s="144" t="s">
        <v>110</v>
      </c>
      <c r="S320" s="143"/>
      <c r="U320" s="143"/>
      <c r="V320" s="143"/>
      <c r="W320" s="143"/>
      <c r="X320" s="143"/>
      <c r="Y320" s="143"/>
      <c r="Z320" s="143"/>
      <c r="AJ320" s="146"/>
    </row>
    <row r="321" ht="15.75" customHeight="1">
      <c r="M321" s="142"/>
      <c r="N321" s="143"/>
      <c r="O321" s="143"/>
      <c r="P321" s="143"/>
      <c r="Q321" s="143"/>
      <c r="R321" s="144" t="s">
        <v>110</v>
      </c>
      <c r="S321" s="143"/>
      <c r="U321" s="143"/>
      <c r="V321" s="143"/>
      <c r="W321" s="143"/>
      <c r="X321" s="143"/>
      <c r="Y321" s="143"/>
      <c r="Z321" s="143"/>
      <c r="AJ321" s="146"/>
    </row>
    <row r="322" ht="15.75" customHeight="1">
      <c r="M322" s="142"/>
      <c r="N322" s="143"/>
      <c r="O322" s="143"/>
      <c r="P322" s="143"/>
      <c r="Q322" s="143"/>
      <c r="R322" s="144" t="s">
        <v>110</v>
      </c>
      <c r="S322" s="143"/>
      <c r="U322" s="143"/>
      <c r="V322" s="143"/>
      <c r="W322" s="143"/>
      <c r="X322" s="143"/>
      <c r="Y322" s="143"/>
      <c r="Z322" s="143"/>
      <c r="AJ322" s="146"/>
    </row>
    <row r="323" ht="15.75" customHeight="1">
      <c r="M323" s="142"/>
      <c r="N323" s="143"/>
      <c r="O323" s="143"/>
      <c r="P323" s="143"/>
      <c r="Q323" s="143"/>
      <c r="R323" s="144" t="s">
        <v>110</v>
      </c>
      <c r="S323" s="143"/>
      <c r="U323" s="143"/>
      <c r="V323" s="143"/>
      <c r="W323" s="143"/>
      <c r="X323" s="143"/>
      <c r="Y323" s="143"/>
      <c r="Z323" s="143"/>
      <c r="AJ323" s="146"/>
    </row>
    <row r="324" ht="15.75" customHeight="1">
      <c r="M324" s="142"/>
      <c r="N324" s="143"/>
      <c r="O324" s="143"/>
      <c r="P324" s="143"/>
      <c r="Q324" s="143"/>
      <c r="R324" s="144" t="s">
        <v>110</v>
      </c>
      <c r="S324" s="143"/>
      <c r="U324" s="143"/>
      <c r="V324" s="143"/>
      <c r="W324" s="143"/>
      <c r="X324" s="143"/>
      <c r="Y324" s="143"/>
      <c r="Z324" s="143"/>
      <c r="AJ324" s="146"/>
    </row>
    <row r="325" ht="15.75" customHeight="1">
      <c r="M325" s="142"/>
      <c r="N325" s="143"/>
      <c r="O325" s="143"/>
      <c r="P325" s="143"/>
      <c r="Q325" s="143"/>
      <c r="R325" s="144" t="s">
        <v>110</v>
      </c>
      <c r="S325" s="143"/>
      <c r="U325" s="143"/>
      <c r="V325" s="143"/>
      <c r="W325" s="143"/>
      <c r="X325" s="143"/>
      <c r="Y325" s="143"/>
      <c r="Z325" s="143"/>
      <c r="AJ325" s="146"/>
    </row>
    <row r="326" ht="15.75" customHeight="1">
      <c r="M326" s="142"/>
      <c r="N326" s="143"/>
      <c r="O326" s="143"/>
      <c r="P326" s="143"/>
      <c r="Q326" s="143"/>
      <c r="R326" s="144" t="s">
        <v>110</v>
      </c>
      <c r="S326" s="143"/>
      <c r="U326" s="143"/>
      <c r="V326" s="143"/>
      <c r="W326" s="143"/>
      <c r="X326" s="143"/>
      <c r="Y326" s="143"/>
      <c r="Z326" s="143"/>
      <c r="AJ326" s="146"/>
    </row>
    <row r="327" ht="15.75" customHeight="1">
      <c r="M327" s="142"/>
      <c r="N327" s="143"/>
      <c r="O327" s="143"/>
      <c r="P327" s="143"/>
      <c r="Q327" s="143"/>
      <c r="R327" s="144" t="s">
        <v>110</v>
      </c>
      <c r="S327" s="143"/>
      <c r="U327" s="143"/>
      <c r="V327" s="143"/>
      <c r="W327" s="143"/>
      <c r="X327" s="143"/>
      <c r="Y327" s="143"/>
      <c r="Z327" s="143"/>
      <c r="AJ327" s="146"/>
    </row>
    <row r="328" ht="15.75" customHeight="1">
      <c r="M328" s="142"/>
      <c r="N328" s="143"/>
      <c r="O328" s="143"/>
      <c r="P328" s="143"/>
      <c r="Q328" s="143"/>
      <c r="R328" s="144" t="s">
        <v>110</v>
      </c>
      <c r="S328" s="143"/>
      <c r="U328" s="143"/>
      <c r="V328" s="143"/>
      <c r="W328" s="143"/>
      <c r="X328" s="143"/>
      <c r="Y328" s="143"/>
      <c r="Z328" s="143"/>
      <c r="AJ328" s="146"/>
    </row>
    <row r="329" ht="15.75" customHeight="1">
      <c r="M329" s="142"/>
      <c r="N329" s="143"/>
      <c r="O329" s="143"/>
      <c r="P329" s="143"/>
      <c r="Q329" s="143"/>
      <c r="R329" s="144" t="s">
        <v>110</v>
      </c>
      <c r="S329" s="143"/>
      <c r="U329" s="143"/>
      <c r="V329" s="143"/>
      <c r="W329" s="143"/>
      <c r="X329" s="143"/>
      <c r="Y329" s="143"/>
      <c r="Z329" s="143"/>
      <c r="AJ329" s="146"/>
    </row>
    <row r="330" ht="15.75" customHeight="1">
      <c r="M330" s="142"/>
      <c r="N330" s="143"/>
      <c r="O330" s="143"/>
      <c r="P330" s="143"/>
      <c r="Q330" s="143"/>
      <c r="R330" s="144" t="s">
        <v>110</v>
      </c>
      <c r="S330" s="143"/>
      <c r="U330" s="143"/>
      <c r="V330" s="143"/>
      <c r="W330" s="143"/>
      <c r="X330" s="143"/>
      <c r="Y330" s="143"/>
      <c r="Z330" s="143"/>
      <c r="AJ330" s="146"/>
    </row>
    <row r="331" ht="15.75" customHeight="1">
      <c r="M331" s="142"/>
      <c r="N331" s="143"/>
      <c r="O331" s="143"/>
      <c r="P331" s="143"/>
      <c r="Q331" s="143"/>
      <c r="R331" s="144" t="s">
        <v>110</v>
      </c>
      <c r="S331" s="143"/>
      <c r="U331" s="143"/>
      <c r="V331" s="143"/>
      <c r="W331" s="143"/>
      <c r="X331" s="143"/>
      <c r="Y331" s="143"/>
      <c r="Z331" s="143"/>
      <c r="AJ331" s="146"/>
    </row>
    <row r="332" ht="15.75" customHeight="1">
      <c r="M332" s="142"/>
      <c r="N332" s="143"/>
      <c r="O332" s="143"/>
      <c r="P332" s="143"/>
      <c r="Q332" s="143"/>
      <c r="R332" s="144" t="s">
        <v>110</v>
      </c>
      <c r="S332" s="143"/>
      <c r="U332" s="143"/>
      <c r="V332" s="143"/>
      <c r="W332" s="143"/>
      <c r="X332" s="143"/>
      <c r="Y332" s="143"/>
      <c r="Z332" s="143"/>
      <c r="AJ332" s="146"/>
    </row>
    <row r="333" ht="15.75" customHeight="1">
      <c r="M333" s="142"/>
      <c r="N333" s="143"/>
      <c r="O333" s="143"/>
      <c r="P333" s="143"/>
      <c r="Q333" s="143"/>
      <c r="R333" s="144" t="s">
        <v>110</v>
      </c>
      <c r="S333" s="143"/>
      <c r="U333" s="143"/>
      <c r="V333" s="143"/>
      <c r="W333" s="143"/>
      <c r="X333" s="143"/>
      <c r="Y333" s="143"/>
      <c r="Z333" s="143"/>
      <c r="AJ333" s="146"/>
    </row>
    <row r="334" ht="15.75" customHeight="1">
      <c r="M334" s="142"/>
      <c r="N334" s="143"/>
      <c r="O334" s="143"/>
      <c r="P334" s="143"/>
      <c r="Q334" s="143"/>
      <c r="R334" s="144" t="s">
        <v>110</v>
      </c>
      <c r="S334" s="143"/>
      <c r="U334" s="143"/>
      <c r="V334" s="143"/>
      <c r="W334" s="143"/>
      <c r="X334" s="143"/>
      <c r="Y334" s="143"/>
      <c r="Z334" s="143"/>
      <c r="AJ334" s="146"/>
    </row>
    <row r="335" ht="15.75" customHeight="1">
      <c r="M335" s="142"/>
      <c r="N335" s="143"/>
      <c r="O335" s="143"/>
      <c r="P335" s="143"/>
      <c r="Q335" s="143"/>
      <c r="R335" s="144" t="s">
        <v>110</v>
      </c>
      <c r="S335" s="143"/>
      <c r="U335" s="143"/>
      <c r="V335" s="143"/>
      <c r="W335" s="143"/>
      <c r="X335" s="143"/>
      <c r="Y335" s="143"/>
      <c r="Z335" s="143"/>
      <c r="AJ335" s="146"/>
    </row>
    <row r="336" ht="15.75" customHeight="1">
      <c r="M336" s="142"/>
      <c r="N336" s="143"/>
      <c r="O336" s="143"/>
      <c r="P336" s="143"/>
      <c r="Q336" s="143"/>
      <c r="R336" s="144" t="s">
        <v>110</v>
      </c>
      <c r="S336" s="143"/>
      <c r="U336" s="143"/>
      <c r="V336" s="143"/>
      <c r="W336" s="143"/>
      <c r="X336" s="143"/>
      <c r="Y336" s="143"/>
      <c r="Z336" s="143"/>
      <c r="AJ336" s="146"/>
    </row>
    <row r="337" ht="15.75" customHeight="1">
      <c r="M337" s="142"/>
      <c r="N337" s="143"/>
      <c r="O337" s="143"/>
      <c r="P337" s="143"/>
      <c r="Q337" s="143"/>
      <c r="R337" s="144" t="s">
        <v>110</v>
      </c>
      <c r="S337" s="143"/>
      <c r="U337" s="143"/>
      <c r="V337" s="143"/>
      <c r="W337" s="143"/>
      <c r="X337" s="143"/>
      <c r="Y337" s="143"/>
      <c r="Z337" s="143"/>
      <c r="AJ337" s="146"/>
    </row>
    <row r="338" ht="15.75" customHeight="1">
      <c r="M338" s="142"/>
      <c r="N338" s="143"/>
      <c r="O338" s="143"/>
      <c r="P338" s="143"/>
      <c r="Q338" s="143"/>
      <c r="R338" s="144" t="s">
        <v>110</v>
      </c>
      <c r="S338" s="143"/>
      <c r="U338" s="143"/>
      <c r="V338" s="143"/>
      <c r="W338" s="143"/>
      <c r="X338" s="143"/>
      <c r="Y338" s="143"/>
      <c r="Z338" s="143"/>
      <c r="AJ338" s="146"/>
    </row>
    <row r="339" ht="15.75" customHeight="1">
      <c r="M339" s="142"/>
      <c r="N339" s="143"/>
      <c r="O339" s="143"/>
      <c r="P339" s="143"/>
      <c r="Q339" s="143"/>
      <c r="R339" s="144" t="s">
        <v>110</v>
      </c>
      <c r="S339" s="143"/>
      <c r="U339" s="143"/>
      <c r="V339" s="143"/>
      <c r="W339" s="143"/>
      <c r="X339" s="143"/>
      <c r="Y339" s="143"/>
      <c r="Z339" s="143"/>
      <c r="AJ339" s="146"/>
    </row>
    <row r="340" ht="15.75" customHeight="1">
      <c r="M340" s="142"/>
      <c r="N340" s="143"/>
      <c r="O340" s="143"/>
      <c r="P340" s="143"/>
      <c r="Q340" s="143"/>
      <c r="R340" s="144" t="s">
        <v>110</v>
      </c>
      <c r="S340" s="143"/>
      <c r="U340" s="143"/>
      <c r="V340" s="143"/>
      <c r="W340" s="143"/>
      <c r="X340" s="143"/>
      <c r="Y340" s="143"/>
      <c r="Z340" s="143"/>
      <c r="AJ340" s="146"/>
    </row>
    <row r="341" ht="15.75" customHeight="1">
      <c r="M341" s="142"/>
      <c r="N341" s="143"/>
      <c r="O341" s="143"/>
      <c r="P341" s="143"/>
      <c r="Q341" s="143"/>
      <c r="R341" s="144" t="s">
        <v>110</v>
      </c>
      <c r="S341" s="143"/>
      <c r="U341" s="143"/>
      <c r="V341" s="143"/>
      <c r="W341" s="143"/>
      <c r="X341" s="143"/>
      <c r="Y341" s="143"/>
      <c r="Z341" s="143"/>
      <c r="AJ341" s="146"/>
    </row>
    <row r="342" ht="15.75" customHeight="1">
      <c r="M342" s="142"/>
      <c r="N342" s="143"/>
      <c r="O342" s="143"/>
      <c r="P342" s="143"/>
      <c r="Q342" s="143"/>
      <c r="R342" s="144" t="s">
        <v>110</v>
      </c>
      <c r="S342" s="143"/>
      <c r="U342" s="143"/>
      <c r="V342" s="143"/>
      <c r="W342" s="143"/>
      <c r="X342" s="143"/>
      <c r="Y342" s="143"/>
      <c r="Z342" s="143"/>
      <c r="AJ342" s="146"/>
    </row>
    <row r="343" ht="15.75" customHeight="1">
      <c r="M343" s="142"/>
      <c r="N343" s="143"/>
      <c r="O343" s="143"/>
      <c r="P343" s="143"/>
      <c r="Q343" s="143"/>
      <c r="R343" s="144" t="s">
        <v>110</v>
      </c>
      <c r="S343" s="143"/>
      <c r="U343" s="143"/>
      <c r="V343" s="143"/>
      <c r="W343" s="143"/>
      <c r="X343" s="143"/>
      <c r="Y343" s="143"/>
      <c r="Z343" s="143"/>
      <c r="AJ343" s="146"/>
    </row>
    <row r="344" ht="15.75" customHeight="1">
      <c r="M344" s="142"/>
      <c r="N344" s="143"/>
      <c r="O344" s="143"/>
      <c r="P344" s="143"/>
      <c r="Q344" s="143"/>
      <c r="R344" s="144" t="s">
        <v>110</v>
      </c>
      <c r="S344" s="143"/>
      <c r="U344" s="143"/>
      <c r="V344" s="143"/>
      <c r="W344" s="143"/>
      <c r="X344" s="143"/>
      <c r="Y344" s="143"/>
      <c r="Z344" s="143"/>
      <c r="AJ344" s="146"/>
    </row>
    <row r="345" ht="15.75" customHeight="1">
      <c r="M345" s="142"/>
      <c r="N345" s="143"/>
      <c r="O345" s="143"/>
      <c r="P345" s="143"/>
      <c r="Q345" s="143"/>
      <c r="R345" s="144" t="s">
        <v>110</v>
      </c>
      <c r="S345" s="143"/>
      <c r="U345" s="143"/>
      <c r="V345" s="143"/>
      <c r="W345" s="143"/>
      <c r="X345" s="143"/>
      <c r="Y345" s="143"/>
      <c r="Z345" s="143"/>
      <c r="AJ345" s="146"/>
    </row>
    <row r="346" ht="15.75" customHeight="1">
      <c r="M346" s="142"/>
      <c r="N346" s="143"/>
      <c r="O346" s="143"/>
      <c r="P346" s="143"/>
      <c r="Q346" s="143"/>
      <c r="R346" s="144" t="s">
        <v>110</v>
      </c>
      <c r="S346" s="143"/>
      <c r="U346" s="143"/>
      <c r="V346" s="143"/>
      <c r="W346" s="143"/>
      <c r="X346" s="143"/>
      <c r="Y346" s="143"/>
      <c r="Z346" s="143"/>
      <c r="AJ346" s="146"/>
    </row>
    <row r="347" ht="15.75" customHeight="1">
      <c r="M347" s="142"/>
      <c r="N347" s="143"/>
      <c r="O347" s="143"/>
      <c r="P347" s="143"/>
      <c r="Q347" s="143"/>
      <c r="R347" s="144" t="s">
        <v>110</v>
      </c>
      <c r="S347" s="143"/>
      <c r="U347" s="143"/>
      <c r="V347" s="143"/>
      <c r="W347" s="143"/>
      <c r="X347" s="143"/>
      <c r="Y347" s="143"/>
      <c r="Z347" s="143"/>
      <c r="AJ347" s="146"/>
    </row>
    <row r="348" ht="15.75" customHeight="1">
      <c r="M348" s="142"/>
      <c r="N348" s="143"/>
      <c r="O348" s="143"/>
      <c r="P348" s="143"/>
      <c r="Q348" s="143"/>
      <c r="R348" s="144" t="s">
        <v>110</v>
      </c>
      <c r="S348" s="143"/>
      <c r="U348" s="143"/>
      <c r="V348" s="143"/>
      <c r="W348" s="143"/>
      <c r="X348" s="143"/>
      <c r="Y348" s="143"/>
      <c r="Z348" s="143"/>
      <c r="AJ348" s="146"/>
    </row>
    <row r="349" ht="15.75" customHeight="1">
      <c r="M349" s="142"/>
      <c r="N349" s="143"/>
      <c r="O349" s="143"/>
      <c r="P349" s="143"/>
      <c r="Q349" s="143"/>
      <c r="R349" s="144" t="s">
        <v>110</v>
      </c>
      <c r="S349" s="143"/>
      <c r="U349" s="143"/>
      <c r="V349" s="143"/>
      <c r="W349" s="143"/>
      <c r="X349" s="143"/>
      <c r="Y349" s="143"/>
      <c r="Z349" s="143"/>
      <c r="AJ349" s="146"/>
    </row>
    <row r="350" ht="15.75" customHeight="1">
      <c r="M350" s="142"/>
      <c r="N350" s="143"/>
      <c r="O350" s="143"/>
      <c r="P350" s="143"/>
      <c r="Q350" s="143"/>
      <c r="R350" s="144" t="s">
        <v>110</v>
      </c>
      <c r="S350" s="143"/>
      <c r="U350" s="143"/>
      <c r="V350" s="143"/>
      <c r="W350" s="143"/>
      <c r="X350" s="143"/>
      <c r="Y350" s="143"/>
      <c r="Z350" s="143"/>
      <c r="AJ350" s="146"/>
    </row>
    <row r="351" ht="15.75" customHeight="1">
      <c r="M351" s="142"/>
      <c r="N351" s="143"/>
      <c r="O351" s="143"/>
      <c r="P351" s="143"/>
      <c r="Q351" s="143"/>
      <c r="R351" s="144" t="s">
        <v>110</v>
      </c>
      <c r="S351" s="143"/>
      <c r="U351" s="143"/>
      <c r="V351" s="143"/>
      <c r="W351" s="143"/>
      <c r="X351" s="143"/>
      <c r="Y351" s="143"/>
      <c r="Z351" s="143"/>
      <c r="AJ351" s="146"/>
    </row>
    <row r="352" ht="15.75" customHeight="1">
      <c r="M352" s="142"/>
      <c r="N352" s="143"/>
      <c r="O352" s="143"/>
      <c r="P352" s="143"/>
      <c r="Q352" s="143"/>
      <c r="R352" s="144" t="s">
        <v>110</v>
      </c>
      <c r="S352" s="143"/>
      <c r="U352" s="143"/>
      <c r="V352" s="143"/>
      <c r="W352" s="143"/>
      <c r="X352" s="143"/>
      <c r="Y352" s="143"/>
      <c r="Z352" s="143"/>
      <c r="AJ352" s="146"/>
    </row>
    <row r="353" ht="15.75" customHeight="1">
      <c r="M353" s="142"/>
      <c r="N353" s="143"/>
      <c r="O353" s="143"/>
      <c r="P353" s="143"/>
      <c r="Q353" s="143"/>
      <c r="R353" s="144" t="s">
        <v>110</v>
      </c>
      <c r="S353" s="143"/>
      <c r="U353" s="143"/>
      <c r="V353" s="143"/>
      <c r="W353" s="143"/>
      <c r="X353" s="143"/>
      <c r="Y353" s="143"/>
      <c r="Z353" s="143"/>
      <c r="AJ353" s="146"/>
    </row>
    <row r="354" ht="15.75" customHeight="1">
      <c r="M354" s="142"/>
      <c r="N354" s="143"/>
      <c r="O354" s="143"/>
      <c r="P354" s="143"/>
      <c r="Q354" s="143"/>
      <c r="R354" s="144" t="s">
        <v>110</v>
      </c>
      <c r="S354" s="143"/>
      <c r="U354" s="143"/>
      <c r="V354" s="143"/>
      <c r="W354" s="143"/>
      <c r="X354" s="143"/>
      <c r="Y354" s="143"/>
      <c r="Z354" s="143"/>
      <c r="AJ354" s="146"/>
    </row>
    <row r="355" ht="15.75" customHeight="1">
      <c r="M355" s="142"/>
      <c r="N355" s="143"/>
      <c r="O355" s="143"/>
      <c r="P355" s="143"/>
      <c r="Q355" s="143"/>
      <c r="R355" s="144" t="s">
        <v>110</v>
      </c>
      <c r="S355" s="143"/>
      <c r="U355" s="143"/>
      <c r="V355" s="143"/>
      <c r="W355" s="143"/>
      <c r="X355" s="143"/>
      <c r="Y355" s="143"/>
      <c r="Z355" s="143"/>
      <c r="AJ355" s="146"/>
    </row>
    <row r="356" ht="15.75" customHeight="1">
      <c r="M356" s="142"/>
      <c r="N356" s="143"/>
      <c r="O356" s="143"/>
      <c r="P356" s="143"/>
      <c r="Q356" s="143"/>
      <c r="R356" s="144" t="s">
        <v>110</v>
      </c>
      <c r="S356" s="143"/>
      <c r="U356" s="143"/>
      <c r="V356" s="143"/>
      <c r="W356" s="143"/>
      <c r="X356" s="143"/>
      <c r="Y356" s="143"/>
      <c r="Z356" s="143"/>
      <c r="AJ356" s="146"/>
    </row>
    <row r="357" ht="15.75" customHeight="1">
      <c r="M357" s="142"/>
      <c r="N357" s="143"/>
      <c r="O357" s="143"/>
      <c r="P357" s="143"/>
      <c r="Q357" s="143"/>
      <c r="R357" s="144" t="s">
        <v>110</v>
      </c>
      <c r="S357" s="143"/>
      <c r="U357" s="143"/>
      <c r="V357" s="143"/>
      <c r="W357" s="143"/>
      <c r="X357" s="143"/>
      <c r="Y357" s="143"/>
      <c r="Z357" s="143"/>
      <c r="AJ357" s="146"/>
    </row>
    <row r="358" ht="15.75" customHeight="1">
      <c r="M358" s="142"/>
      <c r="N358" s="143"/>
      <c r="O358" s="143"/>
      <c r="P358" s="143"/>
      <c r="Q358" s="143"/>
      <c r="R358" s="144" t="s">
        <v>110</v>
      </c>
      <c r="S358" s="143"/>
      <c r="U358" s="143"/>
      <c r="V358" s="143"/>
      <c r="W358" s="143"/>
      <c r="X358" s="143"/>
      <c r="Y358" s="143"/>
      <c r="Z358" s="143"/>
      <c r="AJ358" s="146"/>
    </row>
    <row r="359" ht="15.75" customHeight="1">
      <c r="M359" s="142"/>
      <c r="N359" s="143"/>
      <c r="O359" s="143"/>
      <c r="P359" s="143"/>
      <c r="Q359" s="143"/>
      <c r="R359" s="144" t="s">
        <v>110</v>
      </c>
      <c r="S359" s="143"/>
      <c r="U359" s="143"/>
      <c r="V359" s="143"/>
      <c r="W359" s="143"/>
      <c r="X359" s="143"/>
      <c r="Y359" s="143"/>
      <c r="Z359" s="143"/>
      <c r="AJ359" s="146"/>
    </row>
    <row r="360" ht="15.75" customHeight="1">
      <c r="M360" s="142"/>
      <c r="N360" s="143"/>
      <c r="O360" s="143"/>
      <c r="P360" s="143"/>
      <c r="Q360" s="143"/>
      <c r="R360" s="144" t="s">
        <v>110</v>
      </c>
      <c r="S360" s="143"/>
      <c r="U360" s="143"/>
      <c r="V360" s="143"/>
      <c r="W360" s="143"/>
      <c r="X360" s="143"/>
      <c r="Y360" s="143"/>
      <c r="Z360" s="143"/>
      <c r="AJ360" s="146"/>
    </row>
    <row r="361" ht="15.75" customHeight="1">
      <c r="M361" s="142"/>
      <c r="N361" s="143"/>
      <c r="O361" s="143"/>
      <c r="P361" s="143"/>
      <c r="Q361" s="143"/>
      <c r="R361" s="144" t="s">
        <v>110</v>
      </c>
      <c r="S361" s="143"/>
      <c r="U361" s="143"/>
      <c r="V361" s="143"/>
      <c r="W361" s="143"/>
      <c r="X361" s="143"/>
      <c r="Y361" s="143"/>
      <c r="Z361" s="143"/>
      <c r="AJ361" s="146"/>
    </row>
    <row r="362" ht="15.75" customHeight="1">
      <c r="M362" s="142"/>
      <c r="N362" s="143"/>
      <c r="O362" s="143"/>
      <c r="P362" s="143"/>
      <c r="Q362" s="143"/>
      <c r="R362" s="144" t="s">
        <v>110</v>
      </c>
      <c r="S362" s="143"/>
      <c r="U362" s="143"/>
      <c r="V362" s="143"/>
      <c r="W362" s="143"/>
      <c r="X362" s="143"/>
      <c r="Y362" s="143"/>
      <c r="Z362" s="143"/>
      <c r="AJ362" s="146"/>
    </row>
    <row r="363" ht="15.75" customHeight="1">
      <c r="M363" s="142"/>
      <c r="N363" s="143"/>
      <c r="O363" s="143"/>
      <c r="P363" s="143"/>
      <c r="Q363" s="143"/>
      <c r="R363" s="144" t="s">
        <v>110</v>
      </c>
      <c r="S363" s="143"/>
      <c r="U363" s="143"/>
      <c r="V363" s="143"/>
      <c r="W363" s="143"/>
      <c r="X363" s="143"/>
      <c r="Y363" s="143"/>
      <c r="Z363" s="143"/>
      <c r="AJ363" s="146"/>
    </row>
    <row r="364" ht="15.75" customHeight="1">
      <c r="M364" s="142"/>
      <c r="N364" s="143"/>
      <c r="O364" s="143"/>
      <c r="P364" s="143"/>
      <c r="Q364" s="143"/>
      <c r="R364" s="144" t="s">
        <v>110</v>
      </c>
      <c r="S364" s="143"/>
      <c r="U364" s="143"/>
      <c r="V364" s="143"/>
      <c r="W364" s="143"/>
      <c r="X364" s="143"/>
      <c r="Y364" s="143"/>
      <c r="Z364" s="143"/>
      <c r="AJ364" s="146"/>
    </row>
    <row r="365" ht="15.75" customHeight="1">
      <c r="M365" s="142"/>
      <c r="N365" s="143"/>
      <c r="O365" s="143"/>
      <c r="P365" s="143"/>
      <c r="Q365" s="143"/>
      <c r="R365" s="144" t="s">
        <v>110</v>
      </c>
      <c r="S365" s="143"/>
      <c r="U365" s="143"/>
      <c r="V365" s="143"/>
      <c r="W365" s="143"/>
      <c r="X365" s="143"/>
      <c r="Y365" s="143"/>
      <c r="Z365" s="143"/>
      <c r="AJ365" s="146"/>
    </row>
    <row r="366" ht="15.75" customHeight="1">
      <c r="M366" s="142"/>
      <c r="N366" s="143"/>
      <c r="O366" s="143"/>
      <c r="P366" s="143"/>
      <c r="Q366" s="143"/>
      <c r="R366" s="144" t="s">
        <v>110</v>
      </c>
      <c r="S366" s="143"/>
      <c r="U366" s="143"/>
      <c r="V366" s="143"/>
      <c r="W366" s="143"/>
      <c r="X366" s="143"/>
      <c r="Y366" s="143"/>
      <c r="Z366" s="143"/>
      <c r="AJ366" s="146"/>
    </row>
    <row r="367" ht="15.75" customHeight="1">
      <c r="M367" s="142"/>
      <c r="N367" s="143"/>
      <c r="O367" s="143"/>
      <c r="P367" s="143"/>
      <c r="Q367" s="143"/>
      <c r="R367" s="144" t="s">
        <v>110</v>
      </c>
      <c r="S367" s="143"/>
      <c r="U367" s="143"/>
      <c r="V367" s="143"/>
      <c r="W367" s="143"/>
      <c r="X367" s="143"/>
      <c r="Y367" s="143"/>
      <c r="Z367" s="143"/>
      <c r="AJ367" s="146"/>
    </row>
    <row r="368" ht="15.75" customHeight="1">
      <c r="M368" s="142"/>
      <c r="N368" s="143"/>
      <c r="O368" s="143"/>
      <c r="P368" s="143"/>
      <c r="Q368" s="143"/>
      <c r="R368" s="144" t="s">
        <v>110</v>
      </c>
      <c r="S368" s="143"/>
      <c r="U368" s="143"/>
      <c r="V368" s="143"/>
      <c r="W368" s="143"/>
      <c r="X368" s="143"/>
      <c r="Y368" s="143"/>
      <c r="Z368" s="143"/>
      <c r="AJ368" s="146"/>
    </row>
    <row r="369" ht="15.75" customHeight="1">
      <c r="M369" s="142"/>
      <c r="N369" s="143"/>
      <c r="O369" s="143"/>
      <c r="P369" s="143"/>
      <c r="Q369" s="143"/>
      <c r="R369" s="144" t="s">
        <v>110</v>
      </c>
      <c r="S369" s="143"/>
      <c r="U369" s="143"/>
      <c r="V369" s="143"/>
      <c r="W369" s="143"/>
      <c r="X369" s="143"/>
      <c r="Y369" s="143"/>
      <c r="Z369" s="143"/>
      <c r="AJ369" s="146"/>
    </row>
    <row r="370" ht="15.75" customHeight="1">
      <c r="M370" s="142"/>
      <c r="N370" s="143"/>
      <c r="O370" s="143"/>
      <c r="P370" s="143"/>
      <c r="Q370" s="143"/>
      <c r="R370" s="144" t="s">
        <v>110</v>
      </c>
      <c r="S370" s="143"/>
      <c r="U370" s="143"/>
      <c r="V370" s="143"/>
      <c r="W370" s="143"/>
      <c r="X370" s="143"/>
      <c r="Y370" s="143"/>
      <c r="Z370" s="143"/>
      <c r="AJ370" s="146"/>
    </row>
    <row r="371" ht="15.75" customHeight="1">
      <c r="M371" s="142"/>
      <c r="N371" s="143"/>
      <c r="O371" s="143"/>
      <c r="P371" s="143"/>
      <c r="Q371" s="143"/>
      <c r="R371" s="144" t="s">
        <v>110</v>
      </c>
      <c r="S371" s="143"/>
      <c r="U371" s="143"/>
      <c r="V371" s="143"/>
      <c r="W371" s="143"/>
      <c r="X371" s="143"/>
      <c r="Y371" s="143"/>
      <c r="Z371" s="143"/>
      <c r="AJ371" s="146"/>
    </row>
    <row r="372" ht="15.75" customHeight="1">
      <c r="M372" s="142"/>
      <c r="N372" s="143"/>
      <c r="O372" s="143"/>
      <c r="P372" s="143"/>
      <c r="Q372" s="143"/>
      <c r="R372" s="144" t="s">
        <v>110</v>
      </c>
      <c r="S372" s="143"/>
      <c r="U372" s="143"/>
      <c r="V372" s="143"/>
      <c r="W372" s="143"/>
      <c r="X372" s="143"/>
      <c r="Y372" s="143"/>
      <c r="Z372" s="143"/>
      <c r="AJ372" s="146"/>
    </row>
    <row r="373" ht="15.75" customHeight="1">
      <c r="M373" s="142"/>
      <c r="N373" s="143"/>
      <c r="O373" s="143"/>
      <c r="P373" s="143"/>
      <c r="Q373" s="143"/>
      <c r="R373" s="144" t="s">
        <v>110</v>
      </c>
      <c r="S373" s="143"/>
      <c r="U373" s="143"/>
      <c r="V373" s="143"/>
      <c r="W373" s="143"/>
      <c r="X373" s="143"/>
      <c r="Y373" s="143"/>
      <c r="Z373" s="143"/>
      <c r="AJ373" s="146"/>
    </row>
    <row r="374" ht="15.75" customHeight="1">
      <c r="M374" s="142"/>
      <c r="N374" s="143"/>
      <c r="O374" s="143"/>
      <c r="P374" s="143"/>
      <c r="Q374" s="143"/>
      <c r="R374" s="144" t="s">
        <v>110</v>
      </c>
      <c r="S374" s="143"/>
      <c r="U374" s="143"/>
      <c r="V374" s="143"/>
      <c r="W374" s="143"/>
      <c r="X374" s="143"/>
      <c r="Y374" s="143"/>
      <c r="Z374" s="143"/>
      <c r="AJ374" s="146"/>
    </row>
    <row r="375" ht="15.75" customHeight="1">
      <c r="M375" s="142"/>
      <c r="N375" s="143"/>
      <c r="O375" s="143"/>
      <c r="P375" s="143"/>
      <c r="Q375" s="143"/>
      <c r="R375" s="144" t="s">
        <v>110</v>
      </c>
      <c r="S375" s="143"/>
      <c r="U375" s="143"/>
      <c r="V375" s="143"/>
      <c r="W375" s="143"/>
      <c r="X375" s="143"/>
      <c r="Y375" s="143"/>
      <c r="Z375" s="143"/>
      <c r="AJ375" s="146"/>
    </row>
    <row r="376" ht="15.75" customHeight="1">
      <c r="M376" s="142"/>
      <c r="N376" s="143"/>
      <c r="O376" s="143"/>
      <c r="P376" s="143"/>
      <c r="Q376" s="143"/>
      <c r="R376" s="144" t="s">
        <v>110</v>
      </c>
      <c r="S376" s="143"/>
      <c r="U376" s="143"/>
      <c r="V376" s="143"/>
      <c r="W376" s="143"/>
      <c r="X376" s="143"/>
      <c r="Y376" s="143"/>
      <c r="Z376" s="143"/>
      <c r="AJ376" s="146"/>
    </row>
    <row r="377" ht="15.75" customHeight="1">
      <c r="M377" s="142"/>
      <c r="N377" s="143"/>
      <c r="O377" s="143"/>
      <c r="P377" s="143"/>
      <c r="Q377" s="143"/>
      <c r="R377" s="144" t="s">
        <v>110</v>
      </c>
      <c r="S377" s="143"/>
      <c r="U377" s="143"/>
      <c r="V377" s="143"/>
      <c r="W377" s="143"/>
      <c r="X377" s="143"/>
      <c r="Y377" s="143"/>
      <c r="Z377" s="143"/>
      <c r="AJ377" s="146"/>
    </row>
    <row r="378" ht="15.75" customHeight="1">
      <c r="M378" s="142"/>
      <c r="N378" s="143"/>
      <c r="O378" s="143"/>
      <c r="P378" s="143"/>
      <c r="Q378" s="143"/>
      <c r="R378" s="144" t="s">
        <v>110</v>
      </c>
      <c r="S378" s="143"/>
      <c r="U378" s="143"/>
      <c r="V378" s="143"/>
      <c r="W378" s="143"/>
      <c r="X378" s="143"/>
      <c r="Y378" s="143"/>
      <c r="Z378" s="143"/>
      <c r="AJ378" s="146"/>
    </row>
    <row r="379" ht="15.75" customHeight="1">
      <c r="M379" s="142"/>
      <c r="N379" s="143"/>
      <c r="O379" s="143"/>
      <c r="P379" s="143"/>
      <c r="Q379" s="143"/>
      <c r="R379" s="144" t="s">
        <v>110</v>
      </c>
      <c r="S379" s="143"/>
      <c r="U379" s="143"/>
      <c r="V379" s="143"/>
      <c r="W379" s="143"/>
      <c r="X379" s="143"/>
      <c r="Y379" s="143"/>
      <c r="Z379" s="143"/>
      <c r="AJ379" s="146"/>
    </row>
    <row r="380" ht="15.75" customHeight="1">
      <c r="M380" s="142"/>
      <c r="N380" s="143"/>
      <c r="O380" s="143"/>
      <c r="P380" s="143"/>
      <c r="Q380" s="143"/>
      <c r="R380" s="144" t="s">
        <v>110</v>
      </c>
      <c r="S380" s="143"/>
      <c r="U380" s="143"/>
      <c r="V380" s="143"/>
      <c r="W380" s="143"/>
      <c r="X380" s="143"/>
      <c r="Y380" s="143"/>
      <c r="Z380" s="143"/>
      <c r="AJ380" s="146"/>
    </row>
    <row r="381" ht="15.75" customHeight="1">
      <c r="M381" s="142"/>
      <c r="N381" s="143"/>
      <c r="O381" s="143"/>
      <c r="P381" s="143"/>
      <c r="Q381" s="143"/>
      <c r="R381" s="144" t="s">
        <v>110</v>
      </c>
      <c r="S381" s="143"/>
      <c r="U381" s="143"/>
      <c r="V381" s="143"/>
      <c r="W381" s="143"/>
      <c r="X381" s="143"/>
      <c r="Y381" s="143"/>
      <c r="Z381" s="143"/>
      <c r="AJ381" s="146"/>
    </row>
    <row r="382" ht="15.75" customHeight="1">
      <c r="M382" s="142"/>
      <c r="N382" s="143"/>
      <c r="O382" s="143"/>
      <c r="P382" s="143"/>
      <c r="Q382" s="143"/>
      <c r="R382" s="144" t="s">
        <v>110</v>
      </c>
      <c r="S382" s="143"/>
      <c r="U382" s="143"/>
      <c r="V382" s="143"/>
      <c r="W382" s="143"/>
      <c r="X382" s="143"/>
      <c r="Y382" s="143"/>
      <c r="Z382" s="143"/>
      <c r="AJ382" s="146"/>
    </row>
    <row r="383" ht="15.75" customHeight="1">
      <c r="M383" s="142"/>
      <c r="N383" s="143"/>
      <c r="O383" s="143"/>
      <c r="P383" s="143"/>
      <c r="Q383" s="143"/>
      <c r="R383" s="144" t="s">
        <v>110</v>
      </c>
      <c r="S383" s="143"/>
      <c r="U383" s="143"/>
      <c r="V383" s="143"/>
      <c r="W383" s="143"/>
      <c r="X383" s="143"/>
      <c r="Y383" s="143"/>
      <c r="Z383" s="143"/>
      <c r="AJ383" s="146"/>
    </row>
    <row r="384" ht="15.75" customHeight="1">
      <c r="M384" s="142"/>
      <c r="N384" s="143"/>
      <c r="O384" s="143"/>
      <c r="P384" s="143"/>
      <c r="Q384" s="143"/>
      <c r="R384" s="144" t="s">
        <v>110</v>
      </c>
      <c r="S384" s="143"/>
      <c r="U384" s="143"/>
      <c r="V384" s="143"/>
      <c r="W384" s="143"/>
      <c r="X384" s="143"/>
      <c r="Y384" s="143"/>
      <c r="Z384" s="143"/>
      <c r="AJ384" s="146"/>
    </row>
    <row r="385" ht="15.75" customHeight="1">
      <c r="M385" s="142"/>
      <c r="N385" s="143"/>
      <c r="O385" s="143"/>
      <c r="P385" s="143"/>
      <c r="Q385" s="143"/>
      <c r="R385" s="144" t="s">
        <v>110</v>
      </c>
      <c r="S385" s="143"/>
      <c r="U385" s="143"/>
      <c r="V385" s="143"/>
      <c r="W385" s="143"/>
      <c r="X385" s="143"/>
      <c r="Y385" s="143"/>
      <c r="Z385" s="143"/>
      <c r="AJ385" s="146"/>
    </row>
    <row r="386" ht="15.75" customHeight="1">
      <c r="M386" s="142"/>
      <c r="N386" s="143"/>
      <c r="O386" s="143"/>
      <c r="P386" s="143"/>
      <c r="Q386" s="143"/>
      <c r="R386" s="144" t="s">
        <v>110</v>
      </c>
      <c r="S386" s="143"/>
      <c r="U386" s="143"/>
      <c r="V386" s="143"/>
      <c r="W386" s="143"/>
      <c r="X386" s="143"/>
      <c r="Y386" s="143"/>
      <c r="Z386" s="143"/>
      <c r="AJ386" s="146"/>
    </row>
    <row r="387" ht="15.75" customHeight="1">
      <c r="M387" s="142"/>
      <c r="N387" s="143"/>
      <c r="O387" s="143"/>
      <c r="P387" s="143"/>
      <c r="Q387" s="143"/>
      <c r="R387" s="144" t="s">
        <v>110</v>
      </c>
      <c r="S387" s="143"/>
      <c r="U387" s="143"/>
      <c r="V387" s="143"/>
      <c r="W387" s="143"/>
      <c r="X387" s="143"/>
      <c r="Y387" s="143"/>
      <c r="Z387" s="143"/>
      <c r="AJ387" s="146"/>
    </row>
    <row r="388" ht="15.75" customHeight="1">
      <c r="M388" s="142"/>
      <c r="N388" s="143"/>
      <c r="O388" s="143"/>
      <c r="P388" s="143"/>
      <c r="Q388" s="143"/>
      <c r="R388" s="144" t="s">
        <v>110</v>
      </c>
      <c r="S388" s="143"/>
      <c r="U388" s="143"/>
      <c r="V388" s="143"/>
      <c r="W388" s="143"/>
      <c r="X388" s="143"/>
      <c r="Y388" s="143"/>
      <c r="Z388" s="143"/>
      <c r="AJ388" s="146"/>
    </row>
    <row r="389" ht="15.75" customHeight="1">
      <c r="M389" s="142"/>
      <c r="N389" s="143"/>
      <c r="O389" s="143"/>
      <c r="P389" s="143"/>
      <c r="Q389" s="143"/>
      <c r="R389" s="144" t="s">
        <v>110</v>
      </c>
      <c r="S389" s="143"/>
      <c r="U389" s="143"/>
      <c r="V389" s="143"/>
      <c r="W389" s="143"/>
      <c r="X389" s="143"/>
      <c r="Y389" s="143"/>
      <c r="Z389" s="143"/>
      <c r="AJ389" s="146"/>
    </row>
    <row r="390" ht="15.75" customHeight="1">
      <c r="M390" s="142"/>
      <c r="N390" s="143"/>
      <c r="O390" s="143"/>
      <c r="P390" s="143"/>
      <c r="Q390" s="143"/>
      <c r="R390" s="144" t="s">
        <v>110</v>
      </c>
      <c r="S390" s="143"/>
      <c r="U390" s="143"/>
      <c r="V390" s="143"/>
      <c r="W390" s="143"/>
      <c r="X390" s="143"/>
      <c r="Y390" s="143"/>
      <c r="Z390" s="143"/>
      <c r="AJ390" s="146"/>
    </row>
    <row r="391" ht="15.75" customHeight="1">
      <c r="M391" s="142"/>
      <c r="N391" s="143"/>
      <c r="O391" s="143"/>
      <c r="P391" s="143"/>
      <c r="Q391" s="143"/>
      <c r="R391" s="144" t="s">
        <v>110</v>
      </c>
      <c r="S391" s="143"/>
      <c r="U391" s="143"/>
      <c r="V391" s="143"/>
      <c r="W391" s="143"/>
      <c r="X391" s="143"/>
      <c r="Y391" s="143"/>
      <c r="Z391" s="143"/>
      <c r="AJ391" s="146"/>
    </row>
    <row r="392" ht="15.75" customHeight="1">
      <c r="M392" s="142"/>
      <c r="N392" s="143"/>
      <c r="O392" s="143"/>
      <c r="P392" s="143"/>
      <c r="Q392" s="143"/>
      <c r="R392" s="144" t="s">
        <v>110</v>
      </c>
      <c r="S392" s="143"/>
      <c r="U392" s="143"/>
      <c r="V392" s="143"/>
      <c r="W392" s="143"/>
      <c r="X392" s="143"/>
      <c r="Y392" s="143"/>
      <c r="Z392" s="143"/>
      <c r="AJ392" s="146"/>
    </row>
    <row r="393" ht="15.75" customHeight="1">
      <c r="M393" s="142"/>
      <c r="N393" s="143"/>
      <c r="O393" s="143"/>
      <c r="P393" s="143"/>
      <c r="Q393" s="143"/>
      <c r="R393" s="144" t="s">
        <v>110</v>
      </c>
      <c r="S393" s="143"/>
      <c r="U393" s="143"/>
      <c r="V393" s="143"/>
      <c r="W393" s="143"/>
      <c r="X393" s="143"/>
      <c r="Y393" s="143"/>
      <c r="Z393" s="143"/>
      <c r="AJ393" s="146"/>
    </row>
    <row r="394" ht="15.75" customHeight="1">
      <c r="M394" s="142"/>
      <c r="N394" s="143"/>
      <c r="O394" s="143"/>
      <c r="P394" s="143"/>
      <c r="Q394" s="143"/>
      <c r="R394" s="144" t="s">
        <v>110</v>
      </c>
      <c r="S394" s="143"/>
      <c r="U394" s="143"/>
      <c r="V394" s="143"/>
      <c r="W394" s="143"/>
      <c r="X394" s="143"/>
      <c r="Y394" s="143"/>
      <c r="Z394" s="143"/>
      <c r="AJ394" s="146"/>
    </row>
    <row r="395" ht="15.75" customHeight="1">
      <c r="M395" s="142"/>
      <c r="N395" s="143"/>
      <c r="O395" s="143"/>
      <c r="P395" s="143"/>
      <c r="Q395" s="143"/>
      <c r="R395" s="144" t="s">
        <v>110</v>
      </c>
      <c r="S395" s="143"/>
      <c r="U395" s="143"/>
      <c r="V395" s="143"/>
      <c r="W395" s="143"/>
      <c r="X395" s="143"/>
      <c r="Y395" s="143"/>
      <c r="Z395" s="143"/>
      <c r="AJ395" s="146"/>
    </row>
    <row r="396" ht="15.75" customHeight="1">
      <c r="M396" s="142"/>
      <c r="N396" s="143"/>
      <c r="O396" s="143"/>
      <c r="P396" s="143"/>
      <c r="Q396" s="143"/>
      <c r="R396" s="144" t="s">
        <v>110</v>
      </c>
      <c r="S396" s="143"/>
      <c r="U396" s="143"/>
      <c r="V396" s="143"/>
      <c r="W396" s="143"/>
      <c r="X396" s="143"/>
      <c r="Y396" s="143"/>
      <c r="Z396" s="143"/>
      <c r="AJ396" s="146"/>
    </row>
    <row r="397" ht="15.75" customHeight="1">
      <c r="M397" s="142"/>
      <c r="N397" s="143"/>
      <c r="O397" s="143"/>
      <c r="P397" s="143"/>
      <c r="Q397" s="143"/>
      <c r="R397" s="144" t="s">
        <v>110</v>
      </c>
      <c r="S397" s="143"/>
      <c r="U397" s="143"/>
      <c r="V397" s="143"/>
      <c r="W397" s="143"/>
      <c r="X397" s="143"/>
      <c r="Y397" s="143"/>
      <c r="Z397" s="143"/>
      <c r="AJ397" s="146"/>
    </row>
    <row r="398" ht="15.75" customHeight="1">
      <c r="M398" s="142"/>
      <c r="N398" s="143"/>
      <c r="O398" s="143"/>
      <c r="P398" s="143"/>
      <c r="Q398" s="143"/>
      <c r="R398" s="144" t="s">
        <v>110</v>
      </c>
      <c r="S398" s="143"/>
      <c r="U398" s="143"/>
      <c r="V398" s="143"/>
      <c r="W398" s="143"/>
      <c r="X398" s="143"/>
      <c r="Y398" s="143"/>
      <c r="Z398" s="143"/>
      <c r="AJ398" s="146"/>
    </row>
    <row r="399" ht="15.75" customHeight="1">
      <c r="M399" s="142"/>
      <c r="N399" s="143"/>
      <c r="O399" s="143"/>
      <c r="P399" s="143"/>
      <c r="Q399" s="143"/>
      <c r="R399" s="144" t="s">
        <v>110</v>
      </c>
      <c r="S399" s="143"/>
      <c r="U399" s="143"/>
      <c r="V399" s="143"/>
      <c r="W399" s="143"/>
      <c r="X399" s="143"/>
      <c r="Y399" s="143"/>
      <c r="Z399" s="143"/>
      <c r="AJ399" s="146"/>
    </row>
    <row r="400" ht="15.75" customHeight="1">
      <c r="M400" s="142"/>
      <c r="N400" s="143"/>
      <c r="O400" s="143"/>
      <c r="P400" s="143"/>
      <c r="Q400" s="143"/>
      <c r="R400" s="144" t="s">
        <v>110</v>
      </c>
      <c r="S400" s="143"/>
      <c r="U400" s="143"/>
      <c r="V400" s="143"/>
      <c r="W400" s="143"/>
      <c r="X400" s="143"/>
      <c r="Y400" s="143"/>
      <c r="Z400" s="143"/>
      <c r="AJ400" s="146"/>
    </row>
    <row r="401" ht="15.75" customHeight="1">
      <c r="M401" s="142"/>
      <c r="N401" s="143"/>
      <c r="O401" s="143"/>
      <c r="P401" s="143"/>
      <c r="Q401" s="143"/>
      <c r="R401" s="144" t="s">
        <v>110</v>
      </c>
      <c r="S401" s="143"/>
      <c r="U401" s="143"/>
      <c r="V401" s="143"/>
      <c r="W401" s="143"/>
      <c r="X401" s="143"/>
      <c r="Y401" s="143"/>
      <c r="Z401" s="143"/>
      <c r="AJ401" s="146"/>
    </row>
    <row r="402" ht="15.75" customHeight="1">
      <c r="M402" s="142"/>
      <c r="N402" s="143"/>
      <c r="O402" s="143"/>
      <c r="P402" s="143"/>
      <c r="Q402" s="143"/>
      <c r="R402" s="144" t="s">
        <v>110</v>
      </c>
      <c r="S402" s="143"/>
      <c r="U402" s="143"/>
      <c r="V402" s="143"/>
      <c r="W402" s="143"/>
      <c r="X402" s="143"/>
      <c r="Y402" s="143"/>
      <c r="Z402" s="143"/>
      <c r="AJ402" s="146"/>
    </row>
    <row r="403" ht="15.75" customHeight="1">
      <c r="M403" s="142"/>
      <c r="N403" s="143"/>
      <c r="O403" s="143"/>
      <c r="P403" s="143"/>
      <c r="Q403" s="143"/>
      <c r="R403" s="144" t="s">
        <v>110</v>
      </c>
      <c r="S403" s="143"/>
      <c r="U403" s="143"/>
      <c r="V403" s="143"/>
      <c r="W403" s="143"/>
      <c r="X403" s="143"/>
      <c r="Y403" s="143"/>
      <c r="Z403" s="143"/>
      <c r="AJ403" s="146"/>
    </row>
    <row r="404" ht="15.75" customHeight="1">
      <c r="M404" s="142"/>
      <c r="N404" s="143"/>
      <c r="O404" s="143"/>
      <c r="P404" s="143"/>
      <c r="Q404" s="143"/>
      <c r="R404" s="144" t="s">
        <v>110</v>
      </c>
      <c r="S404" s="143"/>
      <c r="U404" s="143"/>
      <c r="V404" s="143"/>
      <c r="W404" s="143"/>
      <c r="X404" s="143"/>
      <c r="Y404" s="143"/>
      <c r="Z404" s="143"/>
      <c r="AJ404" s="146"/>
    </row>
    <row r="405" ht="15.75" customHeight="1">
      <c r="M405" s="142"/>
      <c r="N405" s="143"/>
      <c r="O405" s="143"/>
      <c r="P405" s="143"/>
      <c r="Q405" s="143"/>
      <c r="R405" s="144" t="s">
        <v>110</v>
      </c>
      <c r="S405" s="143"/>
      <c r="U405" s="143"/>
      <c r="V405" s="143"/>
      <c r="W405" s="143"/>
      <c r="X405" s="143"/>
      <c r="Y405" s="143"/>
      <c r="Z405" s="143"/>
      <c r="AJ405" s="146"/>
    </row>
    <row r="406" ht="15.75" customHeight="1">
      <c r="M406" s="142"/>
      <c r="N406" s="143"/>
      <c r="O406" s="143"/>
      <c r="P406" s="143"/>
      <c r="Q406" s="143"/>
      <c r="R406" s="144" t="s">
        <v>110</v>
      </c>
      <c r="S406" s="143"/>
      <c r="U406" s="143"/>
      <c r="V406" s="143"/>
      <c r="W406" s="143"/>
      <c r="X406" s="143"/>
      <c r="Y406" s="143"/>
      <c r="Z406" s="143"/>
      <c r="AJ406" s="146"/>
    </row>
    <row r="407" ht="15.75" customHeight="1">
      <c r="M407" s="142"/>
      <c r="N407" s="143"/>
      <c r="O407" s="143"/>
      <c r="P407" s="143"/>
      <c r="Q407" s="143"/>
      <c r="R407" s="144" t="s">
        <v>110</v>
      </c>
      <c r="S407" s="143"/>
      <c r="U407" s="143"/>
      <c r="V407" s="143"/>
      <c r="W407" s="143"/>
      <c r="X407" s="143"/>
      <c r="Y407" s="143"/>
      <c r="Z407" s="143"/>
      <c r="AJ407" s="146"/>
    </row>
    <row r="408" ht="15.75" customHeight="1">
      <c r="M408" s="142"/>
      <c r="N408" s="143"/>
      <c r="O408" s="143"/>
      <c r="P408" s="143"/>
      <c r="Q408" s="143"/>
      <c r="R408" s="144" t="s">
        <v>110</v>
      </c>
      <c r="S408" s="143"/>
      <c r="U408" s="143"/>
      <c r="V408" s="143"/>
      <c r="W408" s="143"/>
      <c r="X408" s="143"/>
      <c r="Y408" s="143"/>
      <c r="Z408" s="143"/>
      <c r="AJ408" s="146"/>
    </row>
    <row r="409" ht="15.75" customHeight="1">
      <c r="M409" s="142"/>
      <c r="N409" s="143"/>
      <c r="O409" s="143"/>
      <c r="P409" s="143"/>
      <c r="Q409" s="143"/>
      <c r="R409" s="144" t="s">
        <v>110</v>
      </c>
      <c r="S409" s="143"/>
      <c r="U409" s="143"/>
      <c r="V409" s="143"/>
      <c r="W409" s="143"/>
      <c r="X409" s="143"/>
      <c r="Y409" s="143"/>
      <c r="Z409" s="143"/>
      <c r="AJ409" s="146"/>
    </row>
    <row r="410" ht="15.75" customHeight="1">
      <c r="M410" s="142"/>
      <c r="N410" s="143"/>
      <c r="O410" s="143"/>
      <c r="P410" s="143"/>
      <c r="Q410" s="143"/>
      <c r="R410" s="144" t="s">
        <v>110</v>
      </c>
      <c r="S410" s="143"/>
      <c r="U410" s="143"/>
      <c r="V410" s="143"/>
      <c r="W410" s="143"/>
      <c r="X410" s="143"/>
      <c r="Y410" s="143"/>
      <c r="Z410" s="143"/>
      <c r="AJ410" s="146"/>
    </row>
    <row r="411" ht="15.75" customHeight="1">
      <c r="M411" s="142"/>
      <c r="N411" s="143"/>
      <c r="O411" s="143"/>
      <c r="P411" s="143"/>
      <c r="Q411" s="143"/>
      <c r="R411" s="144" t="s">
        <v>110</v>
      </c>
      <c r="S411" s="143"/>
      <c r="U411" s="143"/>
      <c r="V411" s="143"/>
      <c r="W411" s="143"/>
      <c r="X411" s="143"/>
      <c r="Y411" s="143"/>
      <c r="Z411" s="143"/>
      <c r="AJ411" s="146"/>
    </row>
    <row r="412" ht="15.75" customHeight="1">
      <c r="M412" s="142"/>
      <c r="N412" s="143"/>
      <c r="O412" s="143"/>
      <c r="P412" s="143"/>
      <c r="Q412" s="143"/>
      <c r="R412" s="144" t="s">
        <v>110</v>
      </c>
      <c r="S412" s="143"/>
      <c r="U412" s="143"/>
      <c r="V412" s="143"/>
      <c r="W412" s="143"/>
      <c r="X412" s="143"/>
      <c r="Y412" s="143"/>
      <c r="Z412" s="143"/>
      <c r="AJ412" s="146"/>
    </row>
    <row r="413" ht="15.75" customHeight="1">
      <c r="M413" s="142"/>
      <c r="N413" s="143"/>
      <c r="O413" s="143"/>
      <c r="P413" s="143"/>
      <c r="Q413" s="143"/>
      <c r="R413" s="144" t="s">
        <v>110</v>
      </c>
      <c r="S413" s="143"/>
      <c r="U413" s="143"/>
      <c r="V413" s="143"/>
      <c r="W413" s="143"/>
      <c r="X413" s="143"/>
      <c r="Y413" s="143"/>
      <c r="Z413" s="143"/>
      <c r="AJ413" s="146"/>
    </row>
    <row r="414" ht="15.75" customHeight="1">
      <c r="M414" s="142"/>
      <c r="N414" s="143"/>
      <c r="O414" s="143"/>
      <c r="P414" s="143"/>
      <c r="Q414" s="143"/>
      <c r="R414" s="144" t="s">
        <v>110</v>
      </c>
      <c r="S414" s="143"/>
      <c r="U414" s="143"/>
      <c r="V414" s="143"/>
      <c r="W414" s="143"/>
      <c r="X414" s="143"/>
      <c r="Y414" s="143"/>
      <c r="Z414" s="143"/>
      <c r="AJ414" s="146"/>
    </row>
    <row r="415" ht="15.75" customHeight="1">
      <c r="M415" s="142"/>
      <c r="N415" s="143"/>
      <c r="O415" s="143"/>
      <c r="P415" s="143"/>
      <c r="Q415" s="143"/>
      <c r="R415" s="144" t="s">
        <v>110</v>
      </c>
      <c r="S415" s="143"/>
      <c r="U415" s="143"/>
      <c r="V415" s="143"/>
      <c r="W415" s="143"/>
      <c r="X415" s="143"/>
      <c r="Y415" s="143"/>
      <c r="Z415" s="143"/>
      <c r="AJ415" s="146"/>
    </row>
    <row r="416" ht="15.75" customHeight="1">
      <c r="M416" s="142"/>
      <c r="N416" s="143"/>
      <c r="O416" s="143"/>
      <c r="P416" s="143"/>
      <c r="Q416" s="143"/>
      <c r="R416" s="144" t="s">
        <v>110</v>
      </c>
      <c r="S416" s="143"/>
      <c r="U416" s="143"/>
      <c r="V416" s="143"/>
      <c r="W416" s="143"/>
      <c r="X416" s="143"/>
      <c r="Y416" s="143"/>
      <c r="Z416" s="143"/>
      <c r="AJ416" s="146"/>
    </row>
    <row r="417" ht="15.75" customHeight="1">
      <c r="M417" s="142"/>
      <c r="N417" s="143"/>
      <c r="O417" s="143"/>
      <c r="P417" s="143"/>
      <c r="Q417" s="143"/>
      <c r="R417" s="144" t="s">
        <v>110</v>
      </c>
      <c r="S417" s="143"/>
      <c r="U417" s="143"/>
      <c r="V417" s="143"/>
      <c r="W417" s="143"/>
      <c r="X417" s="143"/>
      <c r="Y417" s="143"/>
      <c r="Z417" s="143"/>
      <c r="AJ417" s="146"/>
    </row>
    <row r="418" ht="15.75" customHeight="1">
      <c r="M418" s="142"/>
      <c r="N418" s="143"/>
      <c r="O418" s="143"/>
      <c r="P418" s="143"/>
      <c r="Q418" s="143"/>
      <c r="R418" s="144" t="s">
        <v>110</v>
      </c>
      <c r="S418" s="143"/>
      <c r="U418" s="143"/>
      <c r="V418" s="143"/>
      <c r="W418" s="143"/>
      <c r="X418" s="143"/>
      <c r="Y418" s="143"/>
      <c r="Z418" s="143"/>
      <c r="AJ418" s="146"/>
    </row>
    <row r="419" ht="15.75" customHeight="1">
      <c r="M419" s="142"/>
      <c r="N419" s="143"/>
      <c r="O419" s="143"/>
      <c r="P419" s="143"/>
      <c r="Q419" s="143"/>
      <c r="R419" s="144" t="s">
        <v>110</v>
      </c>
      <c r="S419" s="143"/>
      <c r="U419" s="143"/>
      <c r="V419" s="143"/>
      <c r="W419" s="143"/>
      <c r="X419" s="143"/>
      <c r="Y419" s="143"/>
      <c r="Z419" s="143"/>
      <c r="AJ419" s="146"/>
    </row>
    <row r="420" ht="15.75" customHeight="1">
      <c r="M420" s="142"/>
      <c r="N420" s="143"/>
      <c r="O420" s="143"/>
      <c r="P420" s="143"/>
      <c r="Q420" s="143"/>
      <c r="R420" s="144" t="s">
        <v>110</v>
      </c>
      <c r="S420" s="143"/>
      <c r="U420" s="143"/>
      <c r="V420" s="143"/>
      <c r="W420" s="143"/>
      <c r="X420" s="143"/>
      <c r="Y420" s="143"/>
      <c r="Z420" s="143"/>
      <c r="AJ420" s="146"/>
    </row>
    <row r="421" ht="15.75" customHeight="1">
      <c r="M421" s="142"/>
      <c r="N421" s="143"/>
      <c r="O421" s="143"/>
      <c r="P421" s="143"/>
      <c r="Q421" s="143"/>
      <c r="R421" s="144" t="s">
        <v>110</v>
      </c>
      <c r="S421" s="143"/>
      <c r="U421" s="143"/>
      <c r="V421" s="143"/>
      <c r="W421" s="143"/>
      <c r="X421" s="143"/>
      <c r="Y421" s="143"/>
      <c r="Z421" s="143"/>
      <c r="AJ421" s="146"/>
    </row>
    <row r="422" ht="15.75" customHeight="1">
      <c r="M422" s="142"/>
      <c r="N422" s="143"/>
      <c r="O422" s="143"/>
      <c r="P422" s="143"/>
      <c r="Q422" s="143"/>
      <c r="R422" s="144" t="s">
        <v>110</v>
      </c>
      <c r="S422" s="143"/>
      <c r="U422" s="143"/>
      <c r="V422" s="143"/>
      <c r="W422" s="143"/>
      <c r="X422" s="143"/>
      <c r="Y422" s="143"/>
      <c r="Z422" s="143"/>
      <c r="AJ422" s="146"/>
    </row>
    <row r="423" ht="15.75" customHeight="1">
      <c r="M423" s="142"/>
      <c r="N423" s="143"/>
      <c r="O423" s="143"/>
      <c r="P423" s="143"/>
      <c r="Q423" s="143"/>
      <c r="R423" s="144" t="s">
        <v>110</v>
      </c>
      <c r="S423" s="143"/>
      <c r="U423" s="143"/>
      <c r="V423" s="143"/>
      <c r="W423" s="143"/>
      <c r="X423" s="143"/>
      <c r="Y423" s="143"/>
      <c r="Z423" s="143"/>
      <c r="AJ423" s="146"/>
    </row>
    <row r="424" ht="15.75" customHeight="1">
      <c r="M424" s="142"/>
      <c r="N424" s="143"/>
      <c r="O424" s="143"/>
      <c r="P424" s="143"/>
      <c r="Q424" s="143"/>
      <c r="R424" s="144" t="s">
        <v>110</v>
      </c>
      <c r="S424" s="143"/>
      <c r="U424" s="143"/>
      <c r="V424" s="143"/>
      <c r="W424" s="143"/>
      <c r="X424" s="143"/>
      <c r="Y424" s="143"/>
      <c r="Z424" s="143"/>
      <c r="AJ424" s="146"/>
    </row>
    <row r="425" ht="15.75" customHeight="1">
      <c r="M425" s="142"/>
      <c r="N425" s="143"/>
      <c r="O425" s="143"/>
      <c r="P425" s="143"/>
      <c r="Q425" s="143"/>
      <c r="R425" s="144" t="s">
        <v>110</v>
      </c>
      <c r="S425" s="143"/>
      <c r="U425" s="143"/>
      <c r="V425" s="143"/>
      <c r="W425" s="143"/>
      <c r="X425" s="143"/>
      <c r="Y425" s="143"/>
      <c r="Z425" s="143"/>
      <c r="AJ425" s="146"/>
    </row>
    <row r="426" ht="15.75" customHeight="1">
      <c r="M426" s="142"/>
      <c r="N426" s="143"/>
      <c r="O426" s="143"/>
      <c r="P426" s="143"/>
      <c r="Q426" s="143"/>
      <c r="R426" s="144" t="s">
        <v>110</v>
      </c>
      <c r="S426" s="143"/>
      <c r="U426" s="143"/>
      <c r="V426" s="143"/>
      <c r="W426" s="143"/>
      <c r="X426" s="143"/>
      <c r="Y426" s="143"/>
      <c r="Z426" s="143"/>
      <c r="AJ426" s="146"/>
    </row>
    <row r="427" ht="15.75" customHeight="1">
      <c r="M427" s="142"/>
      <c r="N427" s="143"/>
      <c r="O427" s="143"/>
      <c r="P427" s="143"/>
      <c r="Q427" s="143"/>
      <c r="R427" s="144" t="s">
        <v>110</v>
      </c>
      <c r="S427" s="143"/>
      <c r="U427" s="143"/>
      <c r="V427" s="143"/>
      <c r="W427" s="143"/>
      <c r="X427" s="143"/>
      <c r="Y427" s="143"/>
      <c r="Z427" s="143"/>
      <c r="AJ427" s="146"/>
    </row>
    <row r="428" ht="15.75" customHeight="1">
      <c r="M428" s="142"/>
      <c r="N428" s="143"/>
      <c r="O428" s="143"/>
      <c r="P428" s="143"/>
      <c r="Q428" s="143"/>
      <c r="R428" s="144" t="s">
        <v>110</v>
      </c>
      <c r="S428" s="143"/>
      <c r="U428" s="143"/>
      <c r="V428" s="143"/>
      <c r="W428" s="143"/>
      <c r="X428" s="143"/>
      <c r="Y428" s="143"/>
      <c r="Z428" s="143"/>
      <c r="AJ428" s="146"/>
    </row>
    <row r="429" ht="15.75" customHeight="1">
      <c r="M429" s="142"/>
      <c r="N429" s="143"/>
      <c r="O429" s="143"/>
      <c r="P429" s="143"/>
      <c r="Q429" s="143"/>
      <c r="R429" s="144" t="s">
        <v>110</v>
      </c>
      <c r="S429" s="143"/>
      <c r="U429" s="143"/>
      <c r="V429" s="143"/>
      <c r="W429" s="143"/>
      <c r="X429" s="143"/>
      <c r="Y429" s="143"/>
      <c r="Z429" s="143"/>
      <c r="AJ429" s="146"/>
    </row>
    <row r="430" ht="15.75" customHeight="1">
      <c r="M430" s="142"/>
      <c r="N430" s="143"/>
      <c r="O430" s="143"/>
      <c r="P430" s="143"/>
      <c r="Q430" s="143"/>
      <c r="R430" s="144" t="s">
        <v>110</v>
      </c>
      <c r="S430" s="143"/>
      <c r="U430" s="143"/>
      <c r="V430" s="143"/>
      <c r="W430" s="143"/>
      <c r="X430" s="143"/>
      <c r="Y430" s="143"/>
      <c r="Z430" s="143"/>
      <c r="AJ430" s="146"/>
    </row>
    <row r="431" ht="15.75" customHeight="1">
      <c r="M431" s="142"/>
      <c r="N431" s="143"/>
      <c r="O431" s="143"/>
      <c r="P431" s="143"/>
      <c r="Q431" s="143"/>
      <c r="R431" s="144" t="s">
        <v>110</v>
      </c>
      <c r="S431" s="143"/>
      <c r="U431" s="143"/>
      <c r="V431" s="143"/>
      <c r="W431" s="143"/>
      <c r="X431" s="143"/>
      <c r="Y431" s="143"/>
      <c r="Z431" s="143"/>
      <c r="AJ431" s="146"/>
    </row>
    <row r="432" ht="15.75" customHeight="1">
      <c r="M432" s="142"/>
      <c r="N432" s="143"/>
      <c r="O432" s="143"/>
      <c r="P432" s="143"/>
      <c r="Q432" s="143"/>
      <c r="R432" s="144" t="s">
        <v>110</v>
      </c>
      <c r="S432" s="143"/>
      <c r="U432" s="143"/>
      <c r="V432" s="143"/>
      <c r="W432" s="143"/>
      <c r="X432" s="143"/>
      <c r="Y432" s="143"/>
      <c r="Z432" s="143"/>
      <c r="AJ432" s="146"/>
    </row>
    <row r="433" ht="15.75" customHeight="1">
      <c r="M433" s="142"/>
      <c r="N433" s="143"/>
      <c r="O433" s="143"/>
      <c r="P433" s="143"/>
      <c r="Q433" s="143"/>
      <c r="R433" s="144" t="s">
        <v>110</v>
      </c>
      <c r="S433" s="143"/>
      <c r="U433" s="143"/>
      <c r="V433" s="143"/>
      <c r="W433" s="143"/>
      <c r="X433" s="143"/>
      <c r="Y433" s="143"/>
      <c r="Z433" s="143"/>
      <c r="AJ433" s="146"/>
    </row>
    <row r="434" ht="15.75" customHeight="1">
      <c r="M434" s="142"/>
      <c r="N434" s="143"/>
      <c r="O434" s="143"/>
      <c r="P434" s="143"/>
      <c r="Q434" s="143"/>
      <c r="R434" s="144" t="s">
        <v>110</v>
      </c>
      <c r="S434" s="143"/>
      <c r="U434" s="143"/>
      <c r="V434" s="143"/>
      <c r="W434" s="143"/>
      <c r="X434" s="143"/>
      <c r="Y434" s="143"/>
      <c r="Z434" s="143"/>
      <c r="AJ434" s="146"/>
    </row>
    <row r="435" ht="15.75" customHeight="1">
      <c r="M435" s="142"/>
      <c r="N435" s="143"/>
      <c r="O435" s="143"/>
      <c r="P435" s="143"/>
      <c r="Q435" s="143"/>
      <c r="R435" s="144" t="s">
        <v>110</v>
      </c>
      <c r="S435" s="143"/>
      <c r="U435" s="143"/>
      <c r="V435" s="143"/>
      <c r="W435" s="143"/>
      <c r="X435" s="143"/>
      <c r="Y435" s="143"/>
      <c r="Z435" s="143"/>
      <c r="AJ435" s="146"/>
    </row>
    <row r="436" ht="15.75" customHeight="1">
      <c r="M436" s="142"/>
      <c r="N436" s="143"/>
      <c r="O436" s="143"/>
      <c r="P436" s="143"/>
      <c r="Q436" s="143"/>
      <c r="R436" s="144" t="s">
        <v>110</v>
      </c>
      <c r="S436" s="143"/>
      <c r="U436" s="143"/>
      <c r="V436" s="143"/>
      <c r="W436" s="143"/>
      <c r="X436" s="143"/>
      <c r="Y436" s="143"/>
      <c r="Z436" s="143"/>
      <c r="AJ436" s="146"/>
    </row>
    <row r="437" ht="15.75" customHeight="1">
      <c r="M437" s="142"/>
      <c r="N437" s="143"/>
      <c r="O437" s="143"/>
      <c r="P437" s="143"/>
      <c r="Q437" s="143"/>
      <c r="R437" s="144" t="s">
        <v>110</v>
      </c>
      <c r="S437" s="143"/>
      <c r="U437" s="143"/>
      <c r="V437" s="143"/>
      <c r="W437" s="143"/>
      <c r="X437" s="143"/>
      <c r="Y437" s="143"/>
      <c r="Z437" s="143"/>
      <c r="AJ437" s="146"/>
    </row>
    <row r="438" ht="15.75" customHeight="1">
      <c r="M438" s="142"/>
      <c r="N438" s="143"/>
      <c r="O438" s="143"/>
      <c r="P438" s="143"/>
      <c r="Q438" s="143"/>
      <c r="R438" s="144" t="s">
        <v>110</v>
      </c>
      <c r="S438" s="143"/>
      <c r="U438" s="143"/>
      <c r="V438" s="143"/>
      <c r="W438" s="143"/>
      <c r="X438" s="143"/>
      <c r="Y438" s="143"/>
      <c r="Z438" s="143"/>
      <c r="AJ438" s="146"/>
    </row>
    <row r="439" ht="15.75" customHeight="1">
      <c r="M439" s="142"/>
      <c r="N439" s="143"/>
      <c r="O439" s="143"/>
      <c r="P439" s="143"/>
      <c r="Q439" s="143"/>
      <c r="R439" s="144" t="s">
        <v>110</v>
      </c>
      <c r="S439" s="143"/>
      <c r="U439" s="143"/>
      <c r="V439" s="143"/>
      <c r="W439" s="143"/>
      <c r="X439" s="143"/>
      <c r="Y439" s="143"/>
      <c r="Z439" s="143"/>
      <c r="AJ439" s="146"/>
    </row>
    <row r="440" ht="15.75" customHeight="1">
      <c r="M440" s="142"/>
      <c r="N440" s="143"/>
      <c r="O440" s="143"/>
      <c r="P440" s="143"/>
      <c r="Q440" s="143"/>
      <c r="R440" s="144" t="s">
        <v>110</v>
      </c>
      <c r="S440" s="143"/>
      <c r="U440" s="143"/>
      <c r="V440" s="143"/>
      <c r="W440" s="143"/>
      <c r="X440" s="143"/>
      <c r="Y440" s="143"/>
      <c r="Z440" s="143"/>
      <c r="AJ440" s="146"/>
    </row>
    <row r="441" ht="15.75" customHeight="1">
      <c r="M441" s="142"/>
      <c r="N441" s="143"/>
      <c r="O441" s="143"/>
      <c r="P441" s="143"/>
      <c r="Q441" s="143"/>
      <c r="R441" s="144" t="s">
        <v>110</v>
      </c>
      <c r="S441" s="143"/>
      <c r="U441" s="143"/>
      <c r="V441" s="143"/>
      <c r="W441" s="143"/>
      <c r="X441" s="143"/>
      <c r="Y441" s="143"/>
      <c r="Z441" s="143"/>
      <c r="AJ441" s="146"/>
    </row>
    <row r="442" ht="15.75" customHeight="1">
      <c r="M442" s="142"/>
      <c r="N442" s="143"/>
      <c r="O442" s="143"/>
      <c r="P442" s="143"/>
      <c r="Q442" s="143"/>
      <c r="R442" s="144" t="s">
        <v>110</v>
      </c>
      <c r="S442" s="143"/>
      <c r="U442" s="143"/>
      <c r="V442" s="143"/>
      <c r="W442" s="143"/>
      <c r="X442" s="143"/>
      <c r="Y442" s="143"/>
      <c r="Z442" s="143"/>
      <c r="AJ442" s="146"/>
    </row>
    <row r="443" ht="15.75" customHeight="1">
      <c r="M443" s="142"/>
      <c r="N443" s="143"/>
      <c r="O443" s="143"/>
      <c r="P443" s="143"/>
      <c r="Q443" s="143"/>
      <c r="R443" s="144" t="s">
        <v>110</v>
      </c>
      <c r="S443" s="143"/>
      <c r="U443" s="143"/>
      <c r="V443" s="143"/>
      <c r="W443" s="143"/>
      <c r="X443" s="143"/>
      <c r="Y443" s="143"/>
      <c r="Z443" s="143"/>
      <c r="AJ443" s="146"/>
    </row>
    <row r="444" ht="15.75" customHeight="1">
      <c r="M444" s="142"/>
      <c r="N444" s="143"/>
      <c r="O444" s="143"/>
      <c r="P444" s="143"/>
      <c r="Q444" s="143"/>
      <c r="R444" s="144" t="s">
        <v>110</v>
      </c>
      <c r="S444" s="143"/>
      <c r="U444" s="143"/>
      <c r="V444" s="143"/>
      <c r="W444" s="143"/>
      <c r="X444" s="143"/>
      <c r="Y444" s="143"/>
      <c r="Z444" s="143"/>
      <c r="AJ444" s="146"/>
    </row>
    <row r="445" ht="15.75" customHeight="1">
      <c r="M445" s="142"/>
      <c r="N445" s="143"/>
      <c r="O445" s="143"/>
      <c r="P445" s="143"/>
      <c r="Q445" s="143"/>
      <c r="R445" s="144" t="s">
        <v>110</v>
      </c>
      <c r="S445" s="143"/>
      <c r="U445" s="143"/>
      <c r="V445" s="143"/>
      <c r="W445" s="143"/>
      <c r="X445" s="143"/>
      <c r="Y445" s="143"/>
      <c r="Z445" s="143"/>
      <c r="AJ445" s="146"/>
    </row>
    <row r="446" ht="15.75" customHeight="1">
      <c r="M446" s="142"/>
      <c r="N446" s="143"/>
      <c r="O446" s="143"/>
      <c r="P446" s="143"/>
      <c r="Q446" s="143"/>
      <c r="R446" s="144" t="s">
        <v>110</v>
      </c>
      <c r="S446" s="143"/>
      <c r="U446" s="143"/>
      <c r="V446" s="143"/>
      <c r="W446" s="143"/>
      <c r="X446" s="143"/>
      <c r="Y446" s="143"/>
      <c r="Z446" s="143"/>
      <c r="AJ446" s="146"/>
    </row>
    <row r="447" ht="15.75" customHeight="1">
      <c r="M447" s="142"/>
      <c r="N447" s="143"/>
      <c r="O447" s="143"/>
      <c r="P447" s="143"/>
      <c r="Q447" s="143"/>
      <c r="R447" s="144" t="s">
        <v>110</v>
      </c>
      <c r="S447" s="143"/>
      <c r="U447" s="143"/>
      <c r="V447" s="143"/>
      <c r="W447" s="143"/>
      <c r="X447" s="143"/>
      <c r="Y447" s="143"/>
      <c r="Z447" s="143"/>
      <c r="AJ447" s="146"/>
    </row>
    <row r="448" ht="15.75" customHeight="1">
      <c r="M448" s="142"/>
      <c r="N448" s="143"/>
      <c r="O448" s="143"/>
      <c r="P448" s="143"/>
      <c r="Q448" s="143"/>
      <c r="R448" s="144" t="s">
        <v>110</v>
      </c>
      <c r="S448" s="143"/>
      <c r="U448" s="143"/>
      <c r="V448" s="143"/>
      <c r="W448" s="143"/>
      <c r="X448" s="143"/>
      <c r="Y448" s="143"/>
      <c r="Z448" s="143"/>
      <c r="AJ448" s="146"/>
    </row>
    <row r="449" ht="15.75" customHeight="1">
      <c r="M449" s="142"/>
      <c r="N449" s="143"/>
      <c r="O449" s="143"/>
      <c r="P449" s="143"/>
      <c r="Q449" s="143"/>
      <c r="R449" s="144" t="s">
        <v>110</v>
      </c>
      <c r="S449" s="143"/>
      <c r="U449" s="143"/>
      <c r="V449" s="143"/>
      <c r="W449" s="143"/>
      <c r="X449" s="143"/>
      <c r="Y449" s="143"/>
      <c r="Z449" s="143"/>
      <c r="AJ449" s="146"/>
    </row>
    <row r="450" ht="15.75" customHeight="1">
      <c r="M450" s="142"/>
      <c r="N450" s="143"/>
      <c r="O450" s="143"/>
      <c r="P450" s="143"/>
      <c r="Q450" s="143"/>
      <c r="R450" s="144" t="s">
        <v>110</v>
      </c>
      <c r="S450" s="143"/>
      <c r="U450" s="143"/>
      <c r="V450" s="143"/>
      <c r="W450" s="143"/>
      <c r="X450" s="143"/>
      <c r="Y450" s="143"/>
      <c r="Z450" s="143"/>
      <c r="AJ450" s="146"/>
    </row>
    <row r="451" ht="15.75" customHeight="1">
      <c r="M451" s="142"/>
      <c r="N451" s="143"/>
      <c r="O451" s="143"/>
      <c r="P451" s="143"/>
      <c r="Q451" s="143"/>
      <c r="R451" s="144" t="s">
        <v>110</v>
      </c>
      <c r="S451" s="143"/>
      <c r="U451" s="143"/>
      <c r="V451" s="143"/>
      <c r="W451" s="143"/>
      <c r="X451" s="143"/>
      <c r="Y451" s="143"/>
      <c r="Z451" s="143"/>
      <c r="AJ451" s="146"/>
    </row>
    <row r="452" ht="15.75" customHeight="1">
      <c r="M452" s="142"/>
      <c r="N452" s="143"/>
      <c r="O452" s="143"/>
      <c r="P452" s="143"/>
      <c r="Q452" s="143"/>
      <c r="R452" s="144" t="s">
        <v>110</v>
      </c>
      <c r="S452" s="143"/>
      <c r="U452" s="143"/>
      <c r="V452" s="143"/>
      <c r="W452" s="143"/>
      <c r="X452" s="143"/>
      <c r="Y452" s="143"/>
      <c r="Z452" s="143"/>
      <c r="AJ452" s="146"/>
    </row>
    <row r="453" ht="15.75" customHeight="1">
      <c r="M453" s="142"/>
      <c r="N453" s="143"/>
      <c r="O453" s="143"/>
      <c r="P453" s="143"/>
      <c r="Q453" s="143"/>
      <c r="R453" s="144" t="s">
        <v>110</v>
      </c>
      <c r="S453" s="143"/>
      <c r="U453" s="143"/>
      <c r="V453" s="143"/>
      <c r="W453" s="143"/>
      <c r="X453" s="143"/>
      <c r="Y453" s="143"/>
      <c r="Z453" s="143"/>
      <c r="AJ453" s="146"/>
    </row>
    <row r="454" ht="15.75" customHeight="1">
      <c r="M454" s="142"/>
      <c r="N454" s="143"/>
      <c r="O454" s="143"/>
      <c r="P454" s="143"/>
      <c r="Q454" s="143"/>
      <c r="R454" s="144" t="s">
        <v>110</v>
      </c>
      <c r="S454" s="143"/>
      <c r="U454" s="143"/>
      <c r="V454" s="143"/>
      <c r="W454" s="143"/>
      <c r="X454" s="143"/>
      <c r="Y454" s="143"/>
      <c r="Z454" s="143"/>
      <c r="AJ454" s="146"/>
    </row>
    <row r="455" ht="15.75" customHeight="1">
      <c r="M455" s="142"/>
      <c r="N455" s="143"/>
      <c r="O455" s="143"/>
      <c r="P455" s="143"/>
      <c r="Q455" s="143"/>
      <c r="R455" s="144" t="s">
        <v>110</v>
      </c>
      <c r="S455" s="143"/>
      <c r="U455" s="143"/>
      <c r="V455" s="143"/>
      <c r="W455" s="143"/>
      <c r="X455" s="143"/>
      <c r="Y455" s="143"/>
      <c r="Z455" s="143"/>
      <c r="AJ455" s="146"/>
    </row>
    <row r="456" ht="15.75" customHeight="1">
      <c r="M456" s="142"/>
      <c r="N456" s="143"/>
      <c r="O456" s="143"/>
      <c r="P456" s="143"/>
      <c r="Q456" s="143"/>
      <c r="R456" s="144" t="s">
        <v>110</v>
      </c>
      <c r="S456" s="143"/>
      <c r="U456" s="143"/>
      <c r="V456" s="143"/>
      <c r="W456" s="143"/>
      <c r="X456" s="143"/>
      <c r="Y456" s="143"/>
      <c r="Z456" s="143"/>
      <c r="AJ456" s="146"/>
    </row>
    <row r="457" ht="15.75" customHeight="1">
      <c r="M457" s="142"/>
      <c r="N457" s="143"/>
      <c r="O457" s="143"/>
      <c r="P457" s="143"/>
      <c r="Q457" s="143"/>
      <c r="R457" s="144" t="s">
        <v>110</v>
      </c>
      <c r="S457" s="143"/>
      <c r="U457" s="143"/>
      <c r="V457" s="143"/>
      <c r="W457" s="143"/>
      <c r="X457" s="143"/>
      <c r="Y457" s="143"/>
      <c r="Z457" s="143"/>
      <c r="AJ457" s="146"/>
    </row>
    <row r="458" ht="15.75" customHeight="1">
      <c r="M458" s="142"/>
      <c r="N458" s="143"/>
      <c r="O458" s="143"/>
      <c r="P458" s="143"/>
      <c r="Q458" s="143"/>
      <c r="R458" s="144" t="s">
        <v>110</v>
      </c>
      <c r="S458" s="143"/>
      <c r="U458" s="143"/>
      <c r="V458" s="143"/>
      <c r="W458" s="143"/>
      <c r="X458" s="143"/>
      <c r="Y458" s="143"/>
      <c r="Z458" s="143"/>
      <c r="AJ458" s="146"/>
    </row>
    <row r="459" ht="15.75" customHeight="1">
      <c r="M459" s="142"/>
      <c r="N459" s="143"/>
      <c r="O459" s="143"/>
      <c r="P459" s="143"/>
      <c r="Q459" s="143"/>
      <c r="R459" s="144" t="s">
        <v>110</v>
      </c>
      <c r="S459" s="143"/>
      <c r="U459" s="143"/>
      <c r="V459" s="143"/>
      <c r="W459" s="143"/>
      <c r="X459" s="143"/>
      <c r="Y459" s="143"/>
      <c r="Z459" s="143"/>
      <c r="AJ459" s="146"/>
    </row>
    <row r="460" ht="15.75" customHeight="1">
      <c r="M460" s="142"/>
      <c r="N460" s="143"/>
      <c r="O460" s="143"/>
      <c r="P460" s="143"/>
      <c r="Q460" s="143"/>
      <c r="R460" s="144" t="s">
        <v>110</v>
      </c>
      <c r="S460" s="143"/>
      <c r="U460" s="143"/>
      <c r="V460" s="143"/>
      <c r="W460" s="143"/>
      <c r="X460" s="143"/>
      <c r="Y460" s="143"/>
      <c r="Z460" s="143"/>
      <c r="AJ460" s="146"/>
    </row>
    <row r="461" ht="15.75" customHeight="1">
      <c r="M461" s="142"/>
      <c r="N461" s="143"/>
      <c r="O461" s="143"/>
      <c r="P461" s="143"/>
      <c r="Q461" s="143"/>
      <c r="R461" s="144" t="s">
        <v>110</v>
      </c>
      <c r="S461" s="143"/>
      <c r="U461" s="143"/>
      <c r="V461" s="143"/>
      <c r="W461" s="143"/>
      <c r="X461" s="143"/>
      <c r="Y461" s="143"/>
      <c r="Z461" s="143"/>
      <c r="AJ461" s="146"/>
    </row>
    <row r="462" ht="15.75" customHeight="1">
      <c r="M462" s="142"/>
      <c r="N462" s="143"/>
      <c r="O462" s="143"/>
      <c r="P462" s="143"/>
      <c r="Q462" s="143"/>
      <c r="R462" s="144" t="s">
        <v>110</v>
      </c>
      <c r="S462" s="143"/>
      <c r="U462" s="143"/>
      <c r="V462" s="143"/>
      <c r="W462" s="143"/>
      <c r="X462" s="143"/>
      <c r="Y462" s="143"/>
      <c r="Z462" s="143"/>
      <c r="AJ462" s="146"/>
    </row>
    <row r="463" ht="15.75" customHeight="1">
      <c r="M463" s="142"/>
      <c r="N463" s="143"/>
      <c r="O463" s="143"/>
      <c r="P463" s="143"/>
      <c r="Q463" s="143"/>
      <c r="R463" s="144" t="s">
        <v>110</v>
      </c>
      <c r="S463" s="143"/>
      <c r="U463" s="143"/>
      <c r="V463" s="143"/>
      <c r="W463" s="143"/>
      <c r="X463" s="143"/>
      <c r="Y463" s="143"/>
      <c r="Z463" s="143"/>
      <c r="AJ463" s="146"/>
    </row>
    <row r="464" ht="15.75" customHeight="1">
      <c r="M464" s="142"/>
      <c r="N464" s="143"/>
      <c r="O464" s="143"/>
      <c r="P464" s="143"/>
      <c r="Q464" s="143"/>
      <c r="R464" s="144" t="s">
        <v>110</v>
      </c>
      <c r="S464" s="143"/>
      <c r="U464" s="143"/>
      <c r="V464" s="143"/>
      <c r="W464" s="143"/>
      <c r="X464" s="143"/>
      <c r="Y464" s="143"/>
      <c r="Z464" s="143"/>
      <c r="AJ464" s="146"/>
    </row>
    <row r="465" ht="15.75" customHeight="1">
      <c r="M465" s="142"/>
      <c r="N465" s="143"/>
      <c r="O465" s="143"/>
      <c r="P465" s="143"/>
      <c r="Q465" s="143"/>
      <c r="R465" s="144" t="s">
        <v>110</v>
      </c>
      <c r="S465" s="143"/>
      <c r="U465" s="143"/>
      <c r="V465" s="143"/>
      <c r="W465" s="143"/>
      <c r="X465" s="143"/>
      <c r="Y465" s="143"/>
      <c r="Z465" s="143"/>
      <c r="AJ465" s="146"/>
    </row>
    <row r="466" ht="15.75" customHeight="1">
      <c r="M466" s="142"/>
      <c r="N466" s="143"/>
      <c r="O466" s="143"/>
      <c r="P466" s="143"/>
      <c r="Q466" s="143"/>
      <c r="R466" s="144" t="s">
        <v>110</v>
      </c>
      <c r="S466" s="143"/>
      <c r="U466" s="143"/>
      <c r="V466" s="143"/>
      <c r="W466" s="143"/>
      <c r="X466" s="143"/>
      <c r="Y466" s="143"/>
      <c r="Z466" s="143"/>
      <c r="AJ466" s="146"/>
    </row>
    <row r="467" ht="15.75" customHeight="1">
      <c r="M467" s="142"/>
      <c r="N467" s="143"/>
      <c r="O467" s="143"/>
      <c r="P467" s="143"/>
      <c r="Q467" s="143"/>
      <c r="R467" s="144" t="s">
        <v>110</v>
      </c>
      <c r="S467" s="143"/>
      <c r="U467" s="143"/>
      <c r="V467" s="143"/>
      <c r="W467" s="143"/>
      <c r="X467" s="143"/>
      <c r="Y467" s="143"/>
      <c r="Z467" s="143"/>
      <c r="AJ467" s="146"/>
    </row>
    <row r="468" ht="15.75" customHeight="1">
      <c r="M468" s="142"/>
      <c r="N468" s="143"/>
      <c r="O468" s="143"/>
      <c r="P468" s="143"/>
      <c r="Q468" s="143"/>
      <c r="R468" s="144" t="s">
        <v>110</v>
      </c>
      <c r="S468" s="143"/>
      <c r="U468" s="143"/>
      <c r="V468" s="143"/>
      <c r="W468" s="143"/>
      <c r="X468" s="143"/>
      <c r="Y468" s="143"/>
      <c r="Z468" s="143"/>
      <c r="AJ468" s="146"/>
    </row>
    <row r="469" ht="15.75" customHeight="1">
      <c r="M469" s="142"/>
      <c r="N469" s="143"/>
      <c r="O469" s="143"/>
      <c r="P469" s="143"/>
      <c r="Q469" s="143"/>
      <c r="R469" s="144" t="s">
        <v>110</v>
      </c>
      <c r="S469" s="143"/>
      <c r="U469" s="143"/>
      <c r="V469" s="143"/>
      <c r="W469" s="143"/>
      <c r="X469" s="143"/>
      <c r="Y469" s="143"/>
      <c r="Z469" s="143"/>
      <c r="AJ469" s="146"/>
    </row>
    <row r="470" ht="15.75" customHeight="1">
      <c r="M470" s="142"/>
      <c r="N470" s="143"/>
      <c r="O470" s="143"/>
      <c r="P470" s="143"/>
      <c r="Q470" s="143"/>
      <c r="R470" s="144" t="s">
        <v>110</v>
      </c>
      <c r="S470" s="143"/>
      <c r="U470" s="143"/>
      <c r="V470" s="143"/>
      <c r="W470" s="143"/>
      <c r="X470" s="143"/>
      <c r="Y470" s="143"/>
      <c r="Z470" s="143"/>
      <c r="AJ470" s="146"/>
    </row>
    <row r="471" ht="15.75" customHeight="1">
      <c r="M471" s="142"/>
      <c r="N471" s="143"/>
      <c r="O471" s="143"/>
      <c r="P471" s="143"/>
      <c r="Q471" s="143"/>
      <c r="R471" s="144" t="s">
        <v>110</v>
      </c>
      <c r="S471" s="143"/>
      <c r="U471" s="143"/>
      <c r="V471" s="143"/>
      <c r="W471" s="143"/>
      <c r="X471" s="143"/>
      <c r="Y471" s="143"/>
      <c r="Z471" s="143"/>
      <c r="AJ471" s="146"/>
    </row>
    <row r="472" ht="15.75" customHeight="1">
      <c r="M472" s="142"/>
      <c r="N472" s="143"/>
      <c r="O472" s="143"/>
      <c r="P472" s="143"/>
      <c r="Q472" s="143"/>
      <c r="R472" s="144" t="s">
        <v>110</v>
      </c>
      <c r="S472" s="143"/>
      <c r="U472" s="143"/>
      <c r="V472" s="143"/>
      <c r="W472" s="143"/>
      <c r="X472" s="143"/>
      <c r="Y472" s="143"/>
      <c r="Z472" s="143"/>
      <c r="AJ472" s="146"/>
    </row>
    <row r="473" ht="15.75" customHeight="1">
      <c r="M473" s="142"/>
      <c r="N473" s="143"/>
      <c r="O473" s="143"/>
      <c r="P473" s="143"/>
      <c r="Q473" s="143"/>
      <c r="R473" s="144" t="s">
        <v>110</v>
      </c>
      <c r="S473" s="143"/>
      <c r="U473" s="143"/>
      <c r="V473" s="143"/>
      <c r="W473" s="143"/>
      <c r="X473" s="143"/>
      <c r="Y473" s="143"/>
      <c r="Z473" s="143"/>
      <c r="AJ473" s="146"/>
    </row>
    <row r="474" ht="15.75" customHeight="1">
      <c r="M474" s="142"/>
      <c r="N474" s="143"/>
      <c r="O474" s="143"/>
      <c r="P474" s="143"/>
      <c r="Q474" s="143"/>
      <c r="R474" s="144" t="s">
        <v>110</v>
      </c>
      <c r="S474" s="143"/>
      <c r="U474" s="143"/>
      <c r="V474" s="143"/>
      <c r="W474" s="143"/>
      <c r="X474" s="143"/>
      <c r="Y474" s="143"/>
      <c r="Z474" s="143"/>
      <c r="AJ474" s="146"/>
    </row>
    <row r="475" ht="15.75" customHeight="1">
      <c r="M475" s="142"/>
      <c r="N475" s="143"/>
      <c r="O475" s="143"/>
      <c r="P475" s="143"/>
      <c r="Q475" s="143"/>
      <c r="R475" s="144" t="s">
        <v>110</v>
      </c>
      <c r="S475" s="143"/>
      <c r="U475" s="143"/>
      <c r="V475" s="143"/>
      <c r="W475" s="143"/>
      <c r="X475" s="143"/>
      <c r="Y475" s="143"/>
      <c r="Z475" s="143"/>
      <c r="AJ475" s="146"/>
    </row>
    <row r="476" ht="15.75" customHeight="1">
      <c r="M476" s="142"/>
      <c r="N476" s="143"/>
      <c r="O476" s="143"/>
      <c r="P476" s="143"/>
      <c r="Q476" s="143"/>
      <c r="R476" s="144" t="s">
        <v>110</v>
      </c>
      <c r="S476" s="143"/>
      <c r="U476" s="143"/>
      <c r="V476" s="143"/>
      <c r="W476" s="143"/>
      <c r="X476" s="143"/>
      <c r="Y476" s="143"/>
      <c r="Z476" s="143"/>
      <c r="AJ476" s="146"/>
    </row>
    <row r="477" ht="15.75" customHeight="1">
      <c r="M477" s="142"/>
      <c r="N477" s="143"/>
      <c r="O477" s="143"/>
      <c r="P477" s="143"/>
      <c r="Q477" s="143"/>
      <c r="R477" s="144" t="s">
        <v>110</v>
      </c>
      <c r="S477" s="143"/>
      <c r="U477" s="143"/>
      <c r="V477" s="143"/>
      <c r="W477" s="143"/>
      <c r="X477" s="143"/>
      <c r="Y477" s="143"/>
      <c r="Z477" s="143"/>
      <c r="AJ477" s="146"/>
    </row>
    <row r="478" ht="15.75" customHeight="1">
      <c r="M478" s="142"/>
      <c r="N478" s="143"/>
      <c r="O478" s="143"/>
      <c r="P478" s="143"/>
      <c r="Q478" s="143"/>
      <c r="R478" s="144" t="s">
        <v>110</v>
      </c>
      <c r="S478" s="143"/>
      <c r="U478" s="143"/>
      <c r="V478" s="143"/>
      <c r="W478" s="143"/>
      <c r="X478" s="143"/>
      <c r="Y478" s="143"/>
      <c r="Z478" s="143"/>
      <c r="AJ478" s="146"/>
    </row>
    <row r="479" ht="15.75" customHeight="1">
      <c r="M479" s="142"/>
      <c r="N479" s="143"/>
      <c r="O479" s="143"/>
      <c r="P479" s="143"/>
      <c r="Q479" s="143"/>
      <c r="R479" s="144" t="s">
        <v>110</v>
      </c>
      <c r="S479" s="143"/>
      <c r="U479" s="143"/>
      <c r="V479" s="143"/>
      <c r="W479" s="143"/>
      <c r="X479" s="143"/>
      <c r="Y479" s="143"/>
      <c r="Z479" s="143"/>
      <c r="AJ479" s="146"/>
    </row>
    <row r="480" ht="15.75" customHeight="1">
      <c r="M480" s="142"/>
      <c r="N480" s="143"/>
      <c r="O480" s="143"/>
      <c r="P480" s="143"/>
      <c r="Q480" s="143"/>
      <c r="R480" s="144" t="s">
        <v>110</v>
      </c>
      <c r="S480" s="143"/>
      <c r="U480" s="143"/>
      <c r="V480" s="143"/>
      <c r="W480" s="143"/>
      <c r="X480" s="143"/>
      <c r="Y480" s="143"/>
      <c r="Z480" s="143"/>
      <c r="AJ480" s="146"/>
    </row>
    <row r="481" ht="15.75" customHeight="1">
      <c r="M481" s="142"/>
      <c r="N481" s="143"/>
      <c r="O481" s="143"/>
      <c r="P481" s="143"/>
      <c r="Q481" s="143"/>
      <c r="R481" s="144" t="s">
        <v>110</v>
      </c>
      <c r="S481" s="143"/>
      <c r="U481" s="143"/>
      <c r="V481" s="143"/>
      <c r="W481" s="143"/>
      <c r="X481" s="143"/>
      <c r="Y481" s="143"/>
      <c r="Z481" s="143"/>
      <c r="AJ481" s="146"/>
    </row>
    <row r="482" ht="15.75" customHeight="1">
      <c r="M482" s="142"/>
      <c r="N482" s="143"/>
      <c r="O482" s="143"/>
      <c r="P482" s="143"/>
      <c r="Q482" s="143"/>
      <c r="R482" s="144" t="s">
        <v>110</v>
      </c>
      <c r="S482" s="143"/>
      <c r="U482" s="143"/>
      <c r="V482" s="143"/>
      <c r="W482" s="143"/>
      <c r="X482" s="143"/>
      <c r="Y482" s="143"/>
      <c r="Z482" s="143"/>
      <c r="AJ482" s="146"/>
    </row>
    <row r="483" ht="15.75" customHeight="1">
      <c r="M483" s="142"/>
      <c r="N483" s="143"/>
      <c r="O483" s="143"/>
      <c r="P483" s="143"/>
      <c r="Q483" s="143"/>
      <c r="R483" s="144" t="s">
        <v>110</v>
      </c>
      <c r="S483" s="143"/>
      <c r="U483" s="143"/>
      <c r="V483" s="143"/>
      <c r="W483" s="143"/>
      <c r="X483" s="143"/>
      <c r="Y483" s="143"/>
      <c r="Z483" s="143"/>
      <c r="AJ483" s="146"/>
    </row>
    <row r="484" ht="15.75" customHeight="1">
      <c r="M484" s="142"/>
      <c r="N484" s="143"/>
      <c r="O484" s="143"/>
      <c r="P484" s="143"/>
      <c r="Q484" s="143"/>
      <c r="R484" s="144" t="s">
        <v>110</v>
      </c>
      <c r="S484" s="143"/>
      <c r="U484" s="143"/>
      <c r="V484" s="143"/>
      <c r="W484" s="143"/>
      <c r="X484" s="143"/>
      <c r="Y484" s="143"/>
      <c r="Z484" s="143"/>
      <c r="AJ484" s="146"/>
    </row>
    <row r="485" ht="15.75" customHeight="1">
      <c r="M485" s="142"/>
      <c r="N485" s="143"/>
      <c r="O485" s="143"/>
      <c r="P485" s="143"/>
      <c r="Q485" s="143"/>
      <c r="R485" s="144" t="s">
        <v>110</v>
      </c>
      <c r="S485" s="143"/>
      <c r="U485" s="143"/>
      <c r="V485" s="143"/>
      <c r="W485" s="143"/>
      <c r="X485" s="143"/>
      <c r="Y485" s="143"/>
      <c r="Z485" s="143"/>
      <c r="AJ485" s="146"/>
    </row>
    <row r="486" ht="15.75" customHeight="1">
      <c r="M486" s="142"/>
      <c r="N486" s="143"/>
      <c r="O486" s="143"/>
      <c r="P486" s="143"/>
      <c r="Q486" s="143"/>
      <c r="R486" s="144" t="s">
        <v>110</v>
      </c>
      <c r="S486" s="143"/>
      <c r="U486" s="143"/>
      <c r="V486" s="143"/>
      <c r="W486" s="143"/>
      <c r="X486" s="143"/>
      <c r="Y486" s="143"/>
      <c r="Z486" s="143"/>
      <c r="AJ486" s="146"/>
    </row>
    <row r="487" ht="15.75" customHeight="1">
      <c r="M487" s="142"/>
      <c r="N487" s="143"/>
      <c r="O487" s="143"/>
      <c r="P487" s="143"/>
      <c r="Q487" s="143"/>
      <c r="R487" s="144" t="s">
        <v>110</v>
      </c>
      <c r="S487" s="143"/>
      <c r="U487" s="143"/>
      <c r="V487" s="143"/>
      <c r="W487" s="143"/>
      <c r="X487" s="143"/>
      <c r="Y487" s="143"/>
      <c r="Z487" s="143"/>
      <c r="AJ487" s="146"/>
    </row>
    <row r="488" ht="15.75" customHeight="1">
      <c r="M488" s="142"/>
      <c r="N488" s="143"/>
      <c r="O488" s="143"/>
      <c r="P488" s="143"/>
      <c r="Q488" s="143"/>
      <c r="R488" s="144" t="s">
        <v>110</v>
      </c>
      <c r="S488" s="143"/>
      <c r="U488" s="143"/>
      <c r="V488" s="143"/>
      <c r="W488" s="143"/>
      <c r="X488" s="143"/>
      <c r="Y488" s="143"/>
      <c r="Z488" s="143"/>
      <c r="AJ488" s="146"/>
    </row>
    <row r="489" ht="15.75" customHeight="1">
      <c r="M489" s="142"/>
      <c r="N489" s="143"/>
      <c r="O489" s="143"/>
      <c r="P489" s="143"/>
      <c r="Q489" s="143"/>
      <c r="R489" s="144" t="s">
        <v>110</v>
      </c>
      <c r="S489" s="143"/>
      <c r="U489" s="143"/>
      <c r="V489" s="143"/>
      <c r="W489" s="143"/>
      <c r="X489" s="143"/>
      <c r="Y489" s="143"/>
      <c r="Z489" s="143"/>
      <c r="AJ489" s="146"/>
    </row>
    <row r="490" ht="15.75" customHeight="1">
      <c r="M490" s="142"/>
      <c r="N490" s="143"/>
      <c r="O490" s="143"/>
      <c r="P490" s="143"/>
      <c r="Q490" s="143"/>
      <c r="R490" s="144" t="s">
        <v>110</v>
      </c>
      <c r="S490" s="143"/>
      <c r="U490" s="143"/>
      <c r="V490" s="143"/>
      <c r="W490" s="143"/>
      <c r="X490" s="143"/>
      <c r="Y490" s="143"/>
      <c r="Z490" s="143"/>
      <c r="AJ490" s="146"/>
    </row>
    <row r="491" ht="15.75" customHeight="1">
      <c r="M491" s="142"/>
      <c r="N491" s="143"/>
      <c r="O491" s="143"/>
      <c r="P491" s="143"/>
      <c r="Q491" s="143"/>
      <c r="R491" s="144" t="s">
        <v>110</v>
      </c>
      <c r="S491" s="143"/>
      <c r="U491" s="143"/>
      <c r="V491" s="143"/>
      <c r="W491" s="143"/>
      <c r="X491" s="143"/>
      <c r="Y491" s="143"/>
      <c r="Z491" s="143"/>
      <c r="AJ491" s="146"/>
    </row>
    <row r="492" ht="15.75" customHeight="1">
      <c r="M492" s="142"/>
      <c r="N492" s="143"/>
      <c r="O492" s="143"/>
      <c r="P492" s="143"/>
      <c r="Q492" s="143"/>
      <c r="R492" s="144" t="s">
        <v>110</v>
      </c>
      <c r="S492" s="143"/>
      <c r="U492" s="143"/>
      <c r="V492" s="143"/>
      <c r="W492" s="143"/>
      <c r="X492" s="143"/>
      <c r="Y492" s="143"/>
      <c r="Z492" s="143"/>
      <c r="AJ492" s="146"/>
    </row>
    <row r="493" ht="15.75" customHeight="1">
      <c r="M493" s="142"/>
      <c r="N493" s="143"/>
      <c r="O493" s="143"/>
      <c r="P493" s="143"/>
      <c r="Q493" s="143"/>
      <c r="R493" s="144" t="s">
        <v>110</v>
      </c>
      <c r="S493" s="143"/>
      <c r="U493" s="143"/>
      <c r="V493" s="143"/>
      <c r="W493" s="143"/>
      <c r="X493" s="143"/>
      <c r="Y493" s="143"/>
      <c r="Z493" s="143"/>
      <c r="AJ493" s="146"/>
    </row>
    <row r="494" ht="15.75" customHeight="1">
      <c r="M494" s="142"/>
      <c r="N494" s="143"/>
      <c r="O494" s="143"/>
      <c r="P494" s="143"/>
      <c r="Q494" s="143"/>
      <c r="R494" s="144" t="s">
        <v>110</v>
      </c>
      <c r="S494" s="143"/>
      <c r="U494" s="143"/>
      <c r="V494" s="143"/>
      <c r="W494" s="143"/>
      <c r="X494" s="143"/>
      <c r="Y494" s="143"/>
      <c r="Z494" s="143"/>
      <c r="AJ494" s="146"/>
    </row>
    <row r="495" ht="15.75" customHeight="1">
      <c r="M495" s="142"/>
      <c r="N495" s="143"/>
      <c r="O495" s="143"/>
      <c r="P495" s="143"/>
      <c r="Q495" s="143"/>
      <c r="R495" s="144" t="s">
        <v>110</v>
      </c>
      <c r="S495" s="143"/>
      <c r="U495" s="143"/>
      <c r="V495" s="143"/>
      <c r="W495" s="143"/>
      <c r="X495" s="143"/>
      <c r="Y495" s="143"/>
      <c r="Z495" s="143"/>
      <c r="AJ495" s="146"/>
    </row>
    <row r="496" ht="15.75" customHeight="1">
      <c r="M496" s="142"/>
      <c r="N496" s="143"/>
      <c r="O496" s="143"/>
      <c r="P496" s="143"/>
      <c r="Q496" s="143"/>
      <c r="R496" s="144" t="s">
        <v>110</v>
      </c>
      <c r="S496" s="143"/>
      <c r="U496" s="143"/>
      <c r="V496" s="143"/>
      <c r="W496" s="143"/>
      <c r="X496" s="143"/>
      <c r="Y496" s="143"/>
      <c r="Z496" s="143"/>
      <c r="AJ496" s="146"/>
    </row>
    <row r="497" ht="15.75" customHeight="1">
      <c r="M497" s="142"/>
      <c r="N497" s="143"/>
      <c r="O497" s="143"/>
      <c r="P497" s="143"/>
      <c r="Q497" s="143"/>
      <c r="R497" s="144" t="s">
        <v>110</v>
      </c>
      <c r="S497" s="143"/>
      <c r="U497" s="143"/>
      <c r="V497" s="143"/>
      <c r="W497" s="143"/>
      <c r="X497" s="143"/>
      <c r="Y497" s="143"/>
      <c r="Z497" s="143"/>
      <c r="AJ497" s="146"/>
    </row>
    <row r="498" ht="15.75" customHeight="1">
      <c r="M498" s="142"/>
      <c r="N498" s="143"/>
      <c r="O498" s="143"/>
      <c r="P498" s="143"/>
      <c r="Q498" s="143"/>
      <c r="R498" s="144" t="s">
        <v>110</v>
      </c>
      <c r="S498" s="143"/>
      <c r="U498" s="143"/>
      <c r="V498" s="143"/>
      <c r="W498" s="143"/>
      <c r="X498" s="143"/>
      <c r="Y498" s="143"/>
      <c r="Z498" s="143"/>
      <c r="AJ498" s="146"/>
    </row>
    <row r="499" ht="15.75" customHeight="1">
      <c r="M499" s="142"/>
      <c r="N499" s="143"/>
      <c r="O499" s="143"/>
      <c r="P499" s="143"/>
      <c r="Q499" s="143"/>
      <c r="R499" s="144" t="s">
        <v>110</v>
      </c>
      <c r="S499" s="143"/>
      <c r="U499" s="143"/>
      <c r="V499" s="143"/>
      <c r="W499" s="143"/>
      <c r="X499" s="143"/>
      <c r="Y499" s="143"/>
      <c r="Z499" s="143"/>
      <c r="AJ499" s="146"/>
    </row>
    <row r="500" ht="15.75" customHeight="1">
      <c r="M500" s="142"/>
      <c r="N500" s="143"/>
      <c r="O500" s="143"/>
      <c r="P500" s="143"/>
      <c r="Q500" s="143"/>
      <c r="R500" s="144" t="s">
        <v>110</v>
      </c>
      <c r="S500" s="143"/>
      <c r="U500" s="143"/>
      <c r="V500" s="143"/>
      <c r="W500" s="143"/>
      <c r="X500" s="143"/>
      <c r="Y500" s="143"/>
      <c r="Z500" s="143"/>
      <c r="AJ500" s="146"/>
    </row>
    <row r="501" ht="15.75" customHeight="1">
      <c r="M501" s="142"/>
      <c r="N501" s="143"/>
      <c r="O501" s="143"/>
      <c r="P501" s="143"/>
      <c r="Q501" s="143"/>
      <c r="R501" s="144" t="s">
        <v>110</v>
      </c>
      <c r="S501" s="143"/>
      <c r="U501" s="143"/>
      <c r="V501" s="143"/>
      <c r="W501" s="143"/>
      <c r="X501" s="143"/>
      <c r="Y501" s="143"/>
      <c r="Z501" s="143"/>
      <c r="AJ501" s="146"/>
    </row>
    <row r="502" ht="15.75" customHeight="1">
      <c r="M502" s="142"/>
      <c r="N502" s="143"/>
      <c r="O502" s="143"/>
      <c r="P502" s="143"/>
      <c r="Q502" s="143"/>
      <c r="R502" s="144" t="s">
        <v>110</v>
      </c>
      <c r="S502" s="143"/>
      <c r="U502" s="143"/>
      <c r="V502" s="143"/>
      <c r="W502" s="143"/>
      <c r="X502" s="143"/>
      <c r="Y502" s="143"/>
      <c r="Z502" s="143"/>
      <c r="AJ502" s="146"/>
    </row>
    <row r="503" ht="15.75" customHeight="1">
      <c r="M503" s="142"/>
      <c r="N503" s="143"/>
      <c r="O503" s="143"/>
      <c r="P503" s="143"/>
      <c r="Q503" s="143"/>
      <c r="R503" s="144" t="s">
        <v>110</v>
      </c>
      <c r="S503" s="143"/>
      <c r="U503" s="143"/>
      <c r="V503" s="143"/>
      <c r="W503" s="143"/>
      <c r="X503" s="143"/>
      <c r="Y503" s="143"/>
      <c r="Z503" s="143"/>
      <c r="AJ503" s="146"/>
    </row>
    <row r="504" ht="15.75" customHeight="1">
      <c r="M504" s="142"/>
      <c r="N504" s="143"/>
      <c r="O504" s="143"/>
      <c r="P504" s="143"/>
      <c r="Q504" s="143"/>
      <c r="R504" s="144" t="s">
        <v>110</v>
      </c>
      <c r="S504" s="143"/>
      <c r="U504" s="143"/>
      <c r="V504" s="143"/>
      <c r="W504" s="143"/>
      <c r="X504" s="143"/>
      <c r="Y504" s="143"/>
      <c r="Z504" s="143"/>
      <c r="AJ504" s="146"/>
    </row>
    <row r="505" ht="15.75" customHeight="1">
      <c r="M505" s="142"/>
      <c r="N505" s="143"/>
      <c r="O505" s="143"/>
      <c r="P505" s="143"/>
      <c r="Q505" s="143"/>
      <c r="R505" s="144" t="s">
        <v>110</v>
      </c>
      <c r="S505" s="143"/>
      <c r="U505" s="143"/>
      <c r="V505" s="143"/>
      <c r="W505" s="143"/>
      <c r="X505" s="143"/>
      <c r="Y505" s="143"/>
      <c r="Z505" s="143"/>
      <c r="AJ505" s="146"/>
    </row>
    <row r="506" ht="15.75" customHeight="1">
      <c r="M506" s="142"/>
      <c r="N506" s="143"/>
      <c r="O506" s="143"/>
      <c r="P506" s="143"/>
      <c r="Q506" s="143"/>
      <c r="R506" s="144" t="s">
        <v>110</v>
      </c>
      <c r="S506" s="143"/>
      <c r="U506" s="143"/>
      <c r="V506" s="143"/>
      <c r="W506" s="143"/>
      <c r="X506" s="143"/>
      <c r="Y506" s="143"/>
      <c r="Z506" s="143"/>
      <c r="AJ506" s="146"/>
    </row>
    <row r="507" ht="15.75" customHeight="1">
      <c r="M507" s="142"/>
      <c r="N507" s="143"/>
      <c r="O507" s="143"/>
      <c r="P507" s="143"/>
      <c r="Q507" s="143"/>
      <c r="R507" s="144" t="s">
        <v>110</v>
      </c>
      <c r="S507" s="143"/>
      <c r="U507" s="143"/>
      <c r="V507" s="143"/>
      <c r="W507" s="143"/>
      <c r="X507" s="143"/>
      <c r="Y507" s="143"/>
      <c r="Z507" s="143"/>
      <c r="AJ507" s="146"/>
    </row>
    <row r="508" ht="15.75" customHeight="1">
      <c r="M508" s="142"/>
      <c r="N508" s="143"/>
      <c r="O508" s="143"/>
      <c r="P508" s="143"/>
      <c r="Q508" s="143"/>
      <c r="R508" s="144" t="s">
        <v>110</v>
      </c>
      <c r="S508" s="143"/>
      <c r="U508" s="143"/>
      <c r="V508" s="143"/>
      <c r="W508" s="143"/>
      <c r="X508" s="143"/>
      <c r="Y508" s="143"/>
      <c r="Z508" s="143"/>
      <c r="AJ508" s="146"/>
    </row>
    <row r="509" ht="15.75" customHeight="1">
      <c r="M509" s="142"/>
      <c r="N509" s="143"/>
      <c r="O509" s="143"/>
      <c r="P509" s="143"/>
      <c r="Q509" s="143"/>
      <c r="R509" s="144" t="s">
        <v>110</v>
      </c>
      <c r="S509" s="143"/>
      <c r="U509" s="143"/>
      <c r="V509" s="143"/>
      <c r="W509" s="143"/>
      <c r="X509" s="143"/>
      <c r="Y509" s="143"/>
      <c r="Z509" s="143"/>
      <c r="AJ509" s="146"/>
    </row>
    <row r="510" ht="15.75" customHeight="1">
      <c r="M510" s="142"/>
      <c r="N510" s="143"/>
      <c r="O510" s="143"/>
      <c r="P510" s="143"/>
      <c r="Q510" s="143"/>
      <c r="R510" s="144" t="s">
        <v>110</v>
      </c>
      <c r="S510" s="143"/>
      <c r="U510" s="143"/>
      <c r="V510" s="143"/>
      <c r="W510" s="143"/>
      <c r="X510" s="143"/>
      <c r="Y510" s="143"/>
      <c r="Z510" s="143"/>
      <c r="AJ510" s="146"/>
    </row>
    <row r="511" ht="15.75" customHeight="1">
      <c r="M511" s="142"/>
      <c r="N511" s="143"/>
      <c r="O511" s="143"/>
      <c r="P511" s="143"/>
      <c r="Q511" s="143"/>
      <c r="R511" s="144" t="s">
        <v>110</v>
      </c>
      <c r="S511" s="143"/>
      <c r="U511" s="143"/>
      <c r="V511" s="143"/>
      <c r="W511" s="143"/>
      <c r="X511" s="143"/>
      <c r="Y511" s="143"/>
      <c r="Z511" s="143"/>
      <c r="AJ511" s="146"/>
    </row>
    <row r="512" ht="15.75" customHeight="1">
      <c r="M512" s="142"/>
      <c r="N512" s="143"/>
      <c r="O512" s="143"/>
      <c r="P512" s="143"/>
      <c r="Q512" s="143"/>
      <c r="R512" s="144" t="s">
        <v>110</v>
      </c>
      <c r="S512" s="143"/>
      <c r="U512" s="143"/>
      <c r="V512" s="143"/>
      <c r="W512" s="143"/>
      <c r="X512" s="143"/>
      <c r="Y512" s="143"/>
      <c r="Z512" s="143"/>
      <c r="AJ512" s="146"/>
    </row>
    <row r="513" ht="15.75" customHeight="1">
      <c r="M513" s="142"/>
      <c r="N513" s="143"/>
      <c r="O513" s="143"/>
      <c r="P513" s="143"/>
      <c r="Q513" s="143"/>
      <c r="R513" s="144" t="s">
        <v>110</v>
      </c>
      <c r="S513" s="143"/>
      <c r="U513" s="143"/>
      <c r="V513" s="143"/>
      <c r="W513" s="143"/>
      <c r="X513" s="143"/>
      <c r="Y513" s="143"/>
      <c r="Z513" s="143"/>
      <c r="AJ513" s="146"/>
    </row>
    <row r="514" ht="15.75" customHeight="1">
      <c r="M514" s="142"/>
      <c r="N514" s="143"/>
      <c r="O514" s="143"/>
      <c r="P514" s="143"/>
      <c r="Q514" s="143"/>
      <c r="R514" s="144" t="s">
        <v>110</v>
      </c>
      <c r="S514" s="143"/>
      <c r="U514" s="143"/>
      <c r="V514" s="143"/>
      <c r="W514" s="143"/>
      <c r="X514" s="143"/>
      <c r="Y514" s="143"/>
      <c r="Z514" s="143"/>
      <c r="AJ514" s="146"/>
    </row>
    <row r="515" ht="15.75" customHeight="1">
      <c r="M515" s="142"/>
      <c r="N515" s="143"/>
      <c r="O515" s="143"/>
      <c r="P515" s="143"/>
      <c r="Q515" s="143"/>
      <c r="R515" s="144" t="s">
        <v>110</v>
      </c>
      <c r="S515" s="143"/>
      <c r="U515" s="143"/>
      <c r="V515" s="143"/>
      <c r="W515" s="143"/>
      <c r="X515" s="143"/>
      <c r="Y515" s="143"/>
      <c r="Z515" s="143"/>
      <c r="AJ515" s="146"/>
    </row>
    <row r="516" ht="15.75" customHeight="1">
      <c r="M516" s="142"/>
      <c r="N516" s="143"/>
      <c r="O516" s="143"/>
      <c r="P516" s="143"/>
      <c r="Q516" s="143"/>
      <c r="R516" s="144" t="s">
        <v>110</v>
      </c>
      <c r="S516" s="143"/>
      <c r="U516" s="143"/>
      <c r="V516" s="143"/>
      <c r="W516" s="143"/>
      <c r="X516" s="143"/>
      <c r="Y516" s="143"/>
      <c r="Z516" s="143"/>
      <c r="AJ516" s="146"/>
    </row>
    <row r="517" ht="15.75" customHeight="1">
      <c r="M517" s="142"/>
      <c r="N517" s="143"/>
      <c r="O517" s="143"/>
      <c r="P517" s="143"/>
      <c r="Q517" s="143"/>
      <c r="R517" s="144" t="s">
        <v>110</v>
      </c>
      <c r="S517" s="143"/>
      <c r="U517" s="143"/>
      <c r="V517" s="143"/>
      <c r="W517" s="143"/>
      <c r="X517" s="143"/>
      <c r="Y517" s="143"/>
      <c r="Z517" s="143"/>
      <c r="AJ517" s="146"/>
    </row>
    <row r="518" ht="15.75" customHeight="1">
      <c r="M518" s="142"/>
      <c r="N518" s="143"/>
      <c r="O518" s="143"/>
      <c r="P518" s="143"/>
      <c r="Q518" s="143"/>
      <c r="R518" s="144" t="s">
        <v>110</v>
      </c>
      <c r="S518" s="143"/>
      <c r="U518" s="143"/>
      <c r="V518" s="143"/>
      <c r="W518" s="143"/>
      <c r="X518" s="143"/>
      <c r="Y518" s="143"/>
      <c r="Z518" s="143"/>
      <c r="AJ518" s="146"/>
    </row>
    <row r="519" ht="15.75" customHeight="1">
      <c r="M519" s="142"/>
      <c r="N519" s="143"/>
      <c r="O519" s="143"/>
      <c r="P519" s="143"/>
      <c r="Q519" s="143"/>
      <c r="R519" s="144" t="s">
        <v>110</v>
      </c>
      <c r="S519" s="143"/>
      <c r="U519" s="143"/>
      <c r="V519" s="143"/>
      <c r="W519" s="143"/>
      <c r="X519" s="143"/>
      <c r="Y519" s="143"/>
      <c r="Z519" s="143"/>
      <c r="AJ519" s="146"/>
    </row>
    <row r="520" ht="15.75" customHeight="1">
      <c r="M520" s="142"/>
      <c r="N520" s="143"/>
      <c r="O520" s="143"/>
      <c r="P520" s="143"/>
      <c r="Q520" s="143"/>
      <c r="R520" s="144" t="s">
        <v>110</v>
      </c>
      <c r="S520" s="143"/>
      <c r="U520" s="143"/>
      <c r="V520" s="143"/>
      <c r="W520" s="143"/>
      <c r="X520" s="143"/>
      <c r="Y520" s="143"/>
      <c r="Z520" s="143"/>
      <c r="AJ520" s="146"/>
    </row>
    <row r="521" ht="15.75" customHeight="1">
      <c r="M521" s="142"/>
      <c r="N521" s="143"/>
      <c r="O521" s="143"/>
      <c r="P521" s="143"/>
      <c r="Q521" s="143"/>
      <c r="R521" s="144" t="s">
        <v>110</v>
      </c>
      <c r="S521" s="143"/>
      <c r="U521" s="143"/>
      <c r="V521" s="143"/>
      <c r="W521" s="143"/>
      <c r="X521" s="143"/>
      <c r="Y521" s="143"/>
      <c r="Z521" s="143"/>
      <c r="AJ521" s="146"/>
    </row>
    <row r="522" ht="15.75" customHeight="1">
      <c r="M522" s="142"/>
      <c r="N522" s="143"/>
      <c r="O522" s="143"/>
      <c r="P522" s="143"/>
      <c r="Q522" s="143"/>
      <c r="R522" s="144" t="s">
        <v>110</v>
      </c>
      <c r="S522" s="143"/>
      <c r="U522" s="143"/>
      <c r="V522" s="143"/>
      <c r="W522" s="143"/>
      <c r="X522" s="143"/>
      <c r="Y522" s="143"/>
      <c r="Z522" s="143"/>
      <c r="AJ522" s="146"/>
    </row>
    <row r="523" ht="15.75" customHeight="1">
      <c r="M523" s="142"/>
      <c r="N523" s="143"/>
      <c r="O523" s="143"/>
      <c r="P523" s="143"/>
      <c r="Q523" s="143"/>
      <c r="R523" s="144" t="s">
        <v>110</v>
      </c>
      <c r="S523" s="143"/>
      <c r="U523" s="143"/>
      <c r="V523" s="143"/>
      <c r="W523" s="143"/>
      <c r="X523" s="143"/>
      <c r="Y523" s="143"/>
      <c r="Z523" s="143"/>
      <c r="AJ523" s="146"/>
    </row>
    <row r="524" ht="15.75" customHeight="1">
      <c r="M524" s="142"/>
      <c r="N524" s="143"/>
      <c r="O524" s="143"/>
      <c r="P524" s="143"/>
      <c r="Q524" s="143"/>
      <c r="R524" s="144" t="s">
        <v>110</v>
      </c>
      <c r="S524" s="143"/>
      <c r="U524" s="143"/>
      <c r="V524" s="143"/>
      <c r="W524" s="143"/>
      <c r="X524" s="143"/>
      <c r="Y524" s="143"/>
      <c r="Z524" s="143"/>
      <c r="AJ524" s="146"/>
    </row>
    <row r="525" ht="15.75" customHeight="1">
      <c r="M525" s="142"/>
      <c r="N525" s="143"/>
      <c r="O525" s="143"/>
      <c r="P525" s="143"/>
      <c r="Q525" s="143"/>
      <c r="R525" s="144" t="s">
        <v>110</v>
      </c>
      <c r="S525" s="143"/>
      <c r="U525" s="143"/>
      <c r="V525" s="143"/>
      <c r="W525" s="143"/>
      <c r="X525" s="143"/>
      <c r="Y525" s="143"/>
      <c r="Z525" s="143"/>
      <c r="AJ525" s="146"/>
    </row>
    <row r="526" ht="15.75" customHeight="1">
      <c r="M526" s="142"/>
      <c r="N526" s="143"/>
      <c r="O526" s="143"/>
      <c r="P526" s="143"/>
      <c r="Q526" s="143"/>
      <c r="R526" s="144" t="s">
        <v>110</v>
      </c>
      <c r="S526" s="143"/>
      <c r="U526" s="143"/>
      <c r="V526" s="143"/>
      <c r="W526" s="143"/>
      <c r="X526" s="143"/>
      <c r="Y526" s="143"/>
      <c r="Z526" s="143"/>
      <c r="AJ526" s="146"/>
    </row>
    <row r="527" ht="15.75" customHeight="1">
      <c r="M527" s="142"/>
      <c r="N527" s="143"/>
      <c r="O527" s="143"/>
      <c r="P527" s="143"/>
      <c r="Q527" s="143"/>
      <c r="R527" s="144" t="s">
        <v>110</v>
      </c>
      <c r="S527" s="143"/>
      <c r="U527" s="143"/>
      <c r="V527" s="143"/>
      <c r="W527" s="143"/>
      <c r="X527" s="143"/>
      <c r="Y527" s="143"/>
      <c r="Z527" s="143"/>
      <c r="AJ527" s="146"/>
    </row>
    <row r="528" ht="15.75" customHeight="1">
      <c r="M528" s="142"/>
      <c r="N528" s="143"/>
      <c r="O528" s="143"/>
      <c r="P528" s="143"/>
      <c r="Q528" s="143"/>
      <c r="R528" s="144" t="s">
        <v>110</v>
      </c>
      <c r="S528" s="143"/>
      <c r="U528" s="143"/>
      <c r="V528" s="143"/>
      <c r="W528" s="143"/>
      <c r="X528" s="143"/>
      <c r="Y528" s="143"/>
      <c r="Z528" s="143"/>
      <c r="AJ528" s="146"/>
    </row>
    <row r="529" ht="15.75" customHeight="1">
      <c r="M529" s="142"/>
      <c r="N529" s="143"/>
      <c r="O529" s="143"/>
      <c r="P529" s="143"/>
      <c r="Q529" s="143"/>
      <c r="R529" s="144" t="s">
        <v>110</v>
      </c>
      <c r="S529" s="143"/>
      <c r="U529" s="143"/>
      <c r="V529" s="143"/>
      <c r="W529" s="143"/>
      <c r="X529" s="143"/>
      <c r="Y529" s="143"/>
      <c r="Z529" s="143"/>
      <c r="AJ529" s="146"/>
    </row>
    <row r="530" ht="15.75" customHeight="1">
      <c r="M530" s="142"/>
      <c r="N530" s="143"/>
      <c r="O530" s="143"/>
      <c r="P530" s="143"/>
      <c r="Q530" s="143"/>
      <c r="R530" s="144" t="s">
        <v>110</v>
      </c>
      <c r="S530" s="143"/>
      <c r="U530" s="143"/>
      <c r="V530" s="143"/>
      <c r="W530" s="143"/>
      <c r="X530" s="143"/>
      <c r="Y530" s="143"/>
      <c r="Z530" s="143"/>
      <c r="AJ530" s="146"/>
    </row>
    <row r="531" ht="15.75" customHeight="1">
      <c r="M531" s="142"/>
      <c r="N531" s="143"/>
      <c r="O531" s="143"/>
      <c r="P531" s="143"/>
      <c r="Q531" s="143"/>
      <c r="R531" s="144" t="s">
        <v>110</v>
      </c>
      <c r="S531" s="143"/>
      <c r="U531" s="143"/>
      <c r="V531" s="143"/>
      <c r="W531" s="143"/>
      <c r="X531" s="143"/>
      <c r="Y531" s="143"/>
      <c r="Z531" s="143"/>
      <c r="AJ531" s="146"/>
    </row>
    <row r="532" ht="15.75" customHeight="1">
      <c r="M532" s="142"/>
      <c r="N532" s="143"/>
      <c r="O532" s="143"/>
      <c r="P532" s="143"/>
      <c r="Q532" s="143"/>
      <c r="R532" s="144" t="s">
        <v>110</v>
      </c>
      <c r="S532" s="143"/>
      <c r="U532" s="143"/>
      <c r="V532" s="143"/>
      <c r="W532" s="143"/>
      <c r="X532" s="143"/>
      <c r="Y532" s="143"/>
      <c r="Z532" s="143"/>
      <c r="AJ532" s="146"/>
    </row>
    <row r="533" ht="15.75" customHeight="1">
      <c r="M533" s="142"/>
      <c r="N533" s="143"/>
      <c r="O533" s="143"/>
      <c r="P533" s="143"/>
      <c r="Q533" s="143"/>
      <c r="R533" s="144" t="s">
        <v>110</v>
      </c>
      <c r="S533" s="143"/>
      <c r="U533" s="143"/>
      <c r="V533" s="143"/>
      <c r="W533" s="143"/>
      <c r="X533" s="143"/>
      <c r="Y533" s="143"/>
      <c r="Z533" s="143"/>
      <c r="AJ533" s="146"/>
    </row>
    <row r="534" ht="15.75" customHeight="1">
      <c r="M534" s="142"/>
      <c r="N534" s="143"/>
      <c r="O534" s="143"/>
      <c r="P534" s="143"/>
      <c r="Q534" s="143"/>
      <c r="R534" s="144" t="s">
        <v>110</v>
      </c>
      <c r="S534" s="143"/>
      <c r="U534" s="143"/>
      <c r="V534" s="143"/>
      <c r="W534" s="143"/>
      <c r="X534" s="143"/>
      <c r="Y534" s="143"/>
      <c r="Z534" s="143"/>
      <c r="AJ534" s="146"/>
    </row>
    <row r="535" ht="15.75" customHeight="1">
      <c r="M535" s="142"/>
      <c r="N535" s="143"/>
      <c r="O535" s="143"/>
      <c r="P535" s="143"/>
      <c r="Q535" s="143"/>
      <c r="R535" s="144" t="s">
        <v>110</v>
      </c>
      <c r="S535" s="143"/>
      <c r="U535" s="143"/>
      <c r="V535" s="143"/>
      <c r="W535" s="143"/>
      <c r="X535" s="143"/>
      <c r="Y535" s="143"/>
      <c r="Z535" s="143"/>
      <c r="AJ535" s="146"/>
    </row>
    <row r="536" ht="15.75" customHeight="1">
      <c r="M536" s="142"/>
      <c r="N536" s="143"/>
      <c r="O536" s="143"/>
      <c r="P536" s="143"/>
      <c r="Q536" s="143"/>
      <c r="R536" s="144" t="s">
        <v>110</v>
      </c>
      <c r="S536" s="143"/>
      <c r="U536" s="143"/>
      <c r="V536" s="143"/>
      <c r="W536" s="143"/>
      <c r="X536" s="143"/>
      <c r="Y536" s="143"/>
      <c r="Z536" s="143"/>
      <c r="AJ536" s="146"/>
    </row>
    <row r="537" ht="15.75" customHeight="1">
      <c r="M537" s="142"/>
      <c r="N537" s="143"/>
      <c r="O537" s="143"/>
      <c r="P537" s="143"/>
      <c r="Q537" s="143"/>
      <c r="R537" s="144" t="s">
        <v>110</v>
      </c>
      <c r="S537" s="143"/>
      <c r="U537" s="143"/>
      <c r="V537" s="143"/>
      <c r="W537" s="143"/>
      <c r="X537" s="143"/>
      <c r="Y537" s="143"/>
      <c r="Z537" s="143"/>
      <c r="AJ537" s="146"/>
    </row>
    <row r="538" ht="15.75" customHeight="1">
      <c r="M538" s="142"/>
      <c r="N538" s="143"/>
      <c r="O538" s="143"/>
      <c r="P538" s="143"/>
      <c r="Q538" s="143"/>
      <c r="R538" s="144" t="s">
        <v>110</v>
      </c>
      <c r="S538" s="143"/>
      <c r="U538" s="143"/>
      <c r="V538" s="143"/>
      <c r="W538" s="143"/>
      <c r="X538" s="143"/>
      <c r="Y538" s="143"/>
      <c r="Z538" s="143"/>
      <c r="AJ538" s="146"/>
    </row>
    <row r="539" ht="15.75" customHeight="1">
      <c r="M539" s="142"/>
      <c r="N539" s="143"/>
      <c r="O539" s="143"/>
      <c r="P539" s="143"/>
      <c r="Q539" s="143"/>
      <c r="R539" s="144" t="s">
        <v>110</v>
      </c>
      <c r="S539" s="143"/>
      <c r="U539" s="143"/>
      <c r="V539" s="143"/>
      <c r="W539" s="143"/>
      <c r="X539" s="143"/>
      <c r="Y539" s="143"/>
      <c r="Z539" s="143"/>
      <c r="AJ539" s="146"/>
    </row>
    <row r="540" ht="15.75" customHeight="1">
      <c r="M540" s="142"/>
      <c r="N540" s="143"/>
      <c r="O540" s="143"/>
      <c r="P540" s="143"/>
      <c r="Q540" s="143"/>
      <c r="R540" s="144" t="s">
        <v>110</v>
      </c>
      <c r="S540" s="143"/>
      <c r="U540" s="143"/>
      <c r="V540" s="143"/>
      <c r="W540" s="143"/>
      <c r="X540" s="143"/>
      <c r="Y540" s="143"/>
      <c r="Z540" s="143"/>
      <c r="AJ540" s="146"/>
    </row>
    <row r="541" ht="15.75" customHeight="1">
      <c r="M541" s="142"/>
      <c r="N541" s="143"/>
      <c r="O541" s="143"/>
      <c r="P541" s="143"/>
      <c r="Q541" s="143"/>
      <c r="R541" s="144" t="s">
        <v>110</v>
      </c>
      <c r="S541" s="143"/>
      <c r="U541" s="143"/>
      <c r="V541" s="143"/>
      <c r="W541" s="143"/>
      <c r="X541" s="143"/>
      <c r="Y541" s="143"/>
      <c r="Z541" s="143"/>
      <c r="AJ541" s="146"/>
    </row>
    <row r="542" ht="15.75" customHeight="1">
      <c r="M542" s="142"/>
      <c r="N542" s="143"/>
      <c r="O542" s="143"/>
      <c r="P542" s="143"/>
      <c r="Q542" s="143"/>
      <c r="R542" s="144" t="s">
        <v>110</v>
      </c>
      <c r="S542" s="143"/>
      <c r="U542" s="143"/>
      <c r="V542" s="143"/>
      <c r="W542" s="143"/>
      <c r="X542" s="143"/>
      <c r="Y542" s="143"/>
      <c r="Z542" s="143"/>
      <c r="AJ542" s="146"/>
    </row>
    <row r="543" ht="15.75" customHeight="1">
      <c r="M543" s="142"/>
      <c r="N543" s="143"/>
      <c r="O543" s="143"/>
      <c r="P543" s="143"/>
      <c r="Q543" s="143"/>
      <c r="R543" s="144" t="s">
        <v>110</v>
      </c>
      <c r="S543" s="143"/>
      <c r="U543" s="143"/>
      <c r="V543" s="143"/>
      <c r="W543" s="143"/>
      <c r="X543" s="143"/>
      <c r="Y543" s="143"/>
      <c r="Z543" s="143"/>
      <c r="AJ543" s="146"/>
    </row>
    <row r="544" ht="15.75" customHeight="1">
      <c r="M544" s="142"/>
      <c r="N544" s="143"/>
      <c r="O544" s="143"/>
      <c r="P544" s="143"/>
      <c r="Q544" s="143"/>
      <c r="R544" s="144" t="s">
        <v>110</v>
      </c>
      <c r="S544" s="143"/>
      <c r="U544" s="143"/>
      <c r="V544" s="143"/>
      <c r="W544" s="143"/>
      <c r="X544" s="143"/>
      <c r="Y544" s="143"/>
      <c r="Z544" s="143"/>
      <c r="AJ544" s="146"/>
    </row>
    <row r="545" ht="15.75" customHeight="1">
      <c r="M545" s="142"/>
      <c r="N545" s="143"/>
      <c r="O545" s="143"/>
      <c r="P545" s="143"/>
      <c r="Q545" s="143"/>
      <c r="R545" s="144" t="s">
        <v>110</v>
      </c>
      <c r="S545" s="143"/>
      <c r="U545" s="143"/>
      <c r="V545" s="143"/>
      <c r="W545" s="143"/>
      <c r="X545" s="143"/>
      <c r="Y545" s="143"/>
      <c r="Z545" s="143"/>
      <c r="AJ545" s="146"/>
    </row>
    <row r="546" ht="15.75" customHeight="1">
      <c r="M546" s="142"/>
      <c r="N546" s="143"/>
      <c r="O546" s="143"/>
      <c r="P546" s="143"/>
      <c r="Q546" s="143"/>
      <c r="R546" s="144" t="s">
        <v>110</v>
      </c>
      <c r="S546" s="143"/>
      <c r="U546" s="143"/>
      <c r="V546" s="143"/>
      <c r="W546" s="143"/>
      <c r="X546" s="143"/>
      <c r="Y546" s="143"/>
      <c r="Z546" s="143"/>
      <c r="AJ546" s="146"/>
    </row>
    <row r="547" ht="15.75" customHeight="1">
      <c r="M547" s="142"/>
      <c r="N547" s="143"/>
      <c r="O547" s="143"/>
      <c r="P547" s="143"/>
      <c r="Q547" s="143"/>
      <c r="R547" s="144" t="s">
        <v>110</v>
      </c>
      <c r="S547" s="143"/>
      <c r="U547" s="143"/>
      <c r="V547" s="143"/>
      <c r="W547" s="143"/>
      <c r="X547" s="143"/>
      <c r="Y547" s="143"/>
      <c r="Z547" s="143"/>
      <c r="AJ547" s="146"/>
    </row>
    <row r="548" ht="15.75" customHeight="1">
      <c r="M548" s="142"/>
      <c r="N548" s="143"/>
      <c r="O548" s="143"/>
      <c r="P548" s="143"/>
      <c r="Q548" s="143"/>
      <c r="R548" s="144" t="s">
        <v>110</v>
      </c>
      <c r="S548" s="143"/>
      <c r="U548" s="143"/>
      <c r="V548" s="143"/>
      <c r="W548" s="143"/>
      <c r="X548" s="143"/>
      <c r="Y548" s="143"/>
      <c r="Z548" s="143"/>
      <c r="AJ548" s="146"/>
    </row>
    <row r="549" ht="15.75" customHeight="1">
      <c r="M549" s="142"/>
      <c r="N549" s="143"/>
      <c r="O549" s="143"/>
      <c r="P549" s="143"/>
      <c r="Q549" s="143"/>
      <c r="R549" s="144" t="s">
        <v>110</v>
      </c>
      <c r="S549" s="143"/>
      <c r="U549" s="143"/>
      <c r="V549" s="143"/>
      <c r="W549" s="143"/>
      <c r="X549" s="143"/>
      <c r="Y549" s="143"/>
      <c r="Z549" s="143"/>
      <c r="AJ549" s="146"/>
    </row>
    <row r="550" ht="15.75" customHeight="1">
      <c r="M550" s="142"/>
      <c r="N550" s="143"/>
      <c r="O550" s="143"/>
      <c r="P550" s="143"/>
      <c r="Q550" s="143"/>
      <c r="R550" s="144" t="s">
        <v>110</v>
      </c>
      <c r="S550" s="143"/>
      <c r="U550" s="143"/>
      <c r="V550" s="143"/>
      <c r="W550" s="143"/>
      <c r="X550" s="143"/>
      <c r="Y550" s="143"/>
      <c r="Z550" s="143"/>
      <c r="AJ550" s="146"/>
    </row>
    <row r="551" ht="15.75" customHeight="1">
      <c r="M551" s="142"/>
      <c r="N551" s="143"/>
      <c r="O551" s="143"/>
      <c r="P551" s="143"/>
      <c r="Q551" s="143"/>
      <c r="R551" s="144" t="s">
        <v>110</v>
      </c>
      <c r="S551" s="143"/>
      <c r="U551" s="143"/>
      <c r="V551" s="143"/>
      <c r="W551" s="143"/>
      <c r="X551" s="143"/>
      <c r="Y551" s="143"/>
      <c r="Z551" s="143"/>
      <c r="AJ551" s="146"/>
    </row>
    <row r="552" ht="15.75" customHeight="1">
      <c r="M552" s="142"/>
      <c r="N552" s="143"/>
      <c r="O552" s="143"/>
      <c r="P552" s="143"/>
      <c r="Q552" s="143"/>
      <c r="R552" s="144" t="s">
        <v>110</v>
      </c>
      <c r="S552" s="143"/>
      <c r="U552" s="143"/>
      <c r="V552" s="143"/>
      <c r="W552" s="143"/>
      <c r="X552" s="143"/>
      <c r="Y552" s="143"/>
      <c r="Z552" s="143"/>
      <c r="AJ552" s="146"/>
    </row>
    <row r="553" ht="15.75" customHeight="1">
      <c r="M553" s="142"/>
      <c r="N553" s="143"/>
      <c r="O553" s="143"/>
      <c r="P553" s="143"/>
      <c r="Q553" s="143"/>
      <c r="R553" s="144" t="s">
        <v>110</v>
      </c>
      <c r="S553" s="143"/>
      <c r="U553" s="143"/>
      <c r="V553" s="143"/>
      <c r="W553" s="143"/>
      <c r="X553" s="143"/>
      <c r="Y553" s="143"/>
      <c r="Z553" s="143"/>
      <c r="AJ553" s="146"/>
    </row>
    <row r="554" ht="15.75" customHeight="1">
      <c r="M554" s="142"/>
      <c r="N554" s="143"/>
      <c r="O554" s="143"/>
      <c r="P554" s="143"/>
      <c r="Q554" s="143"/>
      <c r="R554" s="144" t="s">
        <v>110</v>
      </c>
      <c r="S554" s="143"/>
      <c r="U554" s="143"/>
      <c r="V554" s="143"/>
      <c r="W554" s="143"/>
      <c r="X554" s="143"/>
      <c r="Y554" s="143"/>
      <c r="Z554" s="143"/>
      <c r="AJ554" s="146"/>
    </row>
    <row r="555" ht="15.75" customHeight="1">
      <c r="M555" s="142"/>
      <c r="N555" s="143"/>
      <c r="O555" s="143"/>
      <c r="P555" s="143"/>
      <c r="Q555" s="143"/>
      <c r="R555" s="144" t="s">
        <v>110</v>
      </c>
      <c r="S555" s="143"/>
      <c r="U555" s="143"/>
      <c r="V555" s="143"/>
      <c r="W555" s="143"/>
      <c r="X555" s="143"/>
      <c r="Y555" s="143"/>
      <c r="Z555" s="143"/>
      <c r="AJ555" s="146"/>
    </row>
    <row r="556" ht="15.75" customHeight="1">
      <c r="M556" s="142"/>
      <c r="N556" s="143"/>
      <c r="O556" s="143"/>
      <c r="P556" s="143"/>
      <c r="Q556" s="143"/>
      <c r="R556" s="144" t="s">
        <v>110</v>
      </c>
      <c r="S556" s="143"/>
      <c r="U556" s="143"/>
      <c r="V556" s="143"/>
      <c r="W556" s="143"/>
      <c r="X556" s="143"/>
      <c r="Y556" s="143"/>
      <c r="Z556" s="143"/>
      <c r="AJ556" s="146"/>
    </row>
    <row r="557" ht="15.75" customHeight="1">
      <c r="M557" s="142"/>
      <c r="N557" s="143"/>
      <c r="O557" s="143"/>
      <c r="P557" s="143"/>
      <c r="Q557" s="143"/>
      <c r="R557" s="144" t="s">
        <v>110</v>
      </c>
      <c r="S557" s="143"/>
      <c r="U557" s="143"/>
      <c r="V557" s="143"/>
      <c r="W557" s="143"/>
      <c r="X557" s="143"/>
      <c r="Y557" s="143"/>
      <c r="Z557" s="143"/>
      <c r="AJ557" s="146"/>
    </row>
    <row r="558" ht="15.75" customHeight="1">
      <c r="M558" s="142"/>
      <c r="N558" s="143"/>
      <c r="O558" s="143"/>
      <c r="P558" s="143"/>
      <c r="Q558" s="143"/>
      <c r="R558" s="144" t="s">
        <v>110</v>
      </c>
      <c r="S558" s="143"/>
      <c r="U558" s="143"/>
      <c r="V558" s="143"/>
      <c r="W558" s="143"/>
      <c r="X558" s="143"/>
      <c r="Y558" s="143"/>
      <c r="Z558" s="143"/>
      <c r="AJ558" s="146"/>
    </row>
    <row r="559" ht="15.75" customHeight="1">
      <c r="M559" s="142"/>
      <c r="N559" s="143"/>
      <c r="O559" s="143"/>
      <c r="P559" s="143"/>
      <c r="Q559" s="143"/>
      <c r="R559" s="144" t="s">
        <v>110</v>
      </c>
      <c r="S559" s="143"/>
      <c r="U559" s="143"/>
      <c r="V559" s="143"/>
      <c r="W559" s="143"/>
      <c r="X559" s="143"/>
      <c r="Y559" s="143"/>
      <c r="Z559" s="143"/>
      <c r="AJ559" s="146"/>
    </row>
    <row r="560" ht="15.75" customHeight="1">
      <c r="M560" s="142"/>
      <c r="N560" s="143"/>
      <c r="O560" s="143"/>
      <c r="P560" s="143"/>
      <c r="Q560" s="143"/>
      <c r="R560" s="144" t="s">
        <v>110</v>
      </c>
      <c r="S560" s="143"/>
      <c r="U560" s="143"/>
      <c r="V560" s="143"/>
      <c r="W560" s="143"/>
      <c r="X560" s="143"/>
      <c r="Y560" s="143"/>
      <c r="Z560" s="143"/>
      <c r="AJ560" s="146"/>
    </row>
    <row r="561" ht="15.75" customHeight="1">
      <c r="M561" s="142"/>
      <c r="N561" s="143"/>
      <c r="O561" s="143"/>
      <c r="P561" s="143"/>
      <c r="Q561" s="143"/>
      <c r="R561" s="144" t="s">
        <v>110</v>
      </c>
      <c r="S561" s="143"/>
      <c r="U561" s="143"/>
      <c r="V561" s="143"/>
      <c r="W561" s="143"/>
      <c r="X561" s="143"/>
      <c r="Y561" s="143"/>
      <c r="Z561" s="143"/>
      <c r="AJ561" s="146"/>
    </row>
    <row r="562" ht="15.75" customHeight="1">
      <c r="M562" s="142"/>
      <c r="N562" s="143"/>
      <c r="O562" s="143"/>
      <c r="P562" s="143"/>
      <c r="Q562" s="143"/>
      <c r="R562" s="144" t="s">
        <v>110</v>
      </c>
      <c r="S562" s="143"/>
      <c r="U562" s="143"/>
      <c r="V562" s="143"/>
      <c r="W562" s="143"/>
      <c r="X562" s="143"/>
      <c r="Y562" s="143"/>
      <c r="Z562" s="143"/>
      <c r="AJ562" s="146"/>
    </row>
    <row r="563" ht="15.75" customHeight="1">
      <c r="M563" s="142"/>
      <c r="N563" s="143"/>
      <c r="O563" s="143"/>
      <c r="P563" s="143"/>
      <c r="Q563" s="143"/>
      <c r="R563" s="144" t="s">
        <v>110</v>
      </c>
      <c r="S563" s="143"/>
      <c r="U563" s="143"/>
      <c r="V563" s="143"/>
      <c r="W563" s="143"/>
      <c r="X563" s="143"/>
      <c r="Y563" s="143"/>
      <c r="Z563" s="143"/>
      <c r="AJ563" s="146"/>
    </row>
    <row r="564" ht="15.75" customHeight="1">
      <c r="M564" s="142"/>
      <c r="N564" s="143"/>
      <c r="O564" s="143"/>
      <c r="P564" s="143"/>
      <c r="Q564" s="143"/>
      <c r="R564" s="144" t="s">
        <v>110</v>
      </c>
      <c r="S564" s="143"/>
      <c r="U564" s="143"/>
      <c r="V564" s="143"/>
      <c r="W564" s="143"/>
      <c r="X564" s="143"/>
      <c r="Y564" s="143"/>
      <c r="Z564" s="143"/>
      <c r="AJ564" s="146"/>
    </row>
    <row r="565" ht="15.75" customHeight="1">
      <c r="M565" s="142"/>
      <c r="N565" s="143"/>
      <c r="O565" s="143"/>
      <c r="P565" s="143"/>
      <c r="Q565" s="143"/>
      <c r="R565" s="144" t="s">
        <v>110</v>
      </c>
      <c r="S565" s="143"/>
      <c r="U565" s="143"/>
      <c r="V565" s="143"/>
      <c r="W565" s="143"/>
      <c r="X565" s="143"/>
      <c r="Y565" s="143"/>
      <c r="Z565" s="143"/>
      <c r="AJ565" s="146"/>
    </row>
    <row r="566" ht="15.75" customHeight="1">
      <c r="M566" s="142"/>
      <c r="N566" s="143"/>
      <c r="O566" s="143"/>
      <c r="P566" s="143"/>
      <c r="Q566" s="143"/>
      <c r="R566" s="144" t="s">
        <v>110</v>
      </c>
      <c r="S566" s="143"/>
      <c r="U566" s="143"/>
      <c r="V566" s="143"/>
      <c r="W566" s="143"/>
      <c r="X566" s="143"/>
      <c r="Y566" s="143"/>
      <c r="Z566" s="143"/>
      <c r="AJ566" s="146"/>
    </row>
    <row r="567" ht="15.75" customHeight="1">
      <c r="M567" s="142"/>
      <c r="N567" s="143"/>
      <c r="O567" s="143"/>
      <c r="P567" s="143"/>
      <c r="Q567" s="143"/>
      <c r="R567" s="144" t="s">
        <v>110</v>
      </c>
      <c r="S567" s="143"/>
      <c r="U567" s="143"/>
      <c r="V567" s="143"/>
      <c r="W567" s="143"/>
      <c r="X567" s="143"/>
      <c r="Y567" s="143"/>
      <c r="Z567" s="143"/>
      <c r="AJ567" s="146"/>
    </row>
    <row r="568" ht="15.75" customHeight="1">
      <c r="M568" s="142"/>
      <c r="N568" s="143"/>
      <c r="O568" s="143"/>
      <c r="P568" s="143"/>
      <c r="Q568" s="143"/>
      <c r="R568" s="144" t="s">
        <v>110</v>
      </c>
      <c r="S568" s="143"/>
      <c r="U568" s="143"/>
      <c r="V568" s="143"/>
      <c r="W568" s="143"/>
      <c r="X568" s="143"/>
      <c r="Y568" s="143"/>
      <c r="Z568" s="143"/>
      <c r="AJ568" s="146"/>
    </row>
    <row r="569" ht="15.75" customHeight="1">
      <c r="M569" s="142"/>
      <c r="N569" s="143"/>
      <c r="O569" s="143"/>
      <c r="P569" s="143"/>
      <c r="Q569" s="143"/>
      <c r="R569" s="144" t="s">
        <v>110</v>
      </c>
      <c r="S569" s="143"/>
      <c r="U569" s="143"/>
      <c r="V569" s="143"/>
      <c r="W569" s="143"/>
      <c r="X569" s="143"/>
      <c r="Y569" s="143"/>
      <c r="Z569" s="143"/>
      <c r="AJ569" s="146"/>
    </row>
    <row r="570" ht="15.75" customHeight="1">
      <c r="M570" s="142"/>
      <c r="N570" s="143"/>
      <c r="O570" s="143"/>
      <c r="P570" s="143"/>
      <c r="Q570" s="143"/>
      <c r="R570" s="144" t="s">
        <v>110</v>
      </c>
      <c r="S570" s="143"/>
      <c r="U570" s="143"/>
      <c r="V570" s="143"/>
      <c r="W570" s="143"/>
      <c r="X570" s="143"/>
      <c r="Y570" s="143"/>
      <c r="Z570" s="143"/>
      <c r="AJ570" s="146"/>
    </row>
    <row r="571" ht="15.75" customHeight="1">
      <c r="M571" s="142"/>
      <c r="N571" s="143"/>
      <c r="O571" s="143"/>
      <c r="P571" s="143"/>
      <c r="Q571" s="143"/>
      <c r="R571" s="144" t="s">
        <v>110</v>
      </c>
      <c r="S571" s="143"/>
      <c r="U571" s="143"/>
      <c r="V571" s="143"/>
      <c r="W571" s="143"/>
      <c r="X571" s="143"/>
      <c r="Y571" s="143"/>
      <c r="Z571" s="143"/>
      <c r="AJ571" s="146"/>
    </row>
    <row r="572" ht="15.75" customHeight="1">
      <c r="M572" s="142"/>
      <c r="N572" s="143"/>
      <c r="O572" s="143"/>
      <c r="P572" s="143"/>
      <c r="Q572" s="143"/>
      <c r="R572" s="144" t="s">
        <v>110</v>
      </c>
      <c r="S572" s="143"/>
      <c r="U572" s="143"/>
      <c r="V572" s="143"/>
      <c r="W572" s="143"/>
      <c r="X572" s="143"/>
      <c r="Y572" s="143"/>
      <c r="Z572" s="143"/>
      <c r="AJ572" s="146"/>
    </row>
    <row r="573" ht="15.75" customHeight="1">
      <c r="M573" s="142"/>
      <c r="N573" s="143"/>
      <c r="O573" s="143"/>
      <c r="P573" s="143"/>
      <c r="Q573" s="143"/>
      <c r="R573" s="144" t="s">
        <v>110</v>
      </c>
      <c r="S573" s="143"/>
      <c r="U573" s="143"/>
      <c r="V573" s="143"/>
      <c r="W573" s="143"/>
      <c r="X573" s="143"/>
      <c r="Y573" s="143"/>
      <c r="Z573" s="143"/>
      <c r="AJ573" s="146"/>
    </row>
    <row r="574" ht="15.75" customHeight="1">
      <c r="M574" s="142"/>
      <c r="N574" s="143"/>
      <c r="O574" s="143"/>
      <c r="P574" s="143"/>
      <c r="Q574" s="143"/>
      <c r="R574" s="144" t="s">
        <v>110</v>
      </c>
      <c r="S574" s="143"/>
      <c r="U574" s="143"/>
      <c r="V574" s="143"/>
      <c r="W574" s="143"/>
      <c r="X574" s="143"/>
      <c r="Y574" s="143"/>
      <c r="Z574" s="143"/>
      <c r="AJ574" s="146"/>
    </row>
    <row r="575" ht="15.75" customHeight="1">
      <c r="M575" s="142"/>
      <c r="N575" s="143"/>
      <c r="O575" s="143"/>
      <c r="P575" s="143"/>
      <c r="Q575" s="143"/>
      <c r="R575" s="144" t="s">
        <v>110</v>
      </c>
      <c r="S575" s="143"/>
      <c r="U575" s="143"/>
      <c r="V575" s="143"/>
      <c r="W575" s="143"/>
      <c r="X575" s="143"/>
      <c r="Y575" s="143"/>
      <c r="Z575" s="143"/>
      <c r="AJ575" s="146"/>
    </row>
    <row r="576" ht="15.75" customHeight="1">
      <c r="M576" s="142"/>
      <c r="N576" s="143"/>
      <c r="O576" s="143"/>
      <c r="P576" s="143"/>
      <c r="Q576" s="143"/>
      <c r="R576" s="144" t="s">
        <v>110</v>
      </c>
      <c r="S576" s="143"/>
      <c r="U576" s="143"/>
      <c r="V576" s="143"/>
      <c r="W576" s="143"/>
      <c r="X576" s="143"/>
      <c r="Y576" s="143"/>
      <c r="Z576" s="143"/>
      <c r="AJ576" s="146"/>
    </row>
    <row r="577" ht="15.75" customHeight="1">
      <c r="M577" s="142"/>
      <c r="N577" s="143"/>
      <c r="O577" s="143"/>
      <c r="P577" s="143"/>
      <c r="Q577" s="143"/>
      <c r="R577" s="144" t="s">
        <v>110</v>
      </c>
      <c r="S577" s="143"/>
      <c r="U577" s="143"/>
      <c r="V577" s="143"/>
      <c r="W577" s="143"/>
      <c r="X577" s="143"/>
      <c r="Y577" s="143"/>
      <c r="Z577" s="143"/>
      <c r="AJ577" s="146"/>
    </row>
    <row r="578" ht="15.75" customHeight="1">
      <c r="M578" s="142"/>
      <c r="N578" s="143"/>
      <c r="O578" s="143"/>
      <c r="P578" s="143"/>
      <c r="Q578" s="143"/>
      <c r="R578" s="144" t="s">
        <v>110</v>
      </c>
      <c r="S578" s="143"/>
      <c r="U578" s="143"/>
      <c r="V578" s="143"/>
      <c r="W578" s="143"/>
      <c r="X578" s="143"/>
      <c r="Y578" s="143"/>
      <c r="Z578" s="143"/>
      <c r="AJ578" s="146"/>
    </row>
    <row r="579" ht="15.75" customHeight="1">
      <c r="M579" s="142"/>
      <c r="N579" s="143"/>
      <c r="O579" s="143"/>
      <c r="P579" s="143"/>
      <c r="Q579" s="143"/>
      <c r="R579" s="144" t="s">
        <v>110</v>
      </c>
      <c r="S579" s="143"/>
      <c r="U579" s="143"/>
      <c r="V579" s="143"/>
      <c r="W579" s="143"/>
      <c r="X579" s="143"/>
      <c r="Y579" s="143"/>
      <c r="Z579" s="143"/>
      <c r="AJ579" s="146"/>
    </row>
    <row r="580" ht="15.75" customHeight="1">
      <c r="M580" s="142"/>
      <c r="N580" s="143"/>
      <c r="O580" s="143"/>
      <c r="P580" s="143"/>
      <c r="Q580" s="143"/>
      <c r="R580" s="144" t="s">
        <v>110</v>
      </c>
      <c r="S580" s="143"/>
      <c r="U580" s="143"/>
      <c r="V580" s="143"/>
      <c r="W580" s="143"/>
      <c r="X580" s="143"/>
      <c r="Y580" s="143"/>
      <c r="Z580" s="143"/>
      <c r="AJ580" s="146"/>
    </row>
    <row r="581" ht="15.75" customHeight="1">
      <c r="M581" s="142"/>
      <c r="N581" s="143"/>
      <c r="O581" s="143"/>
      <c r="P581" s="143"/>
      <c r="Q581" s="143"/>
      <c r="R581" s="144" t="s">
        <v>110</v>
      </c>
      <c r="S581" s="143"/>
      <c r="U581" s="143"/>
      <c r="V581" s="143"/>
      <c r="W581" s="143"/>
      <c r="X581" s="143"/>
      <c r="Y581" s="143"/>
      <c r="Z581" s="143"/>
      <c r="AJ581" s="146"/>
    </row>
    <row r="582" ht="15.75" customHeight="1">
      <c r="M582" s="142"/>
      <c r="N582" s="143"/>
      <c r="O582" s="143"/>
      <c r="P582" s="143"/>
      <c r="Q582" s="143"/>
      <c r="R582" s="144" t="s">
        <v>110</v>
      </c>
      <c r="S582" s="143"/>
      <c r="U582" s="143"/>
      <c r="V582" s="143"/>
      <c r="W582" s="143"/>
      <c r="X582" s="143"/>
      <c r="Y582" s="143"/>
      <c r="Z582" s="143"/>
      <c r="AJ582" s="146"/>
    </row>
    <row r="583" ht="15.75" customHeight="1">
      <c r="M583" s="142"/>
      <c r="N583" s="143"/>
      <c r="O583" s="143"/>
      <c r="P583" s="143"/>
      <c r="Q583" s="143"/>
      <c r="R583" s="144" t="s">
        <v>110</v>
      </c>
      <c r="S583" s="143"/>
      <c r="U583" s="143"/>
      <c r="V583" s="143"/>
      <c r="W583" s="143"/>
      <c r="X583" s="143"/>
      <c r="Y583" s="143"/>
      <c r="Z583" s="143"/>
      <c r="AJ583" s="146"/>
    </row>
    <row r="584" ht="15.75" customHeight="1">
      <c r="M584" s="142"/>
      <c r="N584" s="143"/>
      <c r="O584" s="143"/>
      <c r="P584" s="143"/>
      <c r="Q584" s="143"/>
      <c r="R584" s="144" t="s">
        <v>110</v>
      </c>
      <c r="S584" s="143"/>
      <c r="U584" s="143"/>
      <c r="V584" s="143"/>
      <c r="W584" s="143"/>
      <c r="X584" s="143"/>
      <c r="Y584" s="143"/>
      <c r="Z584" s="143"/>
      <c r="AJ584" s="146"/>
    </row>
    <row r="585" ht="15.75" customHeight="1">
      <c r="M585" s="142"/>
      <c r="N585" s="143"/>
      <c r="O585" s="143"/>
      <c r="P585" s="143"/>
      <c r="Q585" s="143"/>
      <c r="R585" s="144" t="s">
        <v>110</v>
      </c>
      <c r="S585" s="143"/>
      <c r="U585" s="143"/>
      <c r="V585" s="143"/>
      <c r="W585" s="143"/>
      <c r="X585" s="143"/>
      <c r="Y585" s="143"/>
      <c r="Z585" s="143"/>
      <c r="AJ585" s="146"/>
    </row>
    <row r="586" ht="15.75" customHeight="1">
      <c r="M586" s="142"/>
      <c r="N586" s="143"/>
      <c r="O586" s="143"/>
      <c r="P586" s="143"/>
      <c r="Q586" s="143"/>
      <c r="R586" s="144" t="s">
        <v>110</v>
      </c>
      <c r="S586" s="143"/>
      <c r="U586" s="143"/>
      <c r="V586" s="143"/>
      <c r="W586" s="143"/>
      <c r="X586" s="143"/>
      <c r="Y586" s="143"/>
      <c r="Z586" s="143"/>
      <c r="AJ586" s="146"/>
    </row>
    <row r="587" ht="15.75" customHeight="1">
      <c r="M587" s="142"/>
      <c r="N587" s="143"/>
      <c r="O587" s="143"/>
      <c r="P587" s="143"/>
      <c r="Q587" s="143"/>
      <c r="R587" s="144" t="s">
        <v>110</v>
      </c>
      <c r="S587" s="143"/>
      <c r="U587" s="143"/>
      <c r="V587" s="143"/>
      <c r="W587" s="143"/>
      <c r="X587" s="143"/>
      <c r="Y587" s="143"/>
      <c r="Z587" s="143"/>
      <c r="AJ587" s="146"/>
    </row>
    <row r="588" ht="15.75" customHeight="1">
      <c r="M588" s="142"/>
      <c r="N588" s="143"/>
      <c r="O588" s="143"/>
      <c r="P588" s="143"/>
      <c r="Q588" s="143"/>
      <c r="R588" s="144" t="s">
        <v>110</v>
      </c>
      <c r="S588" s="143"/>
      <c r="U588" s="143"/>
      <c r="V588" s="143"/>
      <c r="W588" s="143"/>
      <c r="X588" s="143"/>
      <c r="Y588" s="143"/>
      <c r="Z588" s="143"/>
      <c r="AJ588" s="146"/>
    </row>
    <row r="589" ht="15.75" customHeight="1">
      <c r="M589" s="142"/>
      <c r="N589" s="143"/>
      <c r="O589" s="143"/>
      <c r="P589" s="143"/>
      <c r="Q589" s="143"/>
      <c r="R589" s="144" t="s">
        <v>110</v>
      </c>
      <c r="S589" s="143"/>
      <c r="U589" s="143"/>
      <c r="V589" s="143"/>
      <c r="W589" s="143"/>
      <c r="X589" s="143"/>
      <c r="Y589" s="143"/>
      <c r="Z589" s="143"/>
      <c r="AJ589" s="146"/>
    </row>
    <row r="590" ht="15.75" customHeight="1">
      <c r="M590" s="142"/>
      <c r="N590" s="143"/>
      <c r="O590" s="143"/>
      <c r="P590" s="143"/>
      <c r="Q590" s="143"/>
      <c r="R590" s="144" t="s">
        <v>110</v>
      </c>
      <c r="S590" s="143"/>
      <c r="U590" s="143"/>
      <c r="V590" s="143"/>
      <c r="W590" s="143"/>
      <c r="X590" s="143"/>
      <c r="Y590" s="143"/>
      <c r="Z590" s="143"/>
      <c r="AJ590" s="146"/>
    </row>
    <row r="591" ht="15.75" customHeight="1">
      <c r="M591" s="142"/>
      <c r="N591" s="143"/>
      <c r="O591" s="143"/>
      <c r="P591" s="143"/>
      <c r="Q591" s="143"/>
      <c r="R591" s="144" t="s">
        <v>110</v>
      </c>
      <c r="S591" s="143"/>
      <c r="U591" s="143"/>
      <c r="V591" s="143"/>
      <c r="W591" s="143"/>
      <c r="X591" s="143"/>
      <c r="Y591" s="143"/>
      <c r="Z591" s="143"/>
      <c r="AJ591" s="146"/>
    </row>
    <row r="592" ht="15.75" customHeight="1">
      <c r="M592" s="142"/>
      <c r="N592" s="143"/>
      <c r="O592" s="143"/>
      <c r="P592" s="143"/>
      <c r="Q592" s="143"/>
      <c r="R592" s="144" t="s">
        <v>110</v>
      </c>
      <c r="S592" s="143"/>
      <c r="U592" s="143"/>
      <c r="V592" s="143"/>
      <c r="W592" s="143"/>
      <c r="X592" s="143"/>
      <c r="Y592" s="143"/>
      <c r="Z592" s="143"/>
      <c r="AJ592" s="146"/>
    </row>
    <row r="593" ht="15.75" customHeight="1">
      <c r="M593" s="142"/>
      <c r="N593" s="143"/>
      <c r="O593" s="143"/>
      <c r="P593" s="143"/>
      <c r="Q593" s="143"/>
      <c r="R593" s="144" t="s">
        <v>110</v>
      </c>
      <c r="S593" s="143"/>
      <c r="U593" s="143"/>
      <c r="V593" s="143"/>
      <c r="W593" s="143"/>
      <c r="X593" s="143"/>
      <c r="Y593" s="143"/>
      <c r="Z593" s="143"/>
      <c r="AJ593" s="146"/>
    </row>
    <row r="594" ht="15.75" customHeight="1">
      <c r="M594" s="142"/>
      <c r="N594" s="143"/>
      <c r="O594" s="143"/>
      <c r="P594" s="143"/>
      <c r="Q594" s="143"/>
      <c r="R594" s="144" t="s">
        <v>110</v>
      </c>
      <c r="S594" s="143"/>
      <c r="U594" s="143"/>
      <c r="V594" s="143"/>
      <c r="W594" s="143"/>
      <c r="X594" s="143"/>
      <c r="Y594" s="143"/>
      <c r="Z594" s="143"/>
      <c r="AJ594" s="146"/>
    </row>
    <row r="595" ht="15.75" customHeight="1">
      <c r="M595" s="142"/>
      <c r="N595" s="143"/>
      <c r="O595" s="143"/>
      <c r="P595" s="143"/>
      <c r="Q595" s="143"/>
      <c r="R595" s="144" t="s">
        <v>110</v>
      </c>
      <c r="S595" s="143"/>
      <c r="U595" s="143"/>
      <c r="V595" s="143"/>
      <c r="W595" s="143"/>
      <c r="X595" s="143"/>
      <c r="Y595" s="143"/>
      <c r="Z595" s="143"/>
      <c r="AJ595" s="146"/>
    </row>
    <row r="596" ht="15.75" customHeight="1">
      <c r="M596" s="142"/>
      <c r="N596" s="143"/>
      <c r="O596" s="143"/>
      <c r="P596" s="143"/>
      <c r="Q596" s="143"/>
      <c r="R596" s="144" t="s">
        <v>110</v>
      </c>
      <c r="S596" s="143"/>
      <c r="U596" s="143"/>
      <c r="V596" s="143"/>
      <c r="W596" s="143"/>
      <c r="X596" s="143"/>
      <c r="Y596" s="143"/>
      <c r="Z596" s="143"/>
      <c r="AJ596" s="146"/>
    </row>
    <row r="597" ht="15.75" customHeight="1">
      <c r="M597" s="142"/>
      <c r="N597" s="143"/>
      <c r="O597" s="143"/>
      <c r="P597" s="143"/>
      <c r="Q597" s="143"/>
      <c r="R597" s="144" t="s">
        <v>110</v>
      </c>
      <c r="S597" s="143"/>
      <c r="U597" s="143"/>
      <c r="V597" s="143"/>
      <c r="W597" s="143"/>
      <c r="X597" s="143"/>
      <c r="Y597" s="143"/>
      <c r="Z597" s="143"/>
      <c r="AJ597" s="146"/>
    </row>
    <row r="598" ht="15.75" customHeight="1">
      <c r="M598" s="142"/>
      <c r="N598" s="143"/>
      <c r="O598" s="143"/>
      <c r="P598" s="143"/>
      <c r="Q598" s="143"/>
      <c r="R598" s="144" t="s">
        <v>110</v>
      </c>
      <c r="S598" s="143"/>
      <c r="U598" s="143"/>
      <c r="V598" s="143"/>
      <c r="W598" s="143"/>
      <c r="X598" s="143"/>
      <c r="Y598" s="143"/>
      <c r="Z598" s="143"/>
      <c r="AJ598" s="146"/>
    </row>
    <row r="599" ht="15.75" customHeight="1">
      <c r="M599" s="142"/>
      <c r="N599" s="143"/>
      <c r="O599" s="143"/>
      <c r="P599" s="143"/>
      <c r="Q599" s="143"/>
      <c r="R599" s="144" t="s">
        <v>110</v>
      </c>
      <c r="S599" s="143"/>
      <c r="U599" s="143"/>
      <c r="V599" s="143"/>
      <c r="W599" s="143"/>
      <c r="X599" s="143"/>
      <c r="Y599" s="143"/>
      <c r="Z599" s="143"/>
      <c r="AJ599" s="146"/>
    </row>
    <row r="600" ht="15.75" customHeight="1">
      <c r="M600" s="142"/>
      <c r="N600" s="143"/>
      <c r="O600" s="143"/>
      <c r="P600" s="143"/>
      <c r="Q600" s="143"/>
      <c r="R600" s="144" t="s">
        <v>110</v>
      </c>
      <c r="S600" s="143"/>
      <c r="U600" s="143"/>
      <c r="V600" s="143"/>
      <c r="W600" s="143"/>
      <c r="X600" s="143"/>
      <c r="Y600" s="143"/>
      <c r="Z600" s="143"/>
      <c r="AJ600" s="146"/>
    </row>
    <row r="601" ht="15.75" customHeight="1">
      <c r="M601" s="142"/>
      <c r="N601" s="143"/>
      <c r="O601" s="143"/>
      <c r="P601" s="143"/>
      <c r="Q601" s="143"/>
      <c r="R601" s="144" t="s">
        <v>110</v>
      </c>
      <c r="S601" s="143"/>
      <c r="U601" s="143"/>
      <c r="V601" s="143"/>
      <c r="W601" s="143"/>
      <c r="X601" s="143"/>
      <c r="Y601" s="143"/>
      <c r="Z601" s="143"/>
      <c r="AJ601" s="146"/>
    </row>
    <row r="602" ht="15.75" customHeight="1">
      <c r="M602" s="142"/>
      <c r="N602" s="143"/>
      <c r="O602" s="143"/>
      <c r="P602" s="143"/>
      <c r="Q602" s="143"/>
      <c r="R602" s="144" t="s">
        <v>110</v>
      </c>
      <c r="S602" s="143"/>
      <c r="U602" s="143"/>
      <c r="V602" s="143"/>
      <c r="W602" s="143"/>
      <c r="X602" s="143"/>
      <c r="Y602" s="143"/>
      <c r="Z602" s="143"/>
      <c r="AJ602" s="146"/>
    </row>
    <row r="603" ht="15.75" customHeight="1">
      <c r="M603" s="142"/>
      <c r="N603" s="143"/>
      <c r="O603" s="143"/>
      <c r="P603" s="143"/>
      <c r="Q603" s="143"/>
      <c r="R603" s="144" t="s">
        <v>110</v>
      </c>
      <c r="S603" s="143"/>
      <c r="U603" s="143"/>
      <c r="V603" s="143"/>
      <c r="W603" s="143"/>
      <c r="X603" s="143"/>
      <c r="Y603" s="143"/>
      <c r="Z603" s="143"/>
      <c r="AJ603" s="146"/>
    </row>
    <row r="604" ht="15.75" customHeight="1">
      <c r="M604" s="142"/>
      <c r="N604" s="143"/>
      <c r="O604" s="143"/>
      <c r="P604" s="143"/>
      <c r="Q604" s="143"/>
      <c r="R604" s="144" t="s">
        <v>110</v>
      </c>
      <c r="S604" s="143"/>
      <c r="U604" s="143"/>
      <c r="V604" s="143"/>
      <c r="W604" s="143"/>
      <c r="X604" s="143"/>
      <c r="Y604" s="143"/>
      <c r="Z604" s="143"/>
      <c r="AJ604" s="146"/>
    </row>
    <row r="605" ht="15.75" customHeight="1">
      <c r="M605" s="142"/>
      <c r="N605" s="143"/>
      <c r="O605" s="143"/>
      <c r="P605" s="143"/>
      <c r="Q605" s="143"/>
      <c r="R605" s="144" t="s">
        <v>110</v>
      </c>
      <c r="S605" s="143"/>
      <c r="U605" s="143"/>
      <c r="V605" s="143"/>
      <c r="W605" s="143"/>
      <c r="X605" s="143"/>
      <c r="Y605" s="143"/>
      <c r="Z605" s="143"/>
      <c r="AJ605" s="146"/>
    </row>
    <row r="606" ht="15.75" customHeight="1">
      <c r="M606" s="142"/>
      <c r="N606" s="143"/>
      <c r="O606" s="143"/>
      <c r="P606" s="143"/>
      <c r="Q606" s="143"/>
      <c r="R606" s="144" t="s">
        <v>110</v>
      </c>
      <c r="S606" s="143"/>
      <c r="U606" s="143"/>
      <c r="V606" s="143"/>
      <c r="W606" s="143"/>
      <c r="X606" s="143"/>
      <c r="Y606" s="143"/>
      <c r="Z606" s="143"/>
      <c r="AJ606" s="146"/>
    </row>
    <row r="607" ht="15.75" customHeight="1">
      <c r="M607" s="142"/>
      <c r="N607" s="143"/>
      <c r="O607" s="143"/>
      <c r="P607" s="143"/>
      <c r="Q607" s="143"/>
      <c r="R607" s="144" t="s">
        <v>110</v>
      </c>
      <c r="S607" s="143"/>
      <c r="U607" s="143"/>
      <c r="V607" s="143"/>
      <c r="W607" s="143"/>
      <c r="X607" s="143"/>
      <c r="Y607" s="143"/>
      <c r="Z607" s="143"/>
      <c r="AJ607" s="146"/>
    </row>
    <row r="608" ht="15.75" customHeight="1">
      <c r="M608" s="142"/>
      <c r="N608" s="143"/>
      <c r="O608" s="143"/>
      <c r="P608" s="143"/>
      <c r="Q608" s="143"/>
      <c r="R608" s="144" t="s">
        <v>110</v>
      </c>
      <c r="S608" s="143"/>
      <c r="U608" s="143"/>
      <c r="V608" s="143"/>
      <c r="W608" s="143"/>
      <c r="X608" s="143"/>
      <c r="Y608" s="143"/>
      <c r="Z608" s="143"/>
      <c r="AJ608" s="146"/>
    </row>
    <row r="609" ht="15.75" customHeight="1">
      <c r="M609" s="142"/>
      <c r="N609" s="143"/>
      <c r="O609" s="143"/>
      <c r="P609" s="143"/>
      <c r="Q609" s="143"/>
      <c r="R609" s="144" t="s">
        <v>110</v>
      </c>
      <c r="S609" s="143"/>
      <c r="U609" s="143"/>
      <c r="V609" s="143"/>
      <c r="W609" s="143"/>
      <c r="X609" s="143"/>
      <c r="Y609" s="143"/>
      <c r="Z609" s="143"/>
      <c r="AJ609" s="146"/>
    </row>
    <row r="610" ht="15.75" customHeight="1">
      <c r="M610" s="142"/>
      <c r="N610" s="143"/>
      <c r="O610" s="143"/>
      <c r="P610" s="143"/>
      <c r="Q610" s="143"/>
      <c r="R610" s="144" t="s">
        <v>110</v>
      </c>
      <c r="S610" s="143"/>
      <c r="U610" s="143"/>
      <c r="V610" s="143"/>
      <c r="W610" s="143"/>
      <c r="X610" s="143"/>
      <c r="Y610" s="143"/>
      <c r="Z610" s="143"/>
      <c r="AJ610" s="146"/>
    </row>
    <row r="611" ht="15.75" customHeight="1">
      <c r="M611" s="142"/>
      <c r="N611" s="143"/>
      <c r="O611" s="143"/>
      <c r="P611" s="143"/>
      <c r="Q611" s="143"/>
      <c r="R611" s="144" t="s">
        <v>110</v>
      </c>
      <c r="S611" s="143"/>
      <c r="U611" s="143"/>
      <c r="V611" s="143"/>
      <c r="W611" s="143"/>
      <c r="X611" s="143"/>
      <c r="Y611" s="143"/>
      <c r="Z611" s="143"/>
      <c r="AJ611" s="146"/>
    </row>
    <row r="612" ht="15.75" customHeight="1">
      <c r="M612" s="142"/>
      <c r="N612" s="143"/>
      <c r="O612" s="143"/>
      <c r="P612" s="143"/>
      <c r="Q612" s="143"/>
      <c r="R612" s="144" t="s">
        <v>110</v>
      </c>
      <c r="S612" s="143"/>
      <c r="U612" s="143"/>
      <c r="V612" s="143"/>
      <c r="W612" s="143"/>
      <c r="X612" s="143"/>
      <c r="Y612" s="143"/>
      <c r="Z612" s="143"/>
      <c r="AJ612" s="146"/>
    </row>
    <row r="613" ht="15.75" customHeight="1">
      <c r="M613" s="142"/>
      <c r="N613" s="143"/>
      <c r="O613" s="143"/>
      <c r="P613" s="143"/>
      <c r="Q613" s="143"/>
      <c r="R613" s="144" t="s">
        <v>110</v>
      </c>
      <c r="S613" s="143"/>
      <c r="U613" s="143"/>
      <c r="V613" s="143"/>
      <c r="W613" s="143"/>
      <c r="X613" s="143"/>
      <c r="Y613" s="143"/>
      <c r="Z613" s="143"/>
      <c r="AJ613" s="146"/>
    </row>
    <row r="614" ht="15.75" customHeight="1">
      <c r="M614" s="142"/>
      <c r="N614" s="143"/>
      <c r="O614" s="143"/>
      <c r="P614" s="143"/>
      <c r="Q614" s="143"/>
      <c r="R614" s="144" t="s">
        <v>110</v>
      </c>
      <c r="S614" s="143"/>
      <c r="U614" s="143"/>
      <c r="V614" s="143"/>
      <c r="W614" s="143"/>
      <c r="X614" s="143"/>
      <c r="Y614" s="143"/>
      <c r="Z614" s="143"/>
      <c r="AJ614" s="146"/>
    </row>
    <row r="615" ht="15.75" customHeight="1">
      <c r="M615" s="142"/>
      <c r="N615" s="143"/>
      <c r="O615" s="143"/>
      <c r="P615" s="143"/>
      <c r="Q615" s="143"/>
      <c r="R615" s="144" t="s">
        <v>110</v>
      </c>
      <c r="S615" s="143"/>
      <c r="U615" s="143"/>
      <c r="V615" s="143"/>
      <c r="W615" s="143"/>
      <c r="X615" s="143"/>
      <c r="Y615" s="143"/>
      <c r="Z615" s="143"/>
      <c r="AJ615" s="146"/>
    </row>
    <row r="616" ht="15.75" customHeight="1">
      <c r="M616" s="142"/>
      <c r="N616" s="143"/>
      <c r="O616" s="143"/>
      <c r="P616" s="143"/>
      <c r="Q616" s="143"/>
      <c r="R616" s="144" t="s">
        <v>110</v>
      </c>
      <c r="S616" s="143"/>
      <c r="U616" s="143"/>
      <c r="V616" s="143"/>
      <c r="W616" s="143"/>
      <c r="X616" s="143"/>
      <c r="Y616" s="143"/>
      <c r="Z616" s="143"/>
      <c r="AJ616" s="146"/>
    </row>
    <row r="617" ht="15.75" customHeight="1">
      <c r="M617" s="142"/>
      <c r="N617" s="143"/>
      <c r="O617" s="143"/>
      <c r="P617" s="143"/>
      <c r="Q617" s="143"/>
      <c r="R617" s="144" t="s">
        <v>110</v>
      </c>
      <c r="S617" s="143"/>
      <c r="U617" s="143"/>
      <c r="V617" s="143"/>
      <c r="W617" s="143"/>
      <c r="X617" s="143"/>
      <c r="Y617" s="143"/>
      <c r="Z617" s="143"/>
      <c r="AJ617" s="146"/>
    </row>
    <row r="618" ht="15.75" customHeight="1">
      <c r="M618" s="142"/>
      <c r="N618" s="143"/>
      <c r="O618" s="143"/>
      <c r="P618" s="143"/>
      <c r="Q618" s="143"/>
      <c r="R618" s="144" t="s">
        <v>110</v>
      </c>
      <c r="S618" s="143"/>
      <c r="U618" s="143"/>
      <c r="V618" s="143"/>
      <c r="W618" s="143"/>
      <c r="X618" s="143"/>
      <c r="Y618" s="143"/>
      <c r="Z618" s="143"/>
      <c r="AJ618" s="146"/>
    </row>
    <row r="619" ht="15.75" customHeight="1">
      <c r="M619" s="142"/>
      <c r="N619" s="143"/>
      <c r="O619" s="143"/>
      <c r="P619" s="143"/>
      <c r="Q619" s="143"/>
      <c r="R619" s="144" t="s">
        <v>110</v>
      </c>
      <c r="S619" s="143"/>
      <c r="U619" s="143"/>
      <c r="V619" s="143"/>
      <c r="W619" s="143"/>
      <c r="X619" s="143"/>
      <c r="Y619" s="143"/>
      <c r="Z619" s="143"/>
      <c r="AJ619" s="146"/>
    </row>
    <row r="620" ht="15.75" customHeight="1">
      <c r="M620" s="142"/>
      <c r="N620" s="143"/>
      <c r="O620" s="143"/>
      <c r="P620" s="143"/>
      <c r="Q620" s="143"/>
      <c r="R620" s="144" t="s">
        <v>110</v>
      </c>
      <c r="S620" s="143"/>
      <c r="U620" s="143"/>
      <c r="V620" s="143"/>
      <c r="W620" s="143"/>
      <c r="X620" s="143"/>
      <c r="Y620" s="143"/>
      <c r="Z620" s="143"/>
      <c r="AJ620" s="146"/>
    </row>
    <row r="621" ht="15.75" customHeight="1">
      <c r="M621" s="142"/>
      <c r="N621" s="143"/>
      <c r="O621" s="143"/>
      <c r="P621" s="143"/>
      <c r="Q621" s="143"/>
      <c r="R621" s="144" t="s">
        <v>110</v>
      </c>
      <c r="S621" s="143"/>
      <c r="U621" s="143"/>
      <c r="V621" s="143"/>
      <c r="W621" s="143"/>
      <c r="X621" s="143"/>
      <c r="Y621" s="143"/>
      <c r="Z621" s="143"/>
      <c r="AJ621" s="146"/>
    </row>
    <row r="622" ht="15.75" customHeight="1">
      <c r="M622" s="142"/>
      <c r="N622" s="143"/>
      <c r="O622" s="143"/>
      <c r="P622" s="143"/>
      <c r="Q622" s="143"/>
      <c r="R622" s="144" t="s">
        <v>110</v>
      </c>
      <c r="S622" s="143"/>
      <c r="U622" s="143"/>
      <c r="V622" s="143"/>
      <c r="W622" s="143"/>
      <c r="X622" s="143"/>
      <c r="Y622" s="143"/>
      <c r="Z622" s="143"/>
      <c r="AJ622" s="146"/>
    </row>
    <row r="623" ht="15.75" customHeight="1">
      <c r="M623" s="142"/>
      <c r="N623" s="143"/>
      <c r="O623" s="143"/>
      <c r="P623" s="143"/>
      <c r="Q623" s="143"/>
      <c r="R623" s="144" t="s">
        <v>110</v>
      </c>
      <c r="S623" s="143"/>
      <c r="U623" s="143"/>
      <c r="V623" s="143"/>
      <c r="W623" s="143"/>
      <c r="X623" s="143"/>
      <c r="Y623" s="143"/>
      <c r="Z623" s="143"/>
      <c r="AJ623" s="146"/>
    </row>
    <row r="624" ht="15.75" customHeight="1">
      <c r="M624" s="142"/>
      <c r="N624" s="143"/>
      <c r="O624" s="143"/>
      <c r="P624" s="143"/>
      <c r="Q624" s="143"/>
      <c r="R624" s="144" t="s">
        <v>110</v>
      </c>
      <c r="S624" s="143"/>
      <c r="U624" s="143"/>
      <c r="V624" s="143"/>
      <c r="W624" s="143"/>
      <c r="X624" s="143"/>
      <c r="Y624" s="143"/>
      <c r="Z624" s="143"/>
      <c r="AJ624" s="146"/>
    </row>
    <row r="625" ht="15.75" customHeight="1">
      <c r="M625" s="142"/>
      <c r="N625" s="143"/>
      <c r="O625" s="143"/>
      <c r="P625" s="143"/>
      <c r="Q625" s="143"/>
      <c r="R625" s="144" t="s">
        <v>110</v>
      </c>
      <c r="S625" s="143"/>
      <c r="U625" s="143"/>
      <c r="V625" s="143"/>
      <c r="W625" s="143"/>
      <c r="X625" s="143"/>
      <c r="Y625" s="143"/>
      <c r="Z625" s="143"/>
      <c r="AJ625" s="146"/>
    </row>
    <row r="626" ht="15.75" customHeight="1">
      <c r="M626" s="142"/>
      <c r="N626" s="143"/>
      <c r="O626" s="143"/>
      <c r="P626" s="143"/>
      <c r="Q626" s="143"/>
      <c r="R626" s="144" t="s">
        <v>110</v>
      </c>
      <c r="S626" s="143"/>
      <c r="U626" s="143"/>
      <c r="V626" s="143"/>
      <c r="W626" s="143"/>
      <c r="X626" s="143"/>
      <c r="Y626" s="143"/>
      <c r="Z626" s="143"/>
      <c r="AJ626" s="146"/>
    </row>
    <row r="627" ht="15.75" customHeight="1">
      <c r="M627" s="142"/>
      <c r="N627" s="143"/>
      <c r="O627" s="143"/>
      <c r="P627" s="143"/>
      <c r="Q627" s="143"/>
      <c r="R627" s="144" t="s">
        <v>110</v>
      </c>
      <c r="S627" s="143"/>
      <c r="U627" s="143"/>
      <c r="V627" s="143"/>
      <c r="W627" s="143"/>
      <c r="X627" s="143"/>
      <c r="Y627" s="143"/>
      <c r="Z627" s="143"/>
      <c r="AJ627" s="146"/>
    </row>
    <row r="628" ht="15.75" customHeight="1">
      <c r="M628" s="142"/>
      <c r="N628" s="143"/>
      <c r="O628" s="143"/>
      <c r="P628" s="143"/>
      <c r="Q628" s="143"/>
      <c r="R628" s="144" t="s">
        <v>110</v>
      </c>
      <c r="S628" s="143"/>
      <c r="U628" s="143"/>
      <c r="V628" s="143"/>
      <c r="W628" s="143"/>
      <c r="X628" s="143"/>
      <c r="Y628" s="143"/>
      <c r="Z628" s="143"/>
      <c r="AJ628" s="146"/>
    </row>
    <row r="629" ht="15.75" customHeight="1">
      <c r="M629" s="142"/>
      <c r="N629" s="143"/>
      <c r="O629" s="143"/>
      <c r="P629" s="143"/>
      <c r="Q629" s="143"/>
      <c r="R629" s="144" t="s">
        <v>110</v>
      </c>
      <c r="S629" s="143"/>
      <c r="U629" s="143"/>
      <c r="V629" s="143"/>
      <c r="W629" s="143"/>
      <c r="X629" s="143"/>
      <c r="Y629" s="143"/>
      <c r="Z629" s="143"/>
      <c r="AJ629" s="146"/>
    </row>
    <row r="630" ht="15.75" customHeight="1">
      <c r="M630" s="142"/>
      <c r="N630" s="143"/>
      <c r="O630" s="143"/>
      <c r="P630" s="143"/>
      <c r="Q630" s="143"/>
      <c r="R630" s="144" t="s">
        <v>110</v>
      </c>
      <c r="S630" s="143"/>
      <c r="U630" s="143"/>
      <c r="V630" s="143"/>
      <c r="W630" s="143"/>
      <c r="X630" s="143"/>
      <c r="Y630" s="143"/>
      <c r="Z630" s="143"/>
      <c r="AJ630" s="146"/>
    </row>
    <row r="631" ht="15.75" customHeight="1">
      <c r="M631" s="142"/>
      <c r="N631" s="143"/>
      <c r="O631" s="143"/>
      <c r="P631" s="143"/>
      <c r="Q631" s="143"/>
      <c r="R631" s="144" t="s">
        <v>110</v>
      </c>
      <c r="S631" s="143"/>
      <c r="U631" s="143"/>
      <c r="V631" s="143"/>
      <c r="W631" s="143"/>
      <c r="X631" s="143"/>
      <c r="Y631" s="143"/>
      <c r="Z631" s="143"/>
      <c r="AJ631" s="146"/>
    </row>
    <row r="632" ht="15.75" customHeight="1">
      <c r="M632" s="142"/>
      <c r="N632" s="143"/>
      <c r="O632" s="143"/>
      <c r="P632" s="143"/>
      <c r="Q632" s="143"/>
      <c r="R632" s="144" t="s">
        <v>110</v>
      </c>
      <c r="S632" s="143"/>
      <c r="U632" s="143"/>
      <c r="V632" s="143"/>
      <c r="W632" s="143"/>
      <c r="X632" s="143"/>
      <c r="Y632" s="143"/>
      <c r="Z632" s="143"/>
      <c r="AJ632" s="146"/>
    </row>
    <row r="633" ht="15.75" customHeight="1">
      <c r="M633" s="142"/>
      <c r="N633" s="143"/>
      <c r="O633" s="143"/>
      <c r="P633" s="143"/>
      <c r="Q633" s="143"/>
      <c r="R633" s="144" t="s">
        <v>110</v>
      </c>
      <c r="S633" s="143"/>
      <c r="U633" s="143"/>
      <c r="V633" s="143"/>
      <c r="W633" s="143"/>
      <c r="X633" s="143"/>
      <c r="Y633" s="143"/>
      <c r="Z633" s="143"/>
      <c r="AJ633" s="146"/>
    </row>
    <row r="634" ht="15.75" customHeight="1">
      <c r="M634" s="142"/>
      <c r="N634" s="143"/>
      <c r="O634" s="143"/>
      <c r="P634" s="143"/>
      <c r="Q634" s="143"/>
      <c r="R634" s="144" t="s">
        <v>110</v>
      </c>
      <c r="S634" s="143"/>
      <c r="U634" s="143"/>
      <c r="V634" s="143"/>
      <c r="W634" s="143"/>
      <c r="X634" s="143"/>
      <c r="Y634" s="143"/>
      <c r="Z634" s="143"/>
      <c r="AJ634" s="146"/>
    </row>
    <row r="635" ht="15.75" customHeight="1">
      <c r="M635" s="142"/>
      <c r="N635" s="143"/>
      <c r="O635" s="143"/>
      <c r="P635" s="143"/>
      <c r="Q635" s="143"/>
      <c r="R635" s="144" t="s">
        <v>110</v>
      </c>
      <c r="S635" s="143"/>
      <c r="U635" s="143"/>
      <c r="V635" s="143"/>
      <c r="W635" s="143"/>
      <c r="X635" s="143"/>
      <c r="Y635" s="143"/>
      <c r="Z635" s="143"/>
      <c r="AJ635" s="146"/>
    </row>
    <row r="636" ht="15.75" customHeight="1">
      <c r="M636" s="142"/>
      <c r="N636" s="143"/>
      <c r="O636" s="143"/>
      <c r="P636" s="143"/>
      <c r="Q636" s="143"/>
      <c r="R636" s="144" t="s">
        <v>110</v>
      </c>
      <c r="S636" s="143"/>
      <c r="U636" s="143"/>
      <c r="V636" s="143"/>
      <c r="W636" s="143"/>
      <c r="X636" s="143"/>
      <c r="Y636" s="143"/>
      <c r="Z636" s="143"/>
      <c r="AJ636" s="146"/>
    </row>
    <row r="637" ht="15.75" customHeight="1">
      <c r="M637" s="142"/>
      <c r="N637" s="143"/>
      <c r="O637" s="143"/>
      <c r="P637" s="143"/>
      <c r="Q637" s="143"/>
      <c r="R637" s="144" t="s">
        <v>110</v>
      </c>
      <c r="S637" s="143"/>
      <c r="U637" s="143"/>
      <c r="V637" s="143"/>
      <c r="W637" s="143"/>
      <c r="X637" s="143"/>
      <c r="Y637" s="143"/>
      <c r="Z637" s="143"/>
      <c r="AJ637" s="146"/>
    </row>
    <row r="638" ht="15.75" customHeight="1">
      <c r="M638" s="142"/>
      <c r="N638" s="143"/>
      <c r="O638" s="143"/>
      <c r="P638" s="143"/>
      <c r="Q638" s="143"/>
      <c r="R638" s="144" t="s">
        <v>110</v>
      </c>
      <c r="S638" s="143"/>
      <c r="U638" s="143"/>
      <c r="V638" s="143"/>
      <c r="W638" s="143"/>
      <c r="X638" s="143"/>
      <c r="Y638" s="143"/>
      <c r="Z638" s="143"/>
      <c r="AJ638" s="146"/>
    </row>
    <row r="639" ht="15.75" customHeight="1">
      <c r="M639" s="142"/>
      <c r="N639" s="143"/>
      <c r="O639" s="143"/>
      <c r="P639" s="143"/>
      <c r="Q639" s="143"/>
      <c r="R639" s="144" t="s">
        <v>110</v>
      </c>
      <c r="S639" s="143"/>
      <c r="U639" s="143"/>
      <c r="V639" s="143"/>
      <c r="W639" s="143"/>
      <c r="X639" s="143"/>
      <c r="Y639" s="143"/>
      <c r="Z639" s="143"/>
      <c r="AJ639" s="146"/>
    </row>
    <row r="640" ht="15.75" customHeight="1">
      <c r="M640" s="142"/>
      <c r="N640" s="143"/>
      <c r="O640" s="143"/>
      <c r="P640" s="143"/>
      <c r="Q640" s="143"/>
      <c r="R640" s="144" t="s">
        <v>110</v>
      </c>
      <c r="S640" s="143"/>
      <c r="U640" s="143"/>
      <c r="V640" s="143"/>
      <c r="W640" s="143"/>
      <c r="X640" s="143"/>
      <c r="Y640" s="143"/>
      <c r="Z640" s="143"/>
      <c r="AJ640" s="146"/>
    </row>
    <row r="641" ht="15.75" customHeight="1">
      <c r="M641" s="142"/>
      <c r="N641" s="143"/>
      <c r="O641" s="143"/>
      <c r="P641" s="143"/>
      <c r="Q641" s="143"/>
      <c r="R641" s="144" t="s">
        <v>110</v>
      </c>
      <c r="S641" s="143"/>
      <c r="U641" s="143"/>
      <c r="V641" s="143"/>
      <c r="W641" s="143"/>
      <c r="X641" s="143"/>
      <c r="Y641" s="143"/>
      <c r="Z641" s="143"/>
      <c r="AJ641" s="146"/>
    </row>
    <row r="642" ht="15.75" customHeight="1">
      <c r="M642" s="142"/>
      <c r="N642" s="143"/>
      <c r="O642" s="143"/>
      <c r="P642" s="143"/>
      <c r="Q642" s="143"/>
      <c r="R642" s="144" t="s">
        <v>110</v>
      </c>
      <c r="S642" s="143"/>
      <c r="U642" s="143"/>
      <c r="V642" s="143"/>
      <c r="W642" s="143"/>
      <c r="X642" s="143"/>
      <c r="Y642" s="143"/>
      <c r="Z642" s="143"/>
      <c r="AJ642" s="146"/>
    </row>
    <row r="643" ht="15.75" customHeight="1">
      <c r="M643" s="142"/>
      <c r="N643" s="143"/>
      <c r="O643" s="143"/>
      <c r="P643" s="143"/>
      <c r="Q643" s="143"/>
      <c r="R643" s="144" t="s">
        <v>110</v>
      </c>
      <c r="S643" s="143"/>
      <c r="U643" s="143"/>
      <c r="V643" s="143"/>
      <c r="W643" s="143"/>
      <c r="X643" s="143"/>
      <c r="Y643" s="143"/>
      <c r="Z643" s="143"/>
      <c r="AJ643" s="146"/>
    </row>
    <row r="644" ht="15.75" customHeight="1">
      <c r="M644" s="142"/>
      <c r="N644" s="143"/>
      <c r="O644" s="143"/>
      <c r="P644" s="143"/>
      <c r="Q644" s="143"/>
      <c r="R644" s="144" t="s">
        <v>110</v>
      </c>
      <c r="S644" s="143"/>
      <c r="U644" s="143"/>
      <c r="V644" s="143"/>
      <c r="W644" s="143"/>
      <c r="X644" s="143"/>
      <c r="Y644" s="143"/>
      <c r="Z644" s="143"/>
      <c r="AJ644" s="146"/>
    </row>
    <row r="645" ht="15.75" customHeight="1">
      <c r="M645" s="142"/>
      <c r="N645" s="143"/>
      <c r="O645" s="143"/>
      <c r="P645" s="143"/>
      <c r="Q645" s="143"/>
      <c r="R645" s="144" t="s">
        <v>110</v>
      </c>
      <c r="S645" s="143"/>
      <c r="U645" s="143"/>
      <c r="V645" s="143"/>
      <c r="W645" s="143"/>
      <c r="X645" s="143"/>
      <c r="Y645" s="143"/>
      <c r="Z645" s="143"/>
      <c r="AJ645" s="146"/>
    </row>
    <row r="646" ht="15.75" customHeight="1">
      <c r="M646" s="142"/>
      <c r="N646" s="143"/>
      <c r="O646" s="143"/>
      <c r="P646" s="143"/>
      <c r="Q646" s="143"/>
      <c r="R646" s="144" t="s">
        <v>110</v>
      </c>
      <c r="S646" s="143"/>
      <c r="U646" s="143"/>
      <c r="V646" s="143"/>
      <c r="W646" s="143"/>
      <c r="X646" s="143"/>
      <c r="Y646" s="143"/>
      <c r="Z646" s="143"/>
      <c r="AJ646" s="146"/>
    </row>
    <row r="647" ht="15.75" customHeight="1">
      <c r="M647" s="142"/>
      <c r="N647" s="143"/>
      <c r="O647" s="143"/>
      <c r="P647" s="143"/>
      <c r="Q647" s="143"/>
      <c r="R647" s="144" t="s">
        <v>110</v>
      </c>
      <c r="S647" s="143"/>
      <c r="U647" s="143"/>
      <c r="V647" s="143"/>
      <c r="W647" s="143"/>
      <c r="X647" s="143"/>
      <c r="Y647" s="143"/>
      <c r="Z647" s="143"/>
      <c r="AJ647" s="146"/>
    </row>
    <row r="648" ht="15.75" customHeight="1">
      <c r="M648" s="142"/>
      <c r="N648" s="143"/>
      <c r="O648" s="143"/>
      <c r="P648" s="143"/>
      <c r="Q648" s="143"/>
      <c r="R648" s="144" t="s">
        <v>110</v>
      </c>
      <c r="S648" s="143"/>
      <c r="U648" s="143"/>
      <c r="V648" s="143"/>
      <c r="W648" s="143"/>
      <c r="X648" s="143"/>
      <c r="Y648" s="143"/>
      <c r="Z648" s="143"/>
      <c r="AJ648" s="146"/>
    </row>
    <row r="649" ht="15.75" customHeight="1">
      <c r="M649" s="142"/>
      <c r="N649" s="143"/>
      <c r="O649" s="143"/>
      <c r="P649" s="143"/>
      <c r="Q649" s="143"/>
      <c r="R649" s="144" t="s">
        <v>110</v>
      </c>
      <c r="S649" s="143"/>
      <c r="U649" s="143"/>
      <c r="V649" s="143"/>
      <c r="W649" s="143"/>
      <c r="X649" s="143"/>
      <c r="Y649" s="143"/>
      <c r="Z649" s="143"/>
      <c r="AJ649" s="146"/>
    </row>
    <row r="650" ht="15.75" customHeight="1">
      <c r="M650" s="142"/>
      <c r="N650" s="143"/>
      <c r="O650" s="143"/>
      <c r="P650" s="143"/>
      <c r="Q650" s="143"/>
      <c r="R650" s="144" t="s">
        <v>110</v>
      </c>
      <c r="S650" s="143"/>
      <c r="U650" s="143"/>
      <c r="V650" s="143"/>
      <c r="W650" s="143"/>
      <c r="X650" s="143"/>
      <c r="Y650" s="143"/>
      <c r="Z650" s="143"/>
      <c r="AJ650" s="146"/>
    </row>
    <row r="651" ht="15.75" customHeight="1">
      <c r="M651" s="142"/>
      <c r="N651" s="143"/>
      <c r="O651" s="143"/>
      <c r="P651" s="143"/>
      <c r="Q651" s="143"/>
      <c r="R651" s="144" t="s">
        <v>110</v>
      </c>
      <c r="S651" s="143"/>
      <c r="U651" s="143"/>
      <c r="V651" s="143"/>
      <c r="W651" s="143"/>
      <c r="X651" s="143"/>
      <c r="Y651" s="143"/>
      <c r="Z651" s="143"/>
      <c r="AJ651" s="146"/>
    </row>
    <row r="652" ht="15.75" customHeight="1">
      <c r="M652" s="142"/>
      <c r="N652" s="143"/>
      <c r="O652" s="143"/>
      <c r="P652" s="143"/>
      <c r="Q652" s="143"/>
      <c r="R652" s="144" t="s">
        <v>110</v>
      </c>
      <c r="S652" s="143"/>
      <c r="U652" s="143"/>
      <c r="V652" s="143"/>
      <c r="W652" s="143"/>
      <c r="X652" s="143"/>
      <c r="Y652" s="143"/>
      <c r="Z652" s="143"/>
      <c r="AJ652" s="146"/>
    </row>
    <row r="653" ht="15.75" customHeight="1">
      <c r="M653" s="142"/>
      <c r="N653" s="143"/>
      <c r="O653" s="143"/>
      <c r="P653" s="143"/>
      <c r="Q653" s="143"/>
      <c r="R653" s="144" t="s">
        <v>110</v>
      </c>
      <c r="S653" s="143"/>
      <c r="U653" s="143"/>
      <c r="V653" s="143"/>
      <c r="W653" s="143"/>
      <c r="X653" s="143"/>
      <c r="Y653" s="143"/>
      <c r="Z653" s="143"/>
      <c r="AJ653" s="146"/>
    </row>
    <row r="654" ht="15.75" customHeight="1">
      <c r="M654" s="142"/>
      <c r="N654" s="143"/>
      <c r="O654" s="143"/>
      <c r="P654" s="143"/>
      <c r="Q654" s="143"/>
      <c r="R654" s="144" t="s">
        <v>110</v>
      </c>
      <c r="S654" s="143"/>
      <c r="U654" s="143"/>
      <c r="V654" s="143"/>
      <c r="W654" s="143"/>
      <c r="X654" s="143"/>
      <c r="Y654" s="143"/>
      <c r="Z654" s="143"/>
      <c r="AJ654" s="146"/>
    </row>
    <row r="655" ht="15.75" customHeight="1">
      <c r="M655" s="142"/>
      <c r="N655" s="143"/>
      <c r="O655" s="143"/>
      <c r="P655" s="143"/>
      <c r="Q655" s="143"/>
      <c r="R655" s="144" t="s">
        <v>110</v>
      </c>
      <c r="S655" s="143"/>
      <c r="U655" s="143"/>
      <c r="V655" s="143"/>
      <c r="W655" s="143"/>
      <c r="X655" s="143"/>
      <c r="Y655" s="143"/>
      <c r="Z655" s="143"/>
      <c r="AJ655" s="146"/>
    </row>
    <row r="656" ht="15.75" customHeight="1">
      <c r="M656" s="142"/>
      <c r="N656" s="143"/>
      <c r="O656" s="143"/>
      <c r="P656" s="143"/>
      <c r="Q656" s="143"/>
      <c r="R656" s="144" t="s">
        <v>110</v>
      </c>
      <c r="S656" s="143"/>
      <c r="U656" s="143"/>
      <c r="V656" s="143"/>
      <c r="W656" s="143"/>
      <c r="X656" s="143"/>
      <c r="Y656" s="143"/>
      <c r="Z656" s="143"/>
      <c r="AJ656" s="146"/>
    </row>
    <row r="657" ht="15.75" customHeight="1">
      <c r="M657" s="142"/>
      <c r="N657" s="143"/>
      <c r="O657" s="143"/>
      <c r="P657" s="143"/>
      <c r="Q657" s="143"/>
      <c r="R657" s="144" t="s">
        <v>110</v>
      </c>
      <c r="S657" s="143"/>
      <c r="U657" s="143"/>
      <c r="V657" s="143"/>
      <c r="W657" s="143"/>
      <c r="X657" s="143"/>
      <c r="Y657" s="143"/>
      <c r="Z657" s="143"/>
      <c r="AJ657" s="146"/>
    </row>
    <row r="658" ht="15.75" customHeight="1">
      <c r="M658" s="142"/>
      <c r="N658" s="143"/>
      <c r="O658" s="143"/>
      <c r="P658" s="143"/>
      <c r="Q658" s="143"/>
      <c r="R658" s="144" t="s">
        <v>110</v>
      </c>
      <c r="S658" s="143"/>
      <c r="U658" s="143"/>
      <c r="V658" s="143"/>
      <c r="W658" s="143"/>
      <c r="X658" s="143"/>
      <c r="Y658" s="143"/>
      <c r="Z658" s="143"/>
      <c r="AJ658" s="146"/>
    </row>
    <row r="659" ht="15.75" customHeight="1">
      <c r="M659" s="142"/>
      <c r="N659" s="143"/>
      <c r="O659" s="143"/>
      <c r="P659" s="143"/>
      <c r="Q659" s="143"/>
      <c r="R659" s="144" t="s">
        <v>110</v>
      </c>
      <c r="S659" s="143"/>
      <c r="U659" s="143"/>
      <c r="V659" s="143"/>
      <c r="W659" s="143"/>
      <c r="X659" s="143"/>
      <c r="Y659" s="143"/>
      <c r="Z659" s="143"/>
      <c r="AJ659" s="146"/>
    </row>
    <row r="660" ht="15.75" customHeight="1">
      <c r="M660" s="142"/>
      <c r="N660" s="143"/>
      <c r="O660" s="143"/>
      <c r="P660" s="143"/>
      <c r="Q660" s="143"/>
      <c r="R660" s="144" t="s">
        <v>110</v>
      </c>
      <c r="S660" s="143"/>
      <c r="U660" s="143"/>
      <c r="V660" s="143"/>
      <c r="W660" s="143"/>
      <c r="X660" s="143"/>
      <c r="Y660" s="143"/>
      <c r="Z660" s="143"/>
      <c r="AJ660" s="146"/>
    </row>
    <row r="661" ht="15.75" customHeight="1">
      <c r="M661" s="142"/>
      <c r="N661" s="143"/>
      <c r="O661" s="143"/>
      <c r="P661" s="143"/>
      <c r="Q661" s="143"/>
      <c r="R661" s="144" t="s">
        <v>110</v>
      </c>
      <c r="S661" s="143"/>
      <c r="U661" s="143"/>
      <c r="V661" s="143"/>
      <c r="W661" s="143"/>
      <c r="X661" s="143"/>
      <c r="Y661" s="143"/>
      <c r="Z661" s="143"/>
      <c r="AJ661" s="146"/>
    </row>
    <row r="662" ht="15.75" customHeight="1">
      <c r="M662" s="142"/>
      <c r="N662" s="143"/>
      <c r="O662" s="143"/>
      <c r="P662" s="143"/>
      <c r="Q662" s="143"/>
      <c r="R662" s="144" t="s">
        <v>110</v>
      </c>
      <c r="S662" s="143"/>
      <c r="U662" s="143"/>
      <c r="V662" s="143"/>
      <c r="W662" s="143"/>
      <c r="X662" s="143"/>
      <c r="Y662" s="143"/>
      <c r="Z662" s="143"/>
      <c r="AJ662" s="146"/>
    </row>
    <row r="663" ht="15.75" customHeight="1">
      <c r="M663" s="142"/>
      <c r="N663" s="143"/>
      <c r="O663" s="143"/>
      <c r="P663" s="143"/>
      <c r="Q663" s="143"/>
      <c r="R663" s="144" t="s">
        <v>110</v>
      </c>
      <c r="S663" s="143"/>
      <c r="U663" s="143"/>
      <c r="V663" s="143"/>
      <c r="W663" s="143"/>
      <c r="X663" s="143"/>
      <c r="Y663" s="143"/>
      <c r="Z663" s="143"/>
      <c r="AJ663" s="146"/>
    </row>
    <row r="664" ht="15.75" customHeight="1">
      <c r="M664" s="142"/>
      <c r="N664" s="143"/>
      <c r="O664" s="143"/>
      <c r="P664" s="143"/>
      <c r="Q664" s="143"/>
      <c r="R664" s="144" t="s">
        <v>110</v>
      </c>
      <c r="S664" s="143"/>
      <c r="U664" s="143"/>
      <c r="V664" s="143"/>
      <c r="W664" s="143"/>
      <c r="X664" s="143"/>
      <c r="Y664" s="143"/>
      <c r="Z664" s="143"/>
      <c r="AJ664" s="146"/>
    </row>
    <row r="665" ht="15.75" customHeight="1">
      <c r="M665" s="142"/>
      <c r="N665" s="143"/>
      <c r="O665" s="143"/>
      <c r="P665" s="143"/>
      <c r="Q665" s="143"/>
      <c r="R665" s="144" t="s">
        <v>110</v>
      </c>
      <c r="S665" s="143"/>
      <c r="U665" s="143"/>
      <c r="V665" s="143"/>
      <c r="W665" s="143"/>
      <c r="X665" s="143"/>
      <c r="Y665" s="143"/>
      <c r="Z665" s="143"/>
      <c r="AJ665" s="146"/>
    </row>
    <row r="666" ht="15.75" customHeight="1">
      <c r="M666" s="142"/>
      <c r="N666" s="143"/>
      <c r="O666" s="143"/>
      <c r="P666" s="143"/>
      <c r="Q666" s="143"/>
      <c r="R666" s="144" t="s">
        <v>110</v>
      </c>
      <c r="S666" s="143"/>
      <c r="U666" s="143"/>
      <c r="V666" s="143"/>
      <c r="W666" s="143"/>
      <c r="X666" s="143"/>
      <c r="Y666" s="143"/>
      <c r="Z666" s="143"/>
      <c r="AJ666" s="146"/>
    </row>
    <row r="667" ht="15.75" customHeight="1">
      <c r="M667" s="142"/>
      <c r="N667" s="143"/>
      <c r="O667" s="143"/>
      <c r="P667" s="143"/>
      <c r="Q667" s="143"/>
      <c r="R667" s="144" t="s">
        <v>110</v>
      </c>
      <c r="S667" s="143"/>
      <c r="U667" s="143"/>
      <c r="V667" s="143"/>
      <c r="W667" s="143"/>
      <c r="X667" s="143"/>
      <c r="Y667" s="143"/>
      <c r="Z667" s="143"/>
      <c r="AJ667" s="146"/>
    </row>
    <row r="668" ht="15.75" customHeight="1">
      <c r="M668" s="142"/>
      <c r="N668" s="143"/>
      <c r="O668" s="143"/>
      <c r="P668" s="143"/>
      <c r="Q668" s="143"/>
      <c r="R668" s="144" t="s">
        <v>110</v>
      </c>
      <c r="S668" s="143"/>
      <c r="U668" s="143"/>
      <c r="V668" s="143"/>
      <c r="W668" s="143"/>
      <c r="X668" s="143"/>
      <c r="Y668" s="143"/>
      <c r="Z668" s="143"/>
      <c r="AJ668" s="146"/>
    </row>
    <row r="669" ht="15.75" customHeight="1">
      <c r="M669" s="142"/>
      <c r="N669" s="143"/>
      <c r="O669" s="143"/>
      <c r="P669" s="143"/>
      <c r="Q669" s="143"/>
      <c r="R669" s="144" t="s">
        <v>110</v>
      </c>
      <c r="S669" s="143"/>
      <c r="U669" s="143"/>
      <c r="V669" s="143"/>
      <c r="W669" s="143"/>
      <c r="X669" s="143"/>
      <c r="Y669" s="143"/>
      <c r="Z669" s="143"/>
      <c r="AJ669" s="146"/>
    </row>
    <row r="670" ht="15.75" customHeight="1">
      <c r="M670" s="142"/>
      <c r="N670" s="143"/>
      <c r="O670" s="143"/>
      <c r="P670" s="143"/>
      <c r="Q670" s="143"/>
      <c r="R670" s="144" t="s">
        <v>110</v>
      </c>
      <c r="S670" s="143"/>
      <c r="U670" s="143"/>
      <c r="V670" s="143"/>
      <c r="W670" s="143"/>
      <c r="X670" s="143"/>
      <c r="Y670" s="143"/>
      <c r="Z670" s="143"/>
      <c r="AJ670" s="146"/>
    </row>
    <row r="671" ht="15.75" customHeight="1">
      <c r="M671" s="142"/>
      <c r="N671" s="143"/>
      <c r="O671" s="143"/>
      <c r="P671" s="143"/>
      <c r="Q671" s="143"/>
      <c r="R671" s="144" t="s">
        <v>110</v>
      </c>
      <c r="S671" s="143"/>
      <c r="U671" s="143"/>
      <c r="V671" s="143"/>
      <c r="W671" s="143"/>
      <c r="X671" s="143"/>
      <c r="Y671" s="143"/>
      <c r="Z671" s="143"/>
      <c r="AJ671" s="146"/>
    </row>
    <row r="672" ht="15.75" customHeight="1">
      <c r="M672" s="142"/>
      <c r="N672" s="143"/>
      <c r="O672" s="143"/>
      <c r="P672" s="143"/>
      <c r="Q672" s="143"/>
      <c r="R672" s="144" t="s">
        <v>110</v>
      </c>
      <c r="S672" s="143"/>
      <c r="U672" s="143"/>
      <c r="V672" s="143"/>
      <c r="W672" s="143"/>
      <c r="X672" s="143"/>
      <c r="Y672" s="143"/>
      <c r="Z672" s="143"/>
      <c r="AJ672" s="146"/>
    </row>
    <row r="673" ht="15.75" customHeight="1">
      <c r="M673" s="142"/>
      <c r="N673" s="143"/>
      <c r="O673" s="143"/>
      <c r="P673" s="143"/>
      <c r="Q673" s="143"/>
      <c r="R673" s="144" t="s">
        <v>110</v>
      </c>
      <c r="S673" s="143"/>
      <c r="U673" s="143"/>
      <c r="V673" s="143"/>
      <c r="W673" s="143"/>
      <c r="X673" s="143"/>
      <c r="Y673" s="143"/>
      <c r="Z673" s="143"/>
      <c r="AJ673" s="146"/>
    </row>
    <row r="674" ht="15.75" customHeight="1">
      <c r="M674" s="142"/>
      <c r="N674" s="143"/>
      <c r="O674" s="143"/>
      <c r="P674" s="143"/>
      <c r="Q674" s="143"/>
      <c r="R674" s="144" t="s">
        <v>110</v>
      </c>
      <c r="S674" s="143"/>
      <c r="U674" s="143"/>
      <c r="V674" s="143"/>
      <c r="W674" s="143"/>
      <c r="X674" s="143"/>
      <c r="Y674" s="143"/>
      <c r="Z674" s="143"/>
      <c r="AJ674" s="146"/>
    </row>
    <row r="675" ht="15.75" customHeight="1">
      <c r="M675" s="142"/>
      <c r="N675" s="143"/>
      <c r="O675" s="143"/>
      <c r="P675" s="143"/>
      <c r="Q675" s="143"/>
      <c r="R675" s="144" t="s">
        <v>110</v>
      </c>
      <c r="S675" s="143"/>
      <c r="U675" s="143"/>
      <c r="V675" s="143"/>
      <c r="W675" s="143"/>
      <c r="X675" s="143"/>
      <c r="Y675" s="143"/>
      <c r="Z675" s="143"/>
      <c r="AJ675" s="146"/>
    </row>
    <row r="676" ht="15.75" customHeight="1">
      <c r="M676" s="142"/>
      <c r="N676" s="143"/>
      <c r="O676" s="143"/>
      <c r="P676" s="143"/>
      <c r="Q676" s="143"/>
      <c r="R676" s="144" t="s">
        <v>110</v>
      </c>
      <c r="S676" s="143"/>
      <c r="U676" s="143"/>
      <c r="V676" s="143"/>
      <c r="W676" s="143"/>
      <c r="X676" s="143"/>
      <c r="Y676" s="143"/>
      <c r="Z676" s="143"/>
      <c r="AJ676" s="146"/>
    </row>
    <row r="677" ht="15.75" customHeight="1">
      <c r="M677" s="142"/>
      <c r="N677" s="143"/>
      <c r="O677" s="143"/>
      <c r="P677" s="143"/>
      <c r="Q677" s="143"/>
      <c r="R677" s="144" t="s">
        <v>110</v>
      </c>
      <c r="S677" s="143"/>
      <c r="U677" s="143"/>
      <c r="V677" s="143"/>
      <c r="W677" s="143"/>
      <c r="X677" s="143"/>
      <c r="Y677" s="143"/>
      <c r="Z677" s="143"/>
      <c r="AJ677" s="146"/>
    </row>
    <row r="678" ht="15.75" customHeight="1">
      <c r="M678" s="142"/>
      <c r="N678" s="143"/>
      <c r="O678" s="143"/>
      <c r="P678" s="143"/>
      <c r="Q678" s="143"/>
      <c r="R678" s="144" t="s">
        <v>110</v>
      </c>
      <c r="S678" s="143"/>
      <c r="U678" s="143"/>
      <c r="V678" s="143"/>
      <c r="W678" s="143"/>
      <c r="X678" s="143"/>
      <c r="Y678" s="143"/>
      <c r="Z678" s="143"/>
      <c r="AJ678" s="146"/>
    </row>
    <row r="679" ht="15.75" customHeight="1">
      <c r="M679" s="142"/>
      <c r="N679" s="143"/>
      <c r="O679" s="143"/>
      <c r="P679" s="143"/>
      <c r="Q679" s="143"/>
      <c r="R679" s="144" t="s">
        <v>110</v>
      </c>
      <c r="S679" s="143"/>
      <c r="U679" s="143"/>
      <c r="V679" s="143"/>
      <c r="W679" s="143"/>
      <c r="X679" s="143"/>
      <c r="Y679" s="143"/>
      <c r="Z679" s="143"/>
      <c r="AJ679" s="146"/>
    </row>
    <row r="680" ht="15.75" customHeight="1">
      <c r="M680" s="142"/>
      <c r="N680" s="143"/>
      <c r="O680" s="143"/>
      <c r="P680" s="143"/>
      <c r="Q680" s="143"/>
      <c r="R680" s="144" t="s">
        <v>110</v>
      </c>
      <c r="S680" s="143"/>
      <c r="U680" s="143"/>
      <c r="V680" s="143"/>
      <c r="W680" s="143"/>
      <c r="X680" s="143"/>
      <c r="Y680" s="143"/>
      <c r="Z680" s="143"/>
      <c r="AJ680" s="146"/>
    </row>
    <row r="681" ht="15.75" customHeight="1">
      <c r="M681" s="142"/>
      <c r="N681" s="143"/>
      <c r="O681" s="143"/>
      <c r="P681" s="143"/>
      <c r="Q681" s="143"/>
      <c r="R681" s="144" t="s">
        <v>110</v>
      </c>
      <c r="S681" s="143"/>
      <c r="U681" s="143"/>
      <c r="V681" s="143"/>
      <c r="W681" s="143"/>
      <c r="X681" s="143"/>
      <c r="Y681" s="143"/>
      <c r="Z681" s="143"/>
      <c r="AJ681" s="146"/>
    </row>
    <row r="682" ht="15.75" customHeight="1">
      <c r="M682" s="142"/>
      <c r="N682" s="143"/>
      <c r="O682" s="143"/>
      <c r="P682" s="143"/>
      <c r="Q682" s="143"/>
      <c r="R682" s="144" t="s">
        <v>110</v>
      </c>
      <c r="S682" s="143"/>
      <c r="U682" s="143"/>
      <c r="V682" s="143"/>
      <c r="W682" s="143"/>
      <c r="X682" s="143"/>
      <c r="Y682" s="143"/>
      <c r="Z682" s="143"/>
      <c r="AJ682" s="146"/>
    </row>
    <row r="683" ht="15.75" customHeight="1">
      <c r="M683" s="142"/>
      <c r="N683" s="143"/>
      <c r="O683" s="143"/>
      <c r="P683" s="143"/>
      <c r="Q683" s="143"/>
      <c r="R683" s="144" t="s">
        <v>110</v>
      </c>
      <c r="S683" s="143"/>
      <c r="U683" s="143"/>
      <c r="V683" s="143"/>
      <c r="W683" s="143"/>
      <c r="X683" s="143"/>
      <c r="Y683" s="143"/>
      <c r="Z683" s="143"/>
      <c r="AJ683" s="146"/>
    </row>
    <row r="684" ht="15.75" customHeight="1">
      <c r="M684" s="142"/>
      <c r="N684" s="143"/>
      <c r="O684" s="143"/>
      <c r="P684" s="143"/>
      <c r="Q684" s="143"/>
      <c r="R684" s="144" t="s">
        <v>110</v>
      </c>
      <c r="S684" s="143"/>
      <c r="U684" s="143"/>
      <c r="V684" s="143"/>
      <c r="W684" s="143"/>
      <c r="X684" s="143"/>
      <c r="Y684" s="143"/>
      <c r="Z684" s="143"/>
      <c r="AJ684" s="146"/>
    </row>
    <row r="685" ht="15.75" customHeight="1">
      <c r="M685" s="142"/>
      <c r="N685" s="143"/>
      <c r="O685" s="143"/>
      <c r="P685" s="143"/>
      <c r="Q685" s="143"/>
      <c r="R685" s="144" t="s">
        <v>110</v>
      </c>
      <c r="S685" s="143"/>
      <c r="U685" s="143"/>
      <c r="V685" s="143"/>
      <c r="W685" s="143"/>
      <c r="X685" s="143"/>
      <c r="Y685" s="143"/>
      <c r="Z685" s="143"/>
      <c r="AJ685" s="146"/>
    </row>
    <row r="686" ht="15.75" customHeight="1">
      <c r="M686" s="142"/>
      <c r="N686" s="143"/>
      <c r="O686" s="143"/>
      <c r="P686" s="143"/>
      <c r="Q686" s="143"/>
      <c r="R686" s="144" t="s">
        <v>110</v>
      </c>
      <c r="S686" s="143"/>
      <c r="U686" s="143"/>
      <c r="V686" s="143"/>
      <c r="W686" s="143"/>
      <c r="X686" s="143"/>
      <c r="Y686" s="143"/>
      <c r="Z686" s="143"/>
      <c r="AJ686" s="146"/>
    </row>
    <row r="687" ht="15.75" customHeight="1">
      <c r="M687" s="142"/>
      <c r="N687" s="143"/>
      <c r="O687" s="143"/>
      <c r="P687" s="143"/>
      <c r="Q687" s="143"/>
      <c r="R687" s="144" t="s">
        <v>110</v>
      </c>
      <c r="S687" s="143"/>
      <c r="U687" s="143"/>
      <c r="V687" s="143"/>
      <c r="W687" s="143"/>
      <c r="X687" s="143"/>
      <c r="Y687" s="143"/>
      <c r="Z687" s="143"/>
      <c r="AJ687" s="146"/>
    </row>
    <row r="688" ht="15.75" customHeight="1">
      <c r="M688" s="142"/>
      <c r="N688" s="143"/>
      <c r="O688" s="143"/>
      <c r="P688" s="143"/>
      <c r="Q688" s="143"/>
      <c r="R688" s="144" t="s">
        <v>110</v>
      </c>
      <c r="S688" s="143"/>
      <c r="U688" s="143"/>
      <c r="V688" s="143"/>
      <c r="W688" s="143"/>
      <c r="X688" s="143"/>
      <c r="Y688" s="143"/>
      <c r="Z688" s="143"/>
      <c r="AJ688" s="146"/>
    </row>
    <row r="689" ht="15.75" customHeight="1">
      <c r="M689" s="142"/>
      <c r="N689" s="143"/>
      <c r="O689" s="143"/>
      <c r="P689" s="143"/>
      <c r="Q689" s="143"/>
      <c r="R689" s="144" t="s">
        <v>110</v>
      </c>
      <c r="S689" s="143"/>
      <c r="U689" s="143"/>
      <c r="V689" s="143"/>
      <c r="W689" s="143"/>
      <c r="X689" s="143"/>
      <c r="Y689" s="143"/>
      <c r="Z689" s="143"/>
      <c r="AJ689" s="146"/>
    </row>
    <row r="690" ht="15.75" customHeight="1">
      <c r="M690" s="142"/>
      <c r="N690" s="143"/>
      <c r="O690" s="143"/>
      <c r="P690" s="143"/>
      <c r="Q690" s="143"/>
      <c r="R690" s="144" t="s">
        <v>110</v>
      </c>
      <c r="S690" s="143"/>
      <c r="U690" s="143"/>
      <c r="V690" s="143"/>
      <c r="W690" s="143"/>
      <c r="X690" s="143"/>
      <c r="Y690" s="143"/>
      <c r="Z690" s="143"/>
      <c r="AJ690" s="146"/>
    </row>
    <row r="691" ht="15.75" customHeight="1">
      <c r="M691" s="142"/>
      <c r="N691" s="143"/>
      <c r="O691" s="143"/>
      <c r="P691" s="143"/>
      <c r="Q691" s="143"/>
      <c r="R691" s="144" t="s">
        <v>110</v>
      </c>
      <c r="S691" s="143"/>
      <c r="U691" s="143"/>
      <c r="V691" s="143"/>
      <c r="W691" s="143"/>
      <c r="X691" s="143"/>
      <c r="Y691" s="143"/>
      <c r="Z691" s="143"/>
      <c r="AJ691" s="146"/>
    </row>
    <row r="692" ht="15.75" customHeight="1">
      <c r="M692" s="142"/>
      <c r="N692" s="143"/>
      <c r="O692" s="143"/>
      <c r="P692" s="143"/>
      <c r="Q692" s="143"/>
      <c r="R692" s="144" t="s">
        <v>110</v>
      </c>
      <c r="S692" s="143"/>
      <c r="U692" s="143"/>
      <c r="V692" s="143"/>
      <c r="W692" s="143"/>
      <c r="X692" s="143"/>
      <c r="Y692" s="143"/>
      <c r="Z692" s="143"/>
      <c r="AJ692" s="146"/>
    </row>
    <row r="693" ht="15.75" customHeight="1">
      <c r="M693" s="142"/>
      <c r="N693" s="143"/>
      <c r="O693" s="143"/>
      <c r="P693" s="143"/>
      <c r="Q693" s="143"/>
      <c r="R693" s="144" t="s">
        <v>110</v>
      </c>
      <c r="S693" s="143"/>
      <c r="U693" s="143"/>
      <c r="V693" s="143"/>
      <c r="W693" s="143"/>
      <c r="X693" s="143"/>
      <c r="Y693" s="143"/>
      <c r="Z693" s="143"/>
      <c r="AJ693" s="146"/>
    </row>
    <row r="694" ht="15.75" customHeight="1">
      <c r="M694" s="142"/>
      <c r="N694" s="143"/>
      <c r="O694" s="143"/>
      <c r="P694" s="143"/>
      <c r="Q694" s="143"/>
      <c r="R694" s="144" t="s">
        <v>110</v>
      </c>
      <c r="S694" s="143"/>
      <c r="U694" s="143"/>
      <c r="V694" s="143"/>
      <c r="W694" s="143"/>
      <c r="X694" s="143"/>
      <c r="Y694" s="143"/>
      <c r="Z694" s="143"/>
      <c r="AJ694" s="146"/>
    </row>
    <row r="695" ht="15.75" customHeight="1">
      <c r="M695" s="142"/>
      <c r="N695" s="143"/>
      <c r="O695" s="143"/>
      <c r="P695" s="143"/>
      <c r="Q695" s="143"/>
      <c r="R695" s="144" t="s">
        <v>110</v>
      </c>
      <c r="S695" s="143"/>
      <c r="U695" s="143"/>
      <c r="V695" s="143"/>
      <c r="W695" s="143"/>
      <c r="X695" s="143"/>
      <c r="Y695" s="143"/>
      <c r="Z695" s="143"/>
      <c r="AJ695" s="146"/>
    </row>
    <row r="696" ht="15.75" customHeight="1">
      <c r="M696" s="142"/>
      <c r="N696" s="143"/>
      <c r="O696" s="143"/>
      <c r="P696" s="143"/>
      <c r="Q696" s="143"/>
      <c r="R696" s="144" t="s">
        <v>110</v>
      </c>
      <c r="S696" s="143"/>
      <c r="U696" s="143"/>
      <c r="V696" s="143"/>
      <c r="W696" s="143"/>
      <c r="X696" s="143"/>
      <c r="Y696" s="143"/>
      <c r="Z696" s="143"/>
      <c r="AJ696" s="146"/>
    </row>
    <row r="697" ht="15.75" customHeight="1">
      <c r="M697" s="142"/>
      <c r="N697" s="143"/>
      <c r="O697" s="143"/>
      <c r="P697" s="143"/>
      <c r="Q697" s="143"/>
      <c r="R697" s="144" t="s">
        <v>110</v>
      </c>
      <c r="S697" s="143"/>
      <c r="U697" s="143"/>
      <c r="V697" s="143"/>
      <c r="W697" s="143"/>
      <c r="X697" s="143"/>
      <c r="Y697" s="143"/>
      <c r="Z697" s="143"/>
      <c r="AJ697" s="146"/>
    </row>
    <row r="698" ht="15.75" customHeight="1">
      <c r="M698" s="142"/>
      <c r="N698" s="143"/>
      <c r="O698" s="143"/>
      <c r="P698" s="143"/>
      <c r="Q698" s="143"/>
      <c r="R698" s="144" t="s">
        <v>110</v>
      </c>
      <c r="S698" s="143"/>
      <c r="U698" s="143"/>
      <c r="V698" s="143"/>
      <c r="W698" s="143"/>
      <c r="X698" s="143"/>
      <c r="Y698" s="143"/>
      <c r="Z698" s="143"/>
      <c r="AJ698" s="146"/>
    </row>
    <row r="699" ht="15.75" customHeight="1">
      <c r="M699" s="142"/>
      <c r="N699" s="143"/>
      <c r="O699" s="143"/>
      <c r="P699" s="143"/>
      <c r="Q699" s="143"/>
      <c r="R699" s="144" t="s">
        <v>110</v>
      </c>
      <c r="S699" s="143"/>
      <c r="U699" s="143"/>
      <c r="V699" s="143"/>
      <c r="W699" s="143"/>
      <c r="X699" s="143"/>
      <c r="Y699" s="143"/>
      <c r="Z699" s="143"/>
      <c r="AJ699" s="146"/>
    </row>
    <row r="700" ht="15.75" customHeight="1">
      <c r="M700" s="142"/>
      <c r="N700" s="143"/>
      <c r="O700" s="143"/>
      <c r="P700" s="143"/>
      <c r="Q700" s="143"/>
      <c r="R700" s="144" t="s">
        <v>110</v>
      </c>
      <c r="S700" s="143"/>
      <c r="U700" s="143"/>
      <c r="V700" s="143"/>
      <c r="W700" s="143"/>
      <c r="X700" s="143"/>
      <c r="Y700" s="143"/>
      <c r="Z700" s="143"/>
      <c r="AJ700" s="146"/>
    </row>
    <row r="701" ht="15.75" customHeight="1">
      <c r="M701" s="142"/>
      <c r="N701" s="143"/>
      <c r="O701" s="143"/>
      <c r="P701" s="143"/>
      <c r="Q701" s="143"/>
      <c r="R701" s="144" t="s">
        <v>110</v>
      </c>
      <c r="S701" s="143"/>
      <c r="U701" s="143"/>
      <c r="V701" s="143"/>
      <c r="W701" s="143"/>
      <c r="X701" s="143"/>
      <c r="Y701" s="143"/>
      <c r="Z701" s="143"/>
      <c r="AJ701" s="146"/>
    </row>
    <row r="702" ht="15.75" customHeight="1">
      <c r="M702" s="142"/>
      <c r="N702" s="143"/>
      <c r="O702" s="143"/>
      <c r="P702" s="143"/>
      <c r="Q702" s="143"/>
      <c r="R702" s="144" t="s">
        <v>110</v>
      </c>
      <c r="S702" s="143"/>
      <c r="U702" s="143"/>
      <c r="V702" s="143"/>
      <c r="W702" s="143"/>
      <c r="X702" s="143"/>
      <c r="Y702" s="143"/>
      <c r="Z702" s="143"/>
      <c r="AJ702" s="146"/>
    </row>
    <row r="703" ht="15.75" customHeight="1">
      <c r="M703" s="142"/>
      <c r="N703" s="143"/>
      <c r="O703" s="143"/>
      <c r="P703" s="143"/>
      <c r="Q703" s="143"/>
      <c r="R703" s="144" t="s">
        <v>110</v>
      </c>
      <c r="S703" s="143"/>
      <c r="U703" s="143"/>
      <c r="V703" s="143"/>
      <c r="W703" s="143"/>
      <c r="X703" s="143"/>
      <c r="Y703" s="143"/>
      <c r="Z703" s="143"/>
      <c r="AJ703" s="146"/>
    </row>
    <row r="704" ht="15.75" customHeight="1">
      <c r="M704" s="142"/>
      <c r="N704" s="143"/>
      <c r="O704" s="143"/>
      <c r="P704" s="143"/>
      <c r="Q704" s="143"/>
      <c r="R704" s="144" t="s">
        <v>110</v>
      </c>
      <c r="S704" s="143"/>
      <c r="U704" s="143"/>
      <c r="V704" s="143"/>
      <c r="W704" s="143"/>
      <c r="X704" s="143"/>
      <c r="Y704" s="143"/>
      <c r="Z704" s="143"/>
      <c r="AJ704" s="146"/>
    </row>
    <row r="705" ht="15.75" customHeight="1">
      <c r="M705" s="142"/>
      <c r="N705" s="143"/>
      <c r="O705" s="143"/>
      <c r="P705" s="143"/>
      <c r="Q705" s="143"/>
      <c r="R705" s="144" t="s">
        <v>110</v>
      </c>
      <c r="S705" s="143"/>
      <c r="U705" s="143"/>
      <c r="V705" s="143"/>
      <c r="W705" s="143"/>
      <c r="X705" s="143"/>
      <c r="Y705" s="143"/>
      <c r="Z705" s="143"/>
      <c r="AJ705" s="146"/>
    </row>
    <row r="706" ht="15.75" customHeight="1">
      <c r="M706" s="142"/>
      <c r="N706" s="143"/>
      <c r="O706" s="143"/>
      <c r="P706" s="143"/>
      <c r="Q706" s="143"/>
      <c r="R706" s="144" t="s">
        <v>110</v>
      </c>
      <c r="S706" s="143"/>
      <c r="U706" s="143"/>
      <c r="V706" s="143"/>
      <c r="W706" s="143"/>
      <c r="X706" s="143"/>
      <c r="Y706" s="143"/>
      <c r="Z706" s="143"/>
      <c r="AJ706" s="146"/>
    </row>
    <row r="707" ht="15.75" customHeight="1">
      <c r="M707" s="142"/>
      <c r="N707" s="143"/>
      <c r="O707" s="143"/>
      <c r="P707" s="143"/>
      <c r="Q707" s="143"/>
      <c r="R707" s="144" t="s">
        <v>110</v>
      </c>
      <c r="S707" s="143"/>
      <c r="U707" s="143"/>
      <c r="V707" s="143"/>
      <c r="W707" s="143"/>
      <c r="X707" s="143"/>
      <c r="Y707" s="143"/>
      <c r="Z707" s="143"/>
      <c r="AJ707" s="146"/>
    </row>
    <row r="708" ht="15.75" customHeight="1">
      <c r="M708" s="142"/>
      <c r="N708" s="143"/>
      <c r="O708" s="143"/>
      <c r="P708" s="143"/>
      <c r="Q708" s="143"/>
      <c r="R708" s="144" t="s">
        <v>110</v>
      </c>
      <c r="S708" s="143"/>
      <c r="U708" s="143"/>
      <c r="V708" s="143"/>
      <c r="W708" s="143"/>
      <c r="X708" s="143"/>
      <c r="Y708" s="143"/>
      <c r="Z708" s="143"/>
      <c r="AJ708" s="146"/>
    </row>
    <row r="709" ht="15.75" customHeight="1">
      <c r="M709" s="142"/>
      <c r="N709" s="143"/>
      <c r="O709" s="143"/>
      <c r="P709" s="143"/>
      <c r="Q709" s="143"/>
      <c r="R709" s="144" t="s">
        <v>110</v>
      </c>
      <c r="S709" s="143"/>
      <c r="U709" s="143"/>
      <c r="V709" s="143"/>
      <c r="W709" s="143"/>
      <c r="X709" s="143"/>
      <c r="Y709" s="143"/>
      <c r="Z709" s="143"/>
      <c r="AJ709" s="146"/>
    </row>
    <row r="710" ht="15.75" customHeight="1">
      <c r="M710" s="142"/>
      <c r="N710" s="143"/>
      <c r="O710" s="143"/>
      <c r="P710" s="143"/>
      <c r="Q710" s="143"/>
      <c r="R710" s="144" t="s">
        <v>110</v>
      </c>
      <c r="S710" s="143"/>
      <c r="U710" s="143"/>
      <c r="V710" s="143"/>
      <c r="W710" s="143"/>
      <c r="X710" s="143"/>
      <c r="Y710" s="143"/>
      <c r="Z710" s="143"/>
      <c r="AJ710" s="146"/>
    </row>
    <row r="711" ht="15.75" customHeight="1">
      <c r="M711" s="142"/>
      <c r="N711" s="143"/>
      <c r="O711" s="143"/>
      <c r="P711" s="143"/>
      <c r="Q711" s="143"/>
      <c r="R711" s="144" t="s">
        <v>110</v>
      </c>
      <c r="S711" s="143"/>
      <c r="U711" s="143"/>
      <c r="V711" s="143"/>
      <c r="W711" s="143"/>
      <c r="X711" s="143"/>
      <c r="Y711" s="143"/>
      <c r="Z711" s="143"/>
      <c r="AJ711" s="146"/>
    </row>
    <row r="712" ht="15.75" customHeight="1">
      <c r="M712" s="142"/>
      <c r="N712" s="143"/>
      <c r="O712" s="143"/>
      <c r="P712" s="143"/>
      <c r="Q712" s="143"/>
      <c r="R712" s="144" t="s">
        <v>110</v>
      </c>
      <c r="S712" s="143"/>
      <c r="U712" s="143"/>
      <c r="V712" s="143"/>
      <c r="W712" s="143"/>
      <c r="X712" s="143"/>
      <c r="Y712" s="143"/>
      <c r="Z712" s="143"/>
      <c r="AJ712" s="146"/>
    </row>
    <row r="713" ht="15.75" customHeight="1">
      <c r="M713" s="142"/>
      <c r="N713" s="143"/>
      <c r="O713" s="143"/>
      <c r="P713" s="143"/>
      <c r="Q713" s="143"/>
      <c r="R713" s="144" t="s">
        <v>110</v>
      </c>
      <c r="S713" s="143"/>
      <c r="U713" s="143"/>
      <c r="V713" s="143"/>
      <c r="W713" s="143"/>
      <c r="X713" s="143"/>
      <c r="Y713" s="143"/>
      <c r="Z713" s="143"/>
      <c r="AJ713" s="146"/>
    </row>
    <row r="714" ht="15.75" customHeight="1">
      <c r="M714" s="142"/>
      <c r="N714" s="143"/>
      <c r="O714" s="143"/>
      <c r="P714" s="143"/>
      <c r="Q714" s="143"/>
      <c r="R714" s="144" t="s">
        <v>110</v>
      </c>
      <c r="S714" s="143"/>
      <c r="U714" s="143"/>
      <c r="V714" s="143"/>
      <c r="W714" s="143"/>
      <c r="X714" s="143"/>
      <c r="Y714" s="143"/>
      <c r="Z714" s="143"/>
      <c r="AJ714" s="146"/>
    </row>
    <row r="715" ht="15.75" customHeight="1">
      <c r="M715" s="142"/>
      <c r="N715" s="143"/>
      <c r="O715" s="143"/>
      <c r="P715" s="143"/>
      <c r="Q715" s="143"/>
      <c r="R715" s="144" t="s">
        <v>110</v>
      </c>
      <c r="S715" s="143"/>
      <c r="U715" s="143"/>
      <c r="V715" s="143"/>
      <c r="W715" s="143"/>
      <c r="X715" s="143"/>
      <c r="Y715" s="143"/>
      <c r="Z715" s="143"/>
      <c r="AJ715" s="146"/>
    </row>
    <row r="716" ht="15.75" customHeight="1">
      <c r="M716" s="142"/>
      <c r="N716" s="143"/>
      <c r="O716" s="143"/>
      <c r="P716" s="143"/>
      <c r="Q716" s="143"/>
      <c r="R716" s="144" t="s">
        <v>110</v>
      </c>
      <c r="S716" s="143"/>
      <c r="U716" s="143"/>
      <c r="V716" s="143"/>
      <c r="W716" s="143"/>
      <c r="X716" s="143"/>
      <c r="Y716" s="143"/>
      <c r="Z716" s="143"/>
      <c r="AJ716" s="146"/>
    </row>
    <row r="717" ht="15.75" customHeight="1">
      <c r="M717" s="142"/>
      <c r="N717" s="143"/>
      <c r="O717" s="143"/>
      <c r="P717" s="143"/>
      <c r="Q717" s="143"/>
      <c r="R717" s="144" t="s">
        <v>110</v>
      </c>
      <c r="S717" s="143"/>
      <c r="U717" s="143"/>
      <c r="V717" s="143"/>
      <c r="W717" s="143"/>
      <c r="X717" s="143"/>
      <c r="Y717" s="143"/>
      <c r="Z717" s="143"/>
      <c r="AJ717" s="146"/>
    </row>
    <row r="718" ht="15.75" customHeight="1">
      <c r="M718" s="142"/>
      <c r="N718" s="143"/>
      <c r="O718" s="143"/>
      <c r="P718" s="143"/>
      <c r="Q718" s="143"/>
      <c r="R718" s="144" t="s">
        <v>110</v>
      </c>
      <c r="S718" s="143"/>
      <c r="U718" s="143"/>
      <c r="V718" s="143"/>
      <c r="W718" s="143"/>
      <c r="X718" s="143"/>
      <c r="Y718" s="143"/>
      <c r="Z718" s="143"/>
      <c r="AJ718" s="146"/>
    </row>
    <row r="719" ht="15.75" customHeight="1">
      <c r="M719" s="142"/>
      <c r="N719" s="143"/>
      <c r="O719" s="143"/>
      <c r="P719" s="143"/>
      <c r="Q719" s="143"/>
      <c r="R719" s="144" t="s">
        <v>110</v>
      </c>
      <c r="S719" s="143"/>
      <c r="U719" s="143"/>
      <c r="V719" s="143"/>
      <c r="W719" s="143"/>
      <c r="X719" s="143"/>
      <c r="Y719" s="143"/>
      <c r="Z719" s="143"/>
      <c r="AJ719" s="146"/>
    </row>
    <row r="720" ht="15.75" customHeight="1">
      <c r="M720" s="142"/>
      <c r="N720" s="143"/>
      <c r="O720" s="143"/>
      <c r="P720" s="143"/>
      <c r="Q720" s="143"/>
      <c r="R720" s="144" t="s">
        <v>110</v>
      </c>
      <c r="S720" s="143"/>
      <c r="U720" s="143"/>
      <c r="V720" s="143"/>
      <c r="W720" s="143"/>
      <c r="X720" s="143"/>
      <c r="Y720" s="143"/>
      <c r="Z720" s="143"/>
      <c r="AJ720" s="146"/>
    </row>
    <row r="721" ht="15.75" customHeight="1">
      <c r="M721" s="142"/>
      <c r="N721" s="143"/>
      <c r="O721" s="143"/>
      <c r="P721" s="143"/>
      <c r="Q721" s="143"/>
      <c r="R721" s="144" t="s">
        <v>110</v>
      </c>
      <c r="S721" s="143"/>
      <c r="U721" s="143"/>
      <c r="V721" s="143"/>
      <c r="W721" s="143"/>
      <c r="X721" s="143"/>
      <c r="Y721" s="143"/>
      <c r="Z721" s="143"/>
      <c r="AJ721" s="146"/>
    </row>
    <row r="722" ht="15.75" customHeight="1">
      <c r="M722" s="142"/>
      <c r="N722" s="143"/>
      <c r="O722" s="143"/>
      <c r="P722" s="143"/>
      <c r="Q722" s="143"/>
      <c r="R722" s="144" t="s">
        <v>110</v>
      </c>
      <c r="S722" s="143"/>
      <c r="U722" s="143"/>
      <c r="V722" s="143"/>
      <c r="W722" s="143"/>
      <c r="X722" s="143"/>
      <c r="Y722" s="143"/>
      <c r="Z722" s="143"/>
      <c r="AJ722" s="146"/>
    </row>
    <row r="723" ht="15.75" customHeight="1">
      <c r="M723" s="142"/>
      <c r="N723" s="143"/>
      <c r="O723" s="143"/>
      <c r="P723" s="143"/>
      <c r="Q723" s="143"/>
      <c r="R723" s="144" t="s">
        <v>110</v>
      </c>
      <c r="S723" s="143"/>
      <c r="U723" s="143"/>
      <c r="V723" s="143"/>
      <c r="W723" s="143"/>
      <c r="X723" s="143"/>
      <c r="Y723" s="143"/>
      <c r="Z723" s="143"/>
      <c r="AJ723" s="146"/>
    </row>
    <row r="724" ht="15.75" customHeight="1">
      <c r="M724" s="142"/>
      <c r="N724" s="143"/>
      <c r="O724" s="143"/>
      <c r="P724" s="143"/>
      <c r="Q724" s="143"/>
      <c r="R724" s="144" t="s">
        <v>110</v>
      </c>
      <c r="S724" s="143"/>
      <c r="U724" s="143"/>
      <c r="V724" s="143"/>
      <c r="W724" s="143"/>
      <c r="X724" s="143"/>
      <c r="Y724" s="143"/>
      <c r="Z724" s="143"/>
      <c r="AJ724" s="146"/>
    </row>
    <row r="725" ht="15.75" customHeight="1">
      <c r="M725" s="142"/>
      <c r="N725" s="143"/>
      <c r="O725" s="143"/>
      <c r="P725" s="143"/>
      <c r="Q725" s="143"/>
      <c r="R725" s="144" t="s">
        <v>110</v>
      </c>
      <c r="S725" s="143"/>
      <c r="U725" s="143"/>
      <c r="V725" s="143"/>
      <c r="W725" s="143"/>
      <c r="X725" s="143"/>
      <c r="Y725" s="143"/>
      <c r="Z725" s="143"/>
      <c r="AJ725" s="146"/>
    </row>
    <row r="726" ht="15.75" customHeight="1">
      <c r="M726" s="142"/>
      <c r="N726" s="143"/>
      <c r="O726" s="143"/>
      <c r="P726" s="143"/>
      <c r="Q726" s="143"/>
      <c r="R726" s="144" t="s">
        <v>110</v>
      </c>
      <c r="S726" s="143"/>
      <c r="U726" s="143"/>
      <c r="V726" s="143"/>
      <c r="W726" s="143"/>
      <c r="X726" s="143"/>
      <c r="Y726" s="143"/>
      <c r="Z726" s="143"/>
      <c r="AJ726" s="146"/>
    </row>
    <row r="727" ht="15.75" customHeight="1">
      <c r="M727" s="142"/>
      <c r="N727" s="143"/>
      <c r="O727" s="143"/>
      <c r="P727" s="143"/>
      <c r="Q727" s="143"/>
      <c r="R727" s="144" t="s">
        <v>110</v>
      </c>
      <c r="S727" s="143"/>
      <c r="U727" s="143"/>
      <c r="V727" s="143"/>
      <c r="W727" s="143"/>
      <c r="X727" s="143"/>
      <c r="Y727" s="143"/>
      <c r="Z727" s="143"/>
      <c r="AJ727" s="146"/>
    </row>
    <row r="728" ht="15.75" customHeight="1">
      <c r="M728" s="142"/>
      <c r="N728" s="143"/>
      <c r="O728" s="143"/>
      <c r="P728" s="143"/>
      <c r="Q728" s="143"/>
      <c r="R728" s="144" t="s">
        <v>110</v>
      </c>
      <c r="S728" s="143"/>
      <c r="U728" s="143"/>
      <c r="V728" s="143"/>
      <c r="W728" s="143"/>
      <c r="X728" s="143"/>
      <c r="Y728" s="143"/>
      <c r="Z728" s="143"/>
      <c r="AJ728" s="146"/>
    </row>
    <row r="729" ht="15.75" customHeight="1">
      <c r="M729" s="142"/>
      <c r="N729" s="143"/>
      <c r="O729" s="143"/>
      <c r="P729" s="143"/>
      <c r="Q729" s="143"/>
      <c r="R729" s="144" t="s">
        <v>110</v>
      </c>
      <c r="S729" s="143"/>
      <c r="U729" s="143"/>
      <c r="V729" s="143"/>
      <c r="W729" s="143"/>
      <c r="X729" s="143"/>
      <c r="Y729" s="143"/>
      <c r="Z729" s="143"/>
      <c r="AJ729" s="146"/>
    </row>
    <row r="730" ht="15.75" customHeight="1">
      <c r="M730" s="142"/>
      <c r="N730" s="143"/>
      <c r="O730" s="143"/>
      <c r="P730" s="143"/>
      <c r="Q730" s="143"/>
      <c r="R730" s="144" t="s">
        <v>110</v>
      </c>
      <c r="S730" s="143"/>
      <c r="U730" s="143"/>
      <c r="V730" s="143"/>
      <c r="W730" s="143"/>
      <c r="X730" s="143"/>
      <c r="Y730" s="143"/>
      <c r="Z730" s="143"/>
      <c r="AJ730" s="146"/>
    </row>
    <row r="731" ht="15.75" customHeight="1">
      <c r="M731" s="142"/>
      <c r="N731" s="143"/>
      <c r="O731" s="143"/>
      <c r="P731" s="143"/>
      <c r="Q731" s="143"/>
      <c r="R731" s="144" t="s">
        <v>110</v>
      </c>
      <c r="S731" s="143"/>
      <c r="U731" s="143"/>
      <c r="V731" s="143"/>
      <c r="W731" s="143"/>
      <c r="X731" s="143"/>
      <c r="Y731" s="143"/>
      <c r="Z731" s="143"/>
      <c r="AJ731" s="146"/>
    </row>
    <row r="732" ht="15.75" customHeight="1">
      <c r="M732" s="142"/>
      <c r="N732" s="143"/>
      <c r="O732" s="143"/>
      <c r="P732" s="143"/>
      <c r="Q732" s="143"/>
      <c r="R732" s="144" t="s">
        <v>110</v>
      </c>
      <c r="S732" s="143"/>
      <c r="U732" s="143"/>
      <c r="V732" s="143"/>
      <c r="W732" s="143"/>
      <c r="X732" s="143"/>
      <c r="Y732" s="143"/>
      <c r="Z732" s="143"/>
      <c r="AJ732" s="146"/>
    </row>
    <row r="733" ht="15.75" customHeight="1">
      <c r="M733" s="142"/>
      <c r="N733" s="143"/>
      <c r="O733" s="143"/>
      <c r="P733" s="143"/>
      <c r="Q733" s="143"/>
      <c r="R733" s="144" t="s">
        <v>110</v>
      </c>
      <c r="S733" s="143"/>
      <c r="U733" s="143"/>
      <c r="V733" s="143"/>
      <c r="W733" s="143"/>
      <c r="X733" s="143"/>
      <c r="Y733" s="143"/>
      <c r="Z733" s="143"/>
      <c r="AJ733" s="146"/>
    </row>
    <row r="734" ht="15.75" customHeight="1">
      <c r="M734" s="142"/>
      <c r="N734" s="143"/>
      <c r="O734" s="143"/>
      <c r="P734" s="143"/>
      <c r="Q734" s="143"/>
      <c r="R734" s="144" t="s">
        <v>110</v>
      </c>
      <c r="S734" s="143"/>
      <c r="U734" s="143"/>
      <c r="V734" s="143"/>
      <c r="W734" s="143"/>
      <c r="X734" s="143"/>
      <c r="Y734" s="143"/>
      <c r="Z734" s="143"/>
      <c r="AJ734" s="146"/>
    </row>
    <row r="735" ht="15.75" customHeight="1">
      <c r="M735" s="142"/>
      <c r="N735" s="143"/>
      <c r="O735" s="143"/>
      <c r="P735" s="143"/>
      <c r="Q735" s="143"/>
      <c r="R735" s="144" t="s">
        <v>110</v>
      </c>
      <c r="S735" s="143"/>
      <c r="U735" s="143"/>
      <c r="V735" s="143"/>
      <c r="W735" s="143"/>
      <c r="X735" s="143"/>
      <c r="Y735" s="143"/>
      <c r="Z735" s="143"/>
      <c r="AJ735" s="146"/>
    </row>
    <row r="736" ht="15.75" customHeight="1">
      <c r="M736" s="142"/>
      <c r="N736" s="143"/>
      <c r="O736" s="143"/>
      <c r="P736" s="143"/>
      <c r="Q736" s="143"/>
      <c r="R736" s="144" t="s">
        <v>110</v>
      </c>
      <c r="S736" s="143"/>
      <c r="U736" s="143"/>
      <c r="V736" s="143"/>
      <c r="W736" s="143"/>
      <c r="X736" s="143"/>
      <c r="Y736" s="143"/>
      <c r="Z736" s="143"/>
      <c r="AJ736" s="146"/>
    </row>
    <row r="737" ht="15.75" customHeight="1">
      <c r="M737" s="142"/>
      <c r="N737" s="143"/>
      <c r="O737" s="143"/>
      <c r="P737" s="143"/>
      <c r="Q737" s="143"/>
      <c r="R737" s="144" t="s">
        <v>110</v>
      </c>
      <c r="S737" s="143"/>
      <c r="U737" s="143"/>
      <c r="V737" s="143"/>
      <c r="W737" s="143"/>
      <c r="X737" s="143"/>
      <c r="Y737" s="143"/>
      <c r="Z737" s="143"/>
      <c r="AJ737" s="146"/>
    </row>
    <row r="738" ht="15.75" customHeight="1">
      <c r="M738" s="142"/>
      <c r="N738" s="143"/>
      <c r="O738" s="143"/>
      <c r="P738" s="143"/>
      <c r="Q738" s="143"/>
      <c r="R738" s="144" t="s">
        <v>110</v>
      </c>
      <c r="S738" s="143"/>
      <c r="U738" s="143"/>
      <c r="V738" s="143"/>
      <c r="W738" s="143"/>
      <c r="X738" s="143"/>
      <c r="Y738" s="143"/>
      <c r="Z738" s="143"/>
      <c r="AJ738" s="146"/>
    </row>
    <row r="739" ht="15.75" customHeight="1">
      <c r="M739" s="142"/>
      <c r="N739" s="143"/>
      <c r="O739" s="143"/>
      <c r="P739" s="143"/>
      <c r="Q739" s="143"/>
      <c r="R739" s="144" t="s">
        <v>110</v>
      </c>
      <c r="S739" s="143"/>
      <c r="U739" s="143"/>
      <c r="V739" s="143"/>
      <c r="W739" s="143"/>
      <c r="X739" s="143"/>
      <c r="Y739" s="143"/>
      <c r="Z739" s="143"/>
      <c r="AJ739" s="146"/>
    </row>
    <row r="740" ht="15.75" customHeight="1">
      <c r="M740" s="142"/>
      <c r="N740" s="143"/>
      <c r="O740" s="143"/>
      <c r="P740" s="143"/>
      <c r="Q740" s="143"/>
      <c r="R740" s="144" t="s">
        <v>110</v>
      </c>
      <c r="S740" s="143"/>
      <c r="U740" s="143"/>
      <c r="V740" s="143"/>
      <c r="W740" s="143"/>
      <c r="X740" s="143"/>
      <c r="Y740" s="143"/>
      <c r="Z740" s="143"/>
      <c r="AJ740" s="146"/>
    </row>
    <row r="741" ht="15.75" customHeight="1">
      <c r="M741" s="142"/>
      <c r="N741" s="143"/>
      <c r="O741" s="143"/>
      <c r="P741" s="143"/>
      <c r="Q741" s="143"/>
      <c r="R741" s="144" t="s">
        <v>110</v>
      </c>
      <c r="S741" s="143"/>
      <c r="U741" s="143"/>
      <c r="V741" s="143"/>
      <c r="W741" s="143"/>
      <c r="X741" s="143"/>
      <c r="Y741" s="143"/>
      <c r="Z741" s="143"/>
      <c r="AJ741" s="146"/>
    </row>
    <row r="742" ht="15.75" customHeight="1">
      <c r="M742" s="142"/>
      <c r="N742" s="143"/>
      <c r="O742" s="143"/>
      <c r="P742" s="143"/>
      <c r="Q742" s="143"/>
      <c r="R742" s="144" t="s">
        <v>110</v>
      </c>
      <c r="S742" s="143"/>
      <c r="U742" s="143"/>
      <c r="V742" s="143"/>
      <c r="W742" s="143"/>
      <c r="X742" s="143"/>
      <c r="Y742" s="143"/>
      <c r="Z742" s="143"/>
      <c r="AJ742" s="146"/>
    </row>
    <row r="743" ht="15.75" customHeight="1">
      <c r="M743" s="142"/>
      <c r="N743" s="143"/>
      <c r="O743" s="143"/>
      <c r="P743" s="143"/>
      <c r="Q743" s="143"/>
      <c r="R743" s="144" t="s">
        <v>110</v>
      </c>
      <c r="S743" s="143"/>
      <c r="U743" s="143"/>
      <c r="V743" s="143"/>
      <c r="W743" s="143"/>
      <c r="X743" s="143"/>
      <c r="Y743" s="143"/>
      <c r="Z743" s="143"/>
      <c r="AJ743" s="146"/>
    </row>
    <row r="744" ht="15.75" customHeight="1">
      <c r="M744" s="142"/>
      <c r="N744" s="143"/>
      <c r="O744" s="143"/>
      <c r="P744" s="143"/>
      <c r="Q744" s="143"/>
      <c r="R744" s="144" t="s">
        <v>110</v>
      </c>
      <c r="S744" s="143"/>
      <c r="U744" s="143"/>
      <c r="V744" s="143"/>
      <c r="W744" s="143"/>
      <c r="X744" s="143"/>
      <c r="Y744" s="143"/>
      <c r="Z744" s="143"/>
      <c r="AJ744" s="146"/>
    </row>
    <row r="745" ht="15.75" customHeight="1">
      <c r="M745" s="142"/>
      <c r="N745" s="143"/>
      <c r="O745" s="143"/>
      <c r="P745" s="143"/>
      <c r="Q745" s="143"/>
      <c r="R745" s="144" t="s">
        <v>110</v>
      </c>
      <c r="S745" s="143"/>
      <c r="U745" s="143"/>
      <c r="V745" s="143"/>
      <c r="W745" s="143"/>
      <c r="X745" s="143"/>
      <c r="Y745" s="143"/>
      <c r="Z745" s="143"/>
      <c r="AJ745" s="146"/>
    </row>
    <row r="746" ht="15.75" customHeight="1">
      <c r="M746" s="142"/>
      <c r="N746" s="143"/>
      <c r="O746" s="143"/>
      <c r="P746" s="143"/>
      <c r="Q746" s="143"/>
      <c r="R746" s="144" t="s">
        <v>110</v>
      </c>
      <c r="S746" s="143"/>
      <c r="U746" s="143"/>
      <c r="V746" s="143"/>
      <c r="W746" s="143"/>
      <c r="X746" s="143"/>
      <c r="Y746" s="143"/>
      <c r="Z746" s="143"/>
      <c r="AJ746" s="146"/>
    </row>
    <row r="747" ht="15.75" customHeight="1">
      <c r="M747" s="142"/>
      <c r="N747" s="143"/>
      <c r="O747" s="143"/>
      <c r="P747" s="143"/>
      <c r="Q747" s="143"/>
      <c r="R747" s="144" t="s">
        <v>110</v>
      </c>
      <c r="S747" s="143"/>
      <c r="U747" s="143"/>
      <c r="V747" s="143"/>
      <c r="W747" s="143"/>
      <c r="X747" s="143"/>
      <c r="Y747" s="143"/>
      <c r="Z747" s="143"/>
      <c r="AJ747" s="146"/>
    </row>
    <row r="748" ht="15.75" customHeight="1">
      <c r="M748" s="142"/>
      <c r="N748" s="143"/>
      <c r="O748" s="143"/>
      <c r="P748" s="143"/>
      <c r="Q748" s="143"/>
      <c r="R748" s="144" t="s">
        <v>110</v>
      </c>
      <c r="S748" s="143"/>
      <c r="U748" s="143"/>
      <c r="V748" s="143"/>
      <c r="W748" s="143"/>
      <c r="X748" s="143"/>
      <c r="Y748" s="143"/>
      <c r="Z748" s="143"/>
      <c r="AJ748" s="146"/>
    </row>
    <row r="749" ht="15.75" customHeight="1">
      <c r="M749" s="142"/>
      <c r="N749" s="143"/>
      <c r="O749" s="143"/>
      <c r="P749" s="143"/>
      <c r="Q749" s="143"/>
      <c r="R749" s="144" t="s">
        <v>110</v>
      </c>
      <c r="S749" s="143"/>
      <c r="U749" s="143"/>
      <c r="V749" s="143"/>
      <c r="W749" s="143"/>
      <c r="X749" s="143"/>
      <c r="Y749" s="143"/>
      <c r="Z749" s="143"/>
      <c r="AJ749" s="146"/>
    </row>
    <row r="750" ht="15.75" customHeight="1">
      <c r="M750" s="142"/>
      <c r="N750" s="143"/>
      <c r="O750" s="143"/>
      <c r="P750" s="143"/>
      <c r="Q750" s="143"/>
      <c r="R750" s="144" t="s">
        <v>110</v>
      </c>
      <c r="S750" s="143"/>
      <c r="U750" s="143"/>
      <c r="V750" s="143"/>
      <c r="W750" s="143"/>
      <c r="X750" s="143"/>
      <c r="Y750" s="143"/>
      <c r="Z750" s="143"/>
      <c r="AJ750" s="146"/>
    </row>
    <row r="751" ht="15.75" customHeight="1">
      <c r="M751" s="142"/>
      <c r="N751" s="143"/>
      <c r="O751" s="143"/>
      <c r="P751" s="143"/>
      <c r="Q751" s="143"/>
      <c r="R751" s="144" t="s">
        <v>110</v>
      </c>
      <c r="S751" s="143"/>
      <c r="U751" s="143"/>
      <c r="V751" s="143"/>
      <c r="W751" s="143"/>
      <c r="X751" s="143"/>
      <c r="Y751" s="143"/>
      <c r="Z751" s="143"/>
      <c r="AJ751" s="146"/>
    </row>
    <row r="752" ht="15.75" customHeight="1">
      <c r="M752" s="142"/>
      <c r="N752" s="143"/>
      <c r="O752" s="143"/>
      <c r="P752" s="143"/>
      <c r="Q752" s="143"/>
      <c r="R752" s="144" t="s">
        <v>110</v>
      </c>
      <c r="S752" s="143"/>
      <c r="U752" s="143"/>
      <c r="V752" s="143"/>
      <c r="W752" s="143"/>
      <c r="X752" s="143"/>
      <c r="Y752" s="143"/>
      <c r="Z752" s="143"/>
      <c r="AJ752" s="146"/>
    </row>
    <row r="753" ht="15.75" customHeight="1">
      <c r="M753" s="142"/>
      <c r="N753" s="143"/>
      <c r="O753" s="143"/>
      <c r="P753" s="143"/>
      <c r="Q753" s="143"/>
      <c r="R753" s="144" t="s">
        <v>110</v>
      </c>
      <c r="S753" s="143"/>
      <c r="U753" s="143"/>
      <c r="V753" s="143"/>
      <c r="W753" s="143"/>
      <c r="X753" s="143"/>
      <c r="Y753" s="143"/>
      <c r="Z753" s="143"/>
      <c r="AJ753" s="146"/>
    </row>
    <row r="754" ht="15.75" customHeight="1">
      <c r="M754" s="142"/>
      <c r="N754" s="143"/>
      <c r="O754" s="143"/>
      <c r="P754" s="143"/>
      <c r="Q754" s="143"/>
      <c r="R754" s="144" t="s">
        <v>110</v>
      </c>
      <c r="S754" s="143"/>
      <c r="U754" s="143"/>
      <c r="V754" s="143"/>
      <c r="W754" s="143"/>
      <c r="X754" s="143"/>
      <c r="Y754" s="143"/>
      <c r="Z754" s="143"/>
      <c r="AJ754" s="146"/>
    </row>
    <row r="755" ht="15.75" customHeight="1">
      <c r="M755" s="142"/>
      <c r="N755" s="143"/>
      <c r="O755" s="143"/>
      <c r="P755" s="143"/>
      <c r="Q755" s="143"/>
      <c r="R755" s="144" t="s">
        <v>110</v>
      </c>
      <c r="S755" s="143"/>
      <c r="U755" s="143"/>
      <c r="V755" s="143"/>
      <c r="W755" s="143"/>
      <c r="X755" s="143"/>
      <c r="Y755" s="143"/>
      <c r="Z755" s="143"/>
      <c r="AJ755" s="146"/>
    </row>
    <row r="756" ht="15.75" customHeight="1">
      <c r="M756" s="142"/>
      <c r="N756" s="143"/>
      <c r="O756" s="143"/>
      <c r="P756" s="143"/>
      <c r="Q756" s="143"/>
      <c r="R756" s="144" t="s">
        <v>110</v>
      </c>
      <c r="S756" s="143"/>
      <c r="U756" s="143"/>
      <c r="V756" s="143"/>
      <c r="W756" s="143"/>
      <c r="X756" s="143"/>
      <c r="Y756" s="143"/>
      <c r="Z756" s="143"/>
      <c r="AJ756" s="146"/>
    </row>
    <row r="757" ht="15.75" customHeight="1">
      <c r="M757" s="142"/>
      <c r="N757" s="143"/>
      <c r="O757" s="143"/>
      <c r="P757" s="143"/>
      <c r="Q757" s="143"/>
      <c r="R757" s="144" t="s">
        <v>110</v>
      </c>
      <c r="S757" s="143"/>
      <c r="U757" s="143"/>
      <c r="V757" s="143"/>
      <c r="W757" s="143"/>
      <c r="X757" s="143"/>
      <c r="Y757" s="143"/>
      <c r="Z757" s="143"/>
      <c r="AJ757" s="146"/>
    </row>
    <row r="758" ht="15.75" customHeight="1">
      <c r="M758" s="142"/>
      <c r="N758" s="143"/>
      <c r="O758" s="143"/>
      <c r="P758" s="143"/>
      <c r="Q758" s="143"/>
      <c r="R758" s="144" t="s">
        <v>110</v>
      </c>
      <c r="S758" s="143"/>
      <c r="U758" s="143"/>
      <c r="V758" s="143"/>
      <c r="W758" s="143"/>
      <c r="X758" s="143"/>
      <c r="Y758" s="143"/>
      <c r="Z758" s="143"/>
      <c r="AJ758" s="146"/>
    </row>
    <row r="759" ht="15.75" customHeight="1">
      <c r="M759" s="142"/>
      <c r="N759" s="143"/>
      <c r="O759" s="143"/>
      <c r="P759" s="143"/>
      <c r="Q759" s="143"/>
      <c r="R759" s="144" t="s">
        <v>110</v>
      </c>
      <c r="S759" s="143"/>
      <c r="U759" s="143"/>
      <c r="V759" s="143"/>
      <c r="W759" s="143"/>
      <c r="X759" s="143"/>
      <c r="Y759" s="143"/>
      <c r="Z759" s="143"/>
      <c r="AJ759" s="146"/>
    </row>
    <row r="760" ht="15.75" customHeight="1">
      <c r="M760" s="142"/>
      <c r="N760" s="143"/>
      <c r="O760" s="143"/>
      <c r="P760" s="143"/>
      <c r="Q760" s="143"/>
      <c r="R760" s="144" t="s">
        <v>110</v>
      </c>
      <c r="S760" s="143"/>
      <c r="U760" s="143"/>
      <c r="V760" s="143"/>
      <c r="W760" s="143"/>
      <c r="X760" s="143"/>
      <c r="Y760" s="143"/>
      <c r="Z760" s="143"/>
      <c r="AJ760" s="146"/>
    </row>
    <row r="761" ht="15.75" customHeight="1">
      <c r="M761" s="142"/>
      <c r="N761" s="143"/>
      <c r="O761" s="143"/>
      <c r="P761" s="143"/>
      <c r="Q761" s="143"/>
      <c r="R761" s="144" t="s">
        <v>110</v>
      </c>
      <c r="S761" s="143"/>
      <c r="U761" s="143"/>
      <c r="V761" s="143"/>
      <c r="W761" s="143"/>
      <c r="X761" s="143"/>
      <c r="Y761" s="143"/>
      <c r="Z761" s="143"/>
      <c r="AJ761" s="146"/>
    </row>
    <row r="762" ht="15.75" customHeight="1">
      <c r="M762" s="142"/>
      <c r="N762" s="143"/>
      <c r="O762" s="143"/>
      <c r="P762" s="143"/>
      <c r="Q762" s="143"/>
      <c r="R762" s="144" t="s">
        <v>110</v>
      </c>
      <c r="S762" s="143"/>
      <c r="U762" s="143"/>
      <c r="V762" s="143"/>
      <c r="W762" s="143"/>
      <c r="X762" s="143"/>
      <c r="Y762" s="143"/>
      <c r="Z762" s="143"/>
      <c r="AJ762" s="146"/>
    </row>
    <row r="763" ht="15.75" customHeight="1">
      <c r="M763" s="142"/>
      <c r="N763" s="143"/>
      <c r="O763" s="143"/>
      <c r="P763" s="143"/>
      <c r="Q763" s="143"/>
      <c r="R763" s="144" t="s">
        <v>110</v>
      </c>
      <c r="S763" s="143"/>
      <c r="U763" s="143"/>
      <c r="V763" s="143"/>
      <c r="W763" s="143"/>
      <c r="X763" s="143"/>
      <c r="Y763" s="143"/>
      <c r="Z763" s="143"/>
      <c r="AJ763" s="146"/>
    </row>
    <row r="764" ht="15.75" customHeight="1">
      <c r="M764" s="142"/>
      <c r="N764" s="143"/>
      <c r="O764" s="143"/>
      <c r="P764" s="143"/>
      <c r="Q764" s="143"/>
      <c r="R764" s="144" t="s">
        <v>110</v>
      </c>
      <c r="S764" s="143"/>
      <c r="U764" s="143"/>
      <c r="V764" s="143"/>
      <c r="W764" s="143"/>
      <c r="X764" s="143"/>
      <c r="Y764" s="143"/>
      <c r="Z764" s="143"/>
      <c r="AJ764" s="146"/>
    </row>
    <row r="765" ht="15.75" customHeight="1">
      <c r="M765" s="142"/>
      <c r="N765" s="143"/>
      <c r="O765" s="143"/>
      <c r="P765" s="143"/>
      <c r="Q765" s="143"/>
      <c r="R765" s="144" t="s">
        <v>110</v>
      </c>
      <c r="S765" s="143"/>
      <c r="U765" s="143"/>
      <c r="V765" s="143"/>
      <c r="W765" s="143"/>
      <c r="X765" s="143"/>
      <c r="Y765" s="143"/>
      <c r="Z765" s="143"/>
      <c r="AJ765" s="146"/>
    </row>
    <row r="766" ht="15.75" customHeight="1">
      <c r="M766" s="142"/>
      <c r="N766" s="143"/>
      <c r="O766" s="143"/>
      <c r="P766" s="143"/>
      <c r="Q766" s="143"/>
      <c r="R766" s="144" t="s">
        <v>110</v>
      </c>
      <c r="S766" s="143"/>
      <c r="U766" s="143"/>
      <c r="V766" s="143"/>
      <c r="W766" s="143"/>
      <c r="X766" s="143"/>
      <c r="Y766" s="143"/>
      <c r="Z766" s="143"/>
      <c r="AJ766" s="146"/>
    </row>
    <row r="767" ht="15.75" customHeight="1">
      <c r="M767" s="142"/>
      <c r="N767" s="143"/>
      <c r="O767" s="143"/>
      <c r="P767" s="143"/>
      <c r="Q767" s="143"/>
      <c r="R767" s="144" t="s">
        <v>110</v>
      </c>
      <c r="S767" s="143"/>
      <c r="U767" s="143"/>
      <c r="V767" s="143"/>
      <c r="W767" s="143"/>
      <c r="X767" s="143"/>
      <c r="Y767" s="143"/>
      <c r="Z767" s="143"/>
      <c r="AJ767" s="146"/>
    </row>
    <row r="768" ht="15.75" customHeight="1">
      <c r="M768" s="142"/>
      <c r="N768" s="143"/>
      <c r="O768" s="143"/>
      <c r="P768" s="143"/>
      <c r="Q768" s="143"/>
      <c r="R768" s="144" t="s">
        <v>110</v>
      </c>
      <c r="S768" s="143"/>
      <c r="U768" s="143"/>
      <c r="V768" s="143"/>
      <c r="W768" s="143"/>
      <c r="X768" s="143"/>
      <c r="Y768" s="143"/>
      <c r="Z768" s="143"/>
      <c r="AJ768" s="146"/>
    </row>
    <row r="769" ht="15.75" customHeight="1">
      <c r="M769" s="142"/>
      <c r="N769" s="143"/>
      <c r="O769" s="143"/>
      <c r="P769" s="143"/>
      <c r="Q769" s="143"/>
      <c r="R769" s="144" t="s">
        <v>110</v>
      </c>
      <c r="S769" s="143"/>
      <c r="U769" s="143"/>
      <c r="V769" s="143"/>
      <c r="W769" s="143"/>
      <c r="X769" s="143"/>
      <c r="Y769" s="143"/>
      <c r="Z769" s="143"/>
      <c r="AJ769" s="146"/>
    </row>
    <row r="770" ht="15.75" customHeight="1">
      <c r="M770" s="142"/>
      <c r="N770" s="143"/>
      <c r="O770" s="143"/>
      <c r="P770" s="143"/>
      <c r="Q770" s="143"/>
      <c r="R770" s="144" t="s">
        <v>110</v>
      </c>
      <c r="S770" s="143"/>
      <c r="U770" s="143"/>
      <c r="V770" s="143"/>
      <c r="W770" s="143"/>
      <c r="X770" s="143"/>
      <c r="Y770" s="143"/>
      <c r="Z770" s="143"/>
      <c r="AJ770" s="146"/>
    </row>
    <row r="771" ht="15.75" customHeight="1">
      <c r="M771" s="142"/>
      <c r="N771" s="143"/>
      <c r="O771" s="143"/>
      <c r="P771" s="143"/>
      <c r="Q771" s="143"/>
      <c r="R771" s="144" t="s">
        <v>110</v>
      </c>
      <c r="S771" s="143"/>
      <c r="U771" s="143"/>
      <c r="V771" s="143"/>
      <c r="W771" s="143"/>
      <c r="X771" s="143"/>
      <c r="Y771" s="143"/>
      <c r="Z771" s="143"/>
      <c r="AJ771" s="146"/>
    </row>
    <row r="772" ht="15.75" customHeight="1">
      <c r="M772" s="142"/>
      <c r="N772" s="143"/>
      <c r="O772" s="143"/>
      <c r="P772" s="143"/>
      <c r="Q772" s="143"/>
      <c r="R772" s="144" t="s">
        <v>110</v>
      </c>
      <c r="S772" s="143"/>
      <c r="U772" s="143"/>
      <c r="V772" s="143"/>
      <c r="W772" s="143"/>
      <c r="X772" s="143"/>
      <c r="Y772" s="143"/>
      <c r="Z772" s="143"/>
      <c r="AJ772" s="146"/>
    </row>
    <row r="773" ht="15.75" customHeight="1">
      <c r="M773" s="142"/>
      <c r="N773" s="143"/>
      <c r="O773" s="143"/>
      <c r="P773" s="143"/>
      <c r="Q773" s="143"/>
      <c r="R773" s="144" t="s">
        <v>110</v>
      </c>
      <c r="S773" s="143"/>
      <c r="U773" s="143"/>
      <c r="V773" s="143"/>
      <c r="W773" s="143"/>
      <c r="X773" s="143"/>
      <c r="Y773" s="143"/>
      <c r="Z773" s="143"/>
      <c r="AJ773" s="146"/>
    </row>
    <row r="774" ht="15.75" customHeight="1">
      <c r="M774" s="142"/>
      <c r="N774" s="143"/>
      <c r="O774" s="143"/>
      <c r="P774" s="143"/>
      <c r="Q774" s="143"/>
      <c r="R774" s="144" t="s">
        <v>110</v>
      </c>
      <c r="S774" s="143"/>
      <c r="U774" s="143"/>
      <c r="V774" s="143"/>
      <c r="W774" s="143"/>
      <c r="X774" s="143"/>
      <c r="Y774" s="143"/>
      <c r="Z774" s="143"/>
      <c r="AJ774" s="146"/>
    </row>
    <row r="775" ht="15.75" customHeight="1">
      <c r="M775" s="142"/>
      <c r="N775" s="143"/>
      <c r="O775" s="143"/>
      <c r="P775" s="143"/>
      <c r="Q775" s="143"/>
      <c r="R775" s="144" t="s">
        <v>110</v>
      </c>
      <c r="S775" s="143"/>
      <c r="U775" s="143"/>
      <c r="V775" s="143"/>
      <c r="W775" s="143"/>
      <c r="X775" s="143"/>
      <c r="Y775" s="143"/>
      <c r="Z775" s="143"/>
      <c r="AJ775" s="146"/>
    </row>
    <row r="776" ht="15.75" customHeight="1">
      <c r="M776" s="142"/>
      <c r="N776" s="143"/>
      <c r="O776" s="143"/>
      <c r="P776" s="143"/>
      <c r="Q776" s="143"/>
      <c r="R776" s="144" t="s">
        <v>110</v>
      </c>
      <c r="S776" s="143"/>
      <c r="U776" s="143"/>
      <c r="V776" s="143"/>
      <c r="W776" s="143"/>
      <c r="X776" s="143"/>
      <c r="Y776" s="143"/>
      <c r="Z776" s="143"/>
      <c r="AJ776" s="146"/>
    </row>
    <row r="777" ht="15.75" customHeight="1">
      <c r="M777" s="142"/>
      <c r="N777" s="143"/>
      <c r="O777" s="143"/>
      <c r="P777" s="143"/>
      <c r="Q777" s="143"/>
      <c r="R777" s="144" t="s">
        <v>110</v>
      </c>
      <c r="S777" s="143"/>
      <c r="U777" s="143"/>
      <c r="V777" s="143"/>
      <c r="W777" s="143"/>
      <c r="X777" s="143"/>
      <c r="Y777" s="143"/>
      <c r="Z777" s="143"/>
      <c r="AJ777" s="146"/>
    </row>
    <row r="778" ht="15.75" customHeight="1">
      <c r="M778" s="142"/>
      <c r="N778" s="143"/>
      <c r="O778" s="143"/>
      <c r="P778" s="143"/>
      <c r="Q778" s="143"/>
      <c r="R778" s="144" t="s">
        <v>110</v>
      </c>
      <c r="S778" s="143"/>
      <c r="U778" s="143"/>
      <c r="V778" s="143"/>
      <c r="W778" s="143"/>
      <c r="X778" s="143"/>
      <c r="Y778" s="143"/>
      <c r="Z778" s="143"/>
      <c r="AJ778" s="146"/>
    </row>
    <row r="779" ht="15.75" customHeight="1">
      <c r="M779" s="142"/>
      <c r="N779" s="143"/>
      <c r="O779" s="143"/>
      <c r="P779" s="143"/>
      <c r="Q779" s="143"/>
      <c r="R779" s="144" t="s">
        <v>110</v>
      </c>
      <c r="S779" s="143"/>
      <c r="U779" s="143"/>
      <c r="V779" s="143"/>
      <c r="W779" s="143"/>
      <c r="X779" s="143"/>
      <c r="Y779" s="143"/>
      <c r="Z779" s="143"/>
      <c r="AJ779" s="146"/>
    </row>
    <row r="780" ht="15.75" customHeight="1">
      <c r="M780" s="142"/>
      <c r="N780" s="143"/>
      <c r="O780" s="143"/>
      <c r="P780" s="143"/>
      <c r="Q780" s="143"/>
      <c r="R780" s="144" t="s">
        <v>110</v>
      </c>
      <c r="S780" s="143"/>
      <c r="U780" s="143"/>
      <c r="V780" s="143"/>
      <c r="W780" s="143"/>
      <c r="X780" s="143"/>
      <c r="Y780" s="143"/>
      <c r="Z780" s="143"/>
      <c r="AJ780" s="146"/>
    </row>
    <row r="781" ht="15.75" customHeight="1">
      <c r="M781" s="142"/>
      <c r="N781" s="143"/>
      <c r="O781" s="143"/>
      <c r="P781" s="143"/>
      <c r="Q781" s="143"/>
      <c r="R781" s="144" t="s">
        <v>110</v>
      </c>
      <c r="S781" s="143"/>
      <c r="U781" s="143"/>
      <c r="V781" s="143"/>
      <c r="W781" s="143"/>
      <c r="X781" s="143"/>
      <c r="Y781" s="143"/>
      <c r="Z781" s="143"/>
      <c r="AJ781" s="146"/>
    </row>
    <row r="782" ht="15.75" customHeight="1">
      <c r="M782" s="142"/>
      <c r="N782" s="143"/>
      <c r="O782" s="143"/>
      <c r="P782" s="143"/>
      <c r="Q782" s="143"/>
      <c r="R782" s="144" t="s">
        <v>110</v>
      </c>
      <c r="S782" s="143"/>
      <c r="U782" s="143"/>
      <c r="V782" s="143"/>
      <c r="W782" s="143"/>
      <c r="X782" s="143"/>
      <c r="Y782" s="143"/>
      <c r="Z782" s="143"/>
      <c r="AJ782" s="146"/>
    </row>
    <row r="783" ht="15.75" customHeight="1">
      <c r="M783" s="142"/>
      <c r="N783" s="143"/>
      <c r="O783" s="143"/>
      <c r="P783" s="143"/>
      <c r="Q783" s="143"/>
      <c r="R783" s="144" t="s">
        <v>110</v>
      </c>
      <c r="S783" s="143"/>
      <c r="U783" s="143"/>
      <c r="V783" s="143"/>
      <c r="W783" s="143"/>
      <c r="X783" s="143"/>
      <c r="Y783" s="143"/>
      <c r="Z783" s="143"/>
      <c r="AJ783" s="146"/>
    </row>
    <row r="784" ht="15.75" customHeight="1">
      <c r="M784" s="142"/>
      <c r="N784" s="143"/>
      <c r="O784" s="143"/>
      <c r="P784" s="143"/>
      <c r="Q784" s="143"/>
      <c r="R784" s="144" t="s">
        <v>110</v>
      </c>
      <c r="S784" s="143"/>
      <c r="U784" s="143"/>
      <c r="V784" s="143"/>
      <c r="W784" s="143"/>
      <c r="X784" s="143"/>
      <c r="Y784" s="143"/>
      <c r="Z784" s="143"/>
      <c r="AJ784" s="146"/>
    </row>
    <row r="785" ht="15.75" customHeight="1">
      <c r="M785" s="142"/>
      <c r="N785" s="143"/>
      <c r="O785" s="143"/>
      <c r="P785" s="143"/>
      <c r="Q785" s="143"/>
      <c r="R785" s="144" t="s">
        <v>110</v>
      </c>
      <c r="S785" s="143"/>
      <c r="U785" s="143"/>
      <c r="V785" s="143"/>
      <c r="W785" s="143"/>
      <c r="X785" s="143"/>
      <c r="Y785" s="143"/>
      <c r="Z785" s="143"/>
      <c r="AJ785" s="146"/>
    </row>
    <row r="786" ht="15.75" customHeight="1">
      <c r="M786" s="142"/>
      <c r="N786" s="143"/>
      <c r="O786" s="143"/>
      <c r="P786" s="143"/>
      <c r="Q786" s="143"/>
      <c r="R786" s="144" t="s">
        <v>110</v>
      </c>
      <c r="S786" s="143"/>
      <c r="U786" s="143"/>
      <c r="V786" s="143"/>
      <c r="W786" s="143"/>
      <c r="X786" s="143"/>
      <c r="Y786" s="143"/>
      <c r="Z786" s="143"/>
      <c r="AJ786" s="146"/>
    </row>
    <row r="787" ht="15.75" customHeight="1">
      <c r="M787" s="142"/>
      <c r="N787" s="143"/>
      <c r="O787" s="143"/>
      <c r="P787" s="143"/>
      <c r="Q787" s="143"/>
      <c r="R787" s="144" t="s">
        <v>110</v>
      </c>
      <c r="S787" s="143"/>
      <c r="U787" s="143"/>
      <c r="V787" s="143"/>
      <c r="W787" s="143"/>
      <c r="X787" s="143"/>
      <c r="Y787" s="143"/>
      <c r="Z787" s="143"/>
      <c r="AJ787" s="146"/>
    </row>
    <row r="788" ht="15.75" customHeight="1">
      <c r="M788" s="142"/>
      <c r="N788" s="143"/>
      <c r="O788" s="143"/>
      <c r="P788" s="143"/>
      <c r="Q788" s="143"/>
      <c r="R788" s="144" t="s">
        <v>110</v>
      </c>
      <c r="S788" s="143"/>
      <c r="U788" s="143"/>
      <c r="V788" s="143"/>
      <c r="W788" s="143"/>
      <c r="X788" s="143"/>
      <c r="Y788" s="143"/>
      <c r="Z788" s="143"/>
      <c r="AJ788" s="146"/>
    </row>
    <row r="789" ht="15.75" customHeight="1">
      <c r="M789" s="142"/>
      <c r="N789" s="143"/>
      <c r="O789" s="143"/>
      <c r="P789" s="143"/>
      <c r="Q789" s="143"/>
      <c r="R789" s="144" t="s">
        <v>110</v>
      </c>
      <c r="S789" s="143"/>
      <c r="U789" s="143"/>
      <c r="V789" s="143"/>
      <c r="W789" s="143"/>
      <c r="X789" s="143"/>
      <c r="Y789" s="143"/>
      <c r="Z789" s="143"/>
      <c r="AJ789" s="146"/>
    </row>
    <row r="790" ht="15.75" customHeight="1">
      <c r="M790" s="142"/>
      <c r="N790" s="143"/>
      <c r="O790" s="143"/>
      <c r="P790" s="143"/>
      <c r="Q790" s="143"/>
      <c r="R790" s="144" t="s">
        <v>110</v>
      </c>
      <c r="S790" s="143"/>
      <c r="U790" s="143"/>
      <c r="V790" s="143"/>
      <c r="W790" s="143"/>
      <c r="X790" s="143"/>
      <c r="Y790" s="143"/>
      <c r="Z790" s="143"/>
      <c r="AJ790" s="146"/>
    </row>
    <row r="791" ht="15.75" customHeight="1">
      <c r="M791" s="142"/>
      <c r="N791" s="143"/>
      <c r="O791" s="143"/>
      <c r="P791" s="143"/>
      <c r="Q791" s="143"/>
      <c r="R791" s="144" t="s">
        <v>110</v>
      </c>
      <c r="S791" s="143"/>
      <c r="U791" s="143"/>
      <c r="V791" s="143"/>
      <c r="W791" s="143"/>
      <c r="X791" s="143"/>
      <c r="Y791" s="143"/>
      <c r="Z791" s="143"/>
      <c r="AJ791" s="146"/>
    </row>
    <row r="792" ht="15.75" customHeight="1">
      <c r="M792" s="142"/>
      <c r="N792" s="143"/>
      <c r="O792" s="143"/>
      <c r="P792" s="143"/>
      <c r="Q792" s="143"/>
      <c r="R792" s="144" t="s">
        <v>110</v>
      </c>
      <c r="S792" s="143"/>
      <c r="U792" s="143"/>
      <c r="V792" s="143"/>
      <c r="W792" s="143"/>
      <c r="X792" s="143"/>
      <c r="Y792" s="143"/>
      <c r="Z792" s="143"/>
      <c r="AJ792" s="146"/>
    </row>
    <row r="793" ht="15.75" customHeight="1">
      <c r="M793" s="142"/>
      <c r="N793" s="143"/>
      <c r="O793" s="143"/>
      <c r="P793" s="143"/>
      <c r="Q793" s="143"/>
      <c r="R793" s="144" t="s">
        <v>110</v>
      </c>
      <c r="S793" s="143"/>
      <c r="U793" s="143"/>
      <c r="V793" s="143"/>
      <c r="W793" s="143"/>
      <c r="X793" s="143"/>
      <c r="Y793" s="143"/>
      <c r="Z793" s="143"/>
      <c r="AJ793" s="146"/>
    </row>
    <row r="794" ht="15.75" customHeight="1">
      <c r="M794" s="142"/>
      <c r="N794" s="143"/>
      <c r="O794" s="143"/>
      <c r="P794" s="143"/>
      <c r="Q794" s="143"/>
      <c r="R794" s="144" t="s">
        <v>110</v>
      </c>
      <c r="S794" s="143"/>
      <c r="U794" s="143"/>
      <c r="V794" s="143"/>
      <c r="W794" s="143"/>
      <c r="X794" s="143"/>
      <c r="Y794" s="143"/>
      <c r="Z794" s="143"/>
      <c r="AJ794" s="146"/>
    </row>
    <row r="795" ht="15.75" customHeight="1">
      <c r="M795" s="142"/>
      <c r="N795" s="143"/>
      <c r="O795" s="143"/>
      <c r="P795" s="143"/>
      <c r="Q795" s="143"/>
      <c r="R795" s="144" t="s">
        <v>110</v>
      </c>
      <c r="S795" s="143"/>
      <c r="U795" s="143"/>
      <c r="V795" s="143"/>
      <c r="W795" s="143"/>
      <c r="X795" s="143"/>
      <c r="Y795" s="143"/>
      <c r="Z795" s="143"/>
      <c r="AJ795" s="146"/>
    </row>
    <row r="796" ht="15.75" customHeight="1">
      <c r="M796" s="142"/>
      <c r="N796" s="143"/>
      <c r="O796" s="143"/>
      <c r="P796" s="143"/>
      <c r="Q796" s="143"/>
      <c r="R796" s="144" t="s">
        <v>110</v>
      </c>
      <c r="S796" s="143"/>
      <c r="U796" s="143"/>
      <c r="V796" s="143"/>
      <c r="W796" s="143"/>
      <c r="X796" s="143"/>
      <c r="Y796" s="143"/>
      <c r="Z796" s="143"/>
      <c r="AJ796" s="146"/>
    </row>
    <row r="797" ht="15.75" customHeight="1">
      <c r="M797" s="142"/>
      <c r="N797" s="143"/>
      <c r="O797" s="143"/>
      <c r="P797" s="143"/>
      <c r="Q797" s="143"/>
      <c r="R797" s="144" t="s">
        <v>110</v>
      </c>
      <c r="S797" s="143"/>
      <c r="U797" s="143"/>
      <c r="V797" s="143"/>
      <c r="W797" s="143"/>
      <c r="X797" s="143"/>
      <c r="Y797" s="143"/>
      <c r="Z797" s="143"/>
      <c r="AJ797" s="146"/>
    </row>
    <row r="798" ht="15.75" customHeight="1">
      <c r="M798" s="142"/>
      <c r="N798" s="143"/>
      <c r="O798" s="143"/>
      <c r="P798" s="143"/>
      <c r="Q798" s="143"/>
      <c r="R798" s="144" t="s">
        <v>110</v>
      </c>
      <c r="S798" s="143"/>
      <c r="U798" s="143"/>
      <c r="V798" s="143"/>
      <c r="W798" s="143"/>
      <c r="X798" s="143"/>
      <c r="Y798" s="143"/>
      <c r="Z798" s="143"/>
      <c r="AJ798" s="146"/>
    </row>
    <row r="799" ht="15.75" customHeight="1">
      <c r="M799" s="142"/>
      <c r="N799" s="143"/>
      <c r="O799" s="143"/>
      <c r="P799" s="143"/>
      <c r="Q799" s="143"/>
      <c r="R799" s="144" t="s">
        <v>110</v>
      </c>
      <c r="S799" s="143"/>
      <c r="U799" s="143"/>
      <c r="V799" s="143"/>
      <c r="W799" s="143"/>
      <c r="X799" s="143"/>
      <c r="Y799" s="143"/>
      <c r="Z799" s="143"/>
      <c r="AJ799" s="146"/>
    </row>
    <row r="800" ht="15.75" customHeight="1">
      <c r="M800" s="142"/>
      <c r="N800" s="143"/>
      <c r="O800" s="143"/>
      <c r="P800" s="143"/>
      <c r="Q800" s="143"/>
      <c r="R800" s="144" t="s">
        <v>110</v>
      </c>
      <c r="S800" s="143"/>
      <c r="U800" s="143"/>
      <c r="V800" s="143"/>
      <c r="W800" s="143"/>
      <c r="X800" s="143"/>
      <c r="Y800" s="143"/>
      <c r="Z800" s="143"/>
      <c r="AJ800" s="146"/>
    </row>
    <row r="801" ht="15.75" customHeight="1">
      <c r="M801" s="142"/>
      <c r="N801" s="143"/>
      <c r="O801" s="143"/>
      <c r="P801" s="143"/>
      <c r="Q801" s="143"/>
      <c r="R801" s="144" t="s">
        <v>110</v>
      </c>
      <c r="S801" s="143"/>
      <c r="U801" s="143"/>
      <c r="V801" s="143"/>
      <c r="W801" s="143"/>
      <c r="X801" s="143"/>
      <c r="Y801" s="143"/>
      <c r="Z801" s="143"/>
      <c r="AJ801" s="146"/>
    </row>
    <row r="802" ht="15.75" customHeight="1">
      <c r="M802" s="142"/>
      <c r="N802" s="143"/>
      <c r="O802" s="143"/>
      <c r="P802" s="143"/>
      <c r="Q802" s="143"/>
      <c r="R802" s="144" t="s">
        <v>110</v>
      </c>
      <c r="S802" s="143"/>
      <c r="U802" s="143"/>
      <c r="V802" s="143"/>
      <c r="W802" s="143"/>
      <c r="X802" s="143"/>
      <c r="Y802" s="143"/>
      <c r="Z802" s="143"/>
      <c r="AJ802" s="146"/>
    </row>
    <row r="803" ht="15.75" customHeight="1">
      <c r="M803" s="142"/>
      <c r="N803" s="143"/>
      <c r="O803" s="143"/>
      <c r="P803" s="143"/>
      <c r="Q803" s="143"/>
      <c r="R803" s="144" t="s">
        <v>110</v>
      </c>
      <c r="S803" s="143"/>
      <c r="U803" s="143"/>
      <c r="V803" s="143"/>
      <c r="W803" s="143"/>
      <c r="X803" s="143"/>
      <c r="Y803" s="143"/>
      <c r="Z803" s="143"/>
      <c r="AJ803" s="146"/>
    </row>
    <row r="804" ht="15.75" customHeight="1">
      <c r="M804" s="142"/>
      <c r="N804" s="143"/>
      <c r="O804" s="143"/>
      <c r="P804" s="143"/>
      <c r="Q804" s="143"/>
      <c r="R804" s="144" t="s">
        <v>110</v>
      </c>
      <c r="S804" s="143"/>
      <c r="U804" s="143"/>
      <c r="V804" s="143"/>
      <c r="W804" s="143"/>
      <c r="X804" s="143"/>
      <c r="Y804" s="143"/>
      <c r="Z804" s="143"/>
      <c r="AJ804" s="146"/>
    </row>
    <row r="805" ht="15.75" customHeight="1">
      <c r="M805" s="142"/>
      <c r="N805" s="143"/>
      <c r="O805" s="143"/>
      <c r="P805" s="143"/>
      <c r="Q805" s="143"/>
      <c r="R805" s="144" t="s">
        <v>110</v>
      </c>
      <c r="S805" s="143"/>
      <c r="U805" s="143"/>
      <c r="V805" s="143"/>
      <c r="W805" s="143"/>
      <c r="X805" s="143"/>
      <c r="Y805" s="143"/>
      <c r="Z805" s="143"/>
      <c r="AJ805" s="146"/>
    </row>
    <row r="806" ht="15.75" customHeight="1">
      <c r="M806" s="142"/>
      <c r="N806" s="143"/>
      <c r="O806" s="143"/>
      <c r="P806" s="143"/>
      <c r="Q806" s="143"/>
      <c r="R806" s="144" t="s">
        <v>110</v>
      </c>
      <c r="S806" s="143"/>
      <c r="U806" s="143"/>
      <c r="V806" s="143"/>
      <c r="W806" s="143"/>
      <c r="X806" s="143"/>
      <c r="Y806" s="143"/>
      <c r="Z806" s="143"/>
      <c r="AJ806" s="146"/>
    </row>
    <row r="807" ht="15.75" customHeight="1">
      <c r="M807" s="142"/>
      <c r="N807" s="143"/>
      <c r="O807" s="143"/>
      <c r="P807" s="143"/>
      <c r="Q807" s="143"/>
      <c r="R807" s="144" t="s">
        <v>110</v>
      </c>
      <c r="S807" s="143"/>
      <c r="U807" s="143"/>
      <c r="V807" s="143"/>
      <c r="W807" s="143"/>
      <c r="X807" s="143"/>
      <c r="Y807" s="143"/>
      <c r="Z807" s="143"/>
      <c r="AJ807" s="146"/>
    </row>
    <row r="808" ht="15.75" customHeight="1">
      <c r="M808" s="142"/>
      <c r="N808" s="143"/>
      <c r="O808" s="143"/>
      <c r="P808" s="143"/>
      <c r="Q808" s="143"/>
      <c r="R808" s="144" t="s">
        <v>110</v>
      </c>
      <c r="S808" s="143"/>
      <c r="U808" s="143"/>
      <c r="V808" s="143"/>
      <c r="W808" s="143"/>
      <c r="X808" s="143"/>
      <c r="Y808" s="143"/>
      <c r="Z808" s="143"/>
      <c r="AJ808" s="146"/>
    </row>
    <row r="809" ht="15.75" customHeight="1">
      <c r="M809" s="142"/>
      <c r="N809" s="143"/>
      <c r="O809" s="143"/>
      <c r="P809" s="143"/>
      <c r="Q809" s="143"/>
      <c r="R809" s="144" t="s">
        <v>110</v>
      </c>
      <c r="S809" s="143"/>
      <c r="U809" s="143"/>
      <c r="V809" s="143"/>
      <c r="W809" s="143"/>
      <c r="X809" s="143"/>
      <c r="Y809" s="143"/>
      <c r="Z809" s="143"/>
      <c r="AJ809" s="146"/>
    </row>
    <row r="810" ht="15.75" customHeight="1">
      <c r="M810" s="142"/>
      <c r="N810" s="143"/>
      <c r="O810" s="143"/>
      <c r="P810" s="143"/>
      <c r="Q810" s="143"/>
      <c r="R810" s="144" t="s">
        <v>110</v>
      </c>
      <c r="S810" s="143"/>
      <c r="U810" s="143"/>
      <c r="V810" s="143"/>
      <c r="W810" s="143"/>
      <c r="X810" s="143"/>
      <c r="Y810" s="143"/>
      <c r="Z810" s="143"/>
      <c r="AJ810" s="146"/>
    </row>
    <row r="811" ht="15.75" customHeight="1">
      <c r="M811" s="142"/>
      <c r="N811" s="143"/>
      <c r="O811" s="143"/>
      <c r="P811" s="143"/>
      <c r="Q811" s="143"/>
      <c r="R811" s="144" t="s">
        <v>110</v>
      </c>
      <c r="S811" s="143"/>
      <c r="U811" s="143"/>
      <c r="V811" s="143"/>
      <c r="W811" s="143"/>
      <c r="X811" s="143"/>
      <c r="Y811" s="143"/>
      <c r="Z811" s="143"/>
      <c r="AJ811" s="146"/>
    </row>
    <row r="812" ht="15.75" customHeight="1">
      <c r="M812" s="142"/>
      <c r="N812" s="143"/>
      <c r="O812" s="143"/>
      <c r="P812" s="143"/>
      <c r="Q812" s="143"/>
      <c r="R812" s="144" t="s">
        <v>110</v>
      </c>
      <c r="S812" s="143"/>
      <c r="U812" s="143"/>
      <c r="V812" s="143"/>
      <c r="W812" s="143"/>
      <c r="X812" s="143"/>
      <c r="Y812" s="143"/>
      <c r="Z812" s="143"/>
      <c r="AJ812" s="146"/>
    </row>
    <row r="813" ht="15.75" customHeight="1">
      <c r="M813" s="142"/>
      <c r="N813" s="143"/>
      <c r="O813" s="143"/>
      <c r="P813" s="143"/>
      <c r="Q813" s="143"/>
      <c r="R813" s="144" t="s">
        <v>110</v>
      </c>
      <c r="S813" s="143"/>
      <c r="U813" s="143"/>
      <c r="V813" s="143"/>
      <c r="W813" s="143"/>
      <c r="X813" s="143"/>
      <c r="Y813" s="143"/>
      <c r="Z813" s="143"/>
      <c r="AJ813" s="146"/>
    </row>
    <row r="814" ht="15.75" customHeight="1">
      <c r="M814" s="142"/>
      <c r="N814" s="143"/>
      <c r="O814" s="143"/>
      <c r="P814" s="143"/>
      <c r="Q814" s="143"/>
      <c r="R814" s="144" t="s">
        <v>110</v>
      </c>
      <c r="S814" s="143"/>
      <c r="U814" s="143"/>
      <c r="V814" s="143"/>
      <c r="W814" s="143"/>
      <c r="X814" s="143"/>
      <c r="Y814" s="143"/>
      <c r="Z814" s="143"/>
      <c r="AJ814" s="146"/>
    </row>
    <row r="815" ht="15.75" customHeight="1">
      <c r="M815" s="142"/>
      <c r="N815" s="143"/>
      <c r="O815" s="143"/>
      <c r="P815" s="143"/>
      <c r="Q815" s="143"/>
      <c r="R815" s="144" t="s">
        <v>110</v>
      </c>
      <c r="S815" s="143"/>
      <c r="U815" s="143"/>
      <c r="V815" s="143"/>
      <c r="W815" s="143"/>
      <c r="X815" s="143"/>
      <c r="Y815" s="143"/>
      <c r="Z815" s="143"/>
      <c r="AJ815" s="146"/>
    </row>
    <row r="816" ht="15.75" customHeight="1">
      <c r="M816" s="142"/>
      <c r="N816" s="143"/>
      <c r="O816" s="143"/>
      <c r="P816" s="143"/>
      <c r="Q816" s="143"/>
      <c r="R816" s="144" t="s">
        <v>110</v>
      </c>
      <c r="S816" s="143"/>
      <c r="U816" s="143"/>
      <c r="V816" s="143"/>
      <c r="W816" s="143"/>
      <c r="X816" s="143"/>
      <c r="Y816" s="143"/>
      <c r="Z816" s="143"/>
      <c r="AJ816" s="146"/>
    </row>
    <row r="817" ht="15.75" customHeight="1">
      <c r="M817" s="142"/>
      <c r="N817" s="143"/>
      <c r="O817" s="143"/>
      <c r="P817" s="143"/>
      <c r="Q817" s="143"/>
      <c r="R817" s="144" t="s">
        <v>110</v>
      </c>
      <c r="S817" s="143"/>
      <c r="U817" s="143"/>
      <c r="V817" s="143"/>
      <c r="W817" s="143"/>
      <c r="X817" s="143"/>
      <c r="Y817" s="143"/>
      <c r="Z817" s="143"/>
      <c r="AJ817" s="146"/>
    </row>
    <row r="818" ht="15.75" customHeight="1">
      <c r="M818" s="142"/>
      <c r="N818" s="143"/>
      <c r="O818" s="143"/>
      <c r="P818" s="143"/>
      <c r="Q818" s="143"/>
      <c r="R818" s="144" t="s">
        <v>110</v>
      </c>
      <c r="S818" s="143"/>
      <c r="U818" s="143"/>
      <c r="V818" s="143"/>
      <c r="W818" s="143"/>
      <c r="X818" s="143"/>
      <c r="Y818" s="143"/>
      <c r="Z818" s="143"/>
      <c r="AJ818" s="146"/>
    </row>
    <row r="819" ht="15.75" customHeight="1">
      <c r="M819" s="142"/>
      <c r="N819" s="143"/>
      <c r="O819" s="143"/>
      <c r="P819" s="143"/>
      <c r="Q819" s="143"/>
      <c r="R819" s="144" t="s">
        <v>110</v>
      </c>
      <c r="S819" s="143"/>
      <c r="U819" s="143"/>
      <c r="V819" s="143"/>
      <c r="W819" s="143"/>
      <c r="X819" s="143"/>
      <c r="Y819" s="143"/>
      <c r="Z819" s="143"/>
      <c r="AJ819" s="146"/>
    </row>
    <row r="820" ht="15.75" customHeight="1">
      <c r="M820" s="142"/>
      <c r="N820" s="143"/>
      <c r="O820" s="143"/>
      <c r="P820" s="143"/>
      <c r="Q820" s="143"/>
      <c r="R820" s="144" t="s">
        <v>110</v>
      </c>
      <c r="S820" s="143"/>
      <c r="U820" s="143"/>
      <c r="V820" s="143"/>
      <c r="W820" s="143"/>
      <c r="X820" s="143"/>
      <c r="Y820" s="143"/>
      <c r="Z820" s="143"/>
      <c r="AJ820" s="146"/>
    </row>
    <row r="821" ht="15.75" customHeight="1">
      <c r="M821" s="142"/>
      <c r="N821" s="143"/>
      <c r="O821" s="143"/>
      <c r="P821" s="143"/>
      <c r="Q821" s="143"/>
      <c r="R821" s="144" t="s">
        <v>110</v>
      </c>
      <c r="S821" s="143"/>
      <c r="U821" s="143"/>
      <c r="V821" s="143"/>
      <c r="W821" s="143"/>
      <c r="X821" s="143"/>
      <c r="Y821" s="143"/>
      <c r="Z821" s="143"/>
      <c r="AJ821" s="146"/>
    </row>
    <row r="822" ht="15.75" customHeight="1">
      <c r="M822" s="142"/>
      <c r="N822" s="143"/>
      <c r="O822" s="143"/>
      <c r="P822" s="143"/>
      <c r="Q822" s="143"/>
      <c r="R822" s="144" t="s">
        <v>110</v>
      </c>
      <c r="S822" s="143"/>
      <c r="U822" s="143"/>
      <c r="V822" s="143"/>
      <c r="W822" s="143"/>
      <c r="X822" s="143"/>
      <c r="Y822" s="143"/>
      <c r="Z822" s="143"/>
      <c r="AJ822" s="146"/>
    </row>
    <row r="823" ht="15.75" customHeight="1">
      <c r="M823" s="142"/>
      <c r="N823" s="143"/>
      <c r="O823" s="143"/>
      <c r="P823" s="143"/>
      <c r="Q823" s="143"/>
      <c r="R823" s="144" t="s">
        <v>110</v>
      </c>
      <c r="S823" s="143"/>
      <c r="U823" s="143"/>
      <c r="V823" s="143"/>
      <c r="W823" s="143"/>
      <c r="X823" s="143"/>
      <c r="Y823" s="143"/>
      <c r="Z823" s="143"/>
      <c r="AJ823" s="146"/>
    </row>
    <row r="824" ht="15.75" customHeight="1">
      <c r="M824" s="142"/>
      <c r="N824" s="143"/>
      <c r="O824" s="143"/>
      <c r="P824" s="143"/>
      <c r="Q824" s="143"/>
      <c r="R824" s="144" t="s">
        <v>110</v>
      </c>
      <c r="S824" s="143"/>
      <c r="U824" s="143"/>
      <c r="V824" s="143"/>
      <c r="W824" s="143"/>
      <c r="X824" s="143"/>
      <c r="Y824" s="143"/>
      <c r="Z824" s="143"/>
      <c r="AJ824" s="146"/>
    </row>
    <row r="825" ht="15.75" customHeight="1">
      <c r="M825" s="142"/>
      <c r="N825" s="143"/>
      <c r="O825" s="143"/>
      <c r="P825" s="143"/>
      <c r="Q825" s="143"/>
      <c r="R825" s="144" t="s">
        <v>110</v>
      </c>
      <c r="S825" s="143"/>
      <c r="U825" s="143"/>
      <c r="V825" s="143"/>
      <c r="W825" s="143"/>
      <c r="X825" s="143"/>
      <c r="Y825" s="143"/>
      <c r="Z825" s="143"/>
      <c r="AJ825" s="146"/>
    </row>
    <row r="826" ht="15.75" customHeight="1">
      <c r="M826" s="142"/>
      <c r="N826" s="143"/>
      <c r="O826" s="143"/>
      <c r="P826" s="143"/>
      <c r="Q826" s="143"/>
      <c r="R826" s="144" t="s">
        <v>110</v>
      </c>
      <c r="S826" s="143"/>
      <c r="U826" s="143"/>
      <c r="V826" s="143"/>
      <c r="W826" s="143"/>
      <c r="X826" s="143"/>
      <c r="Y826" s="143"/>
      <c r="Z826" s="143"/>
      <c r="AJ826" s="146"/>
    </row>
    <row r="827" ht="15.75" customHeight="1">
      <c r="M827" s="142"/>
      <c r="N827" s="143"/>
      <c r="O827" s="143"/>
      <c r="P827" s="143"/>
      <c r="Q827" s="143"/>
      <c r="R827" s="144" t="s">
        <v>110</v>
      </c>
      <c r="S827" s="143"/>
      <c r="U827" s="143"/>
      <c r="V827" s="143"/>
      <c r="W827" s="143"/>
      <c r="X827" s="143"/>
      <c r="Y827" s="143"/>
      <c r="Z827" s="143"/>
      <c r="AJ827" s="146"/>
    </row>
    <row r="828" ht="15.75" customHeight="1">
      <c r="M828" s="142"/>
      <c r="N828" s="143"/>
      <c r="O828" s="143"/>
      <c r="P828" s="143"/>
      <c r="Q828" s="143"/>
      <c r="R828" s="144" t="s">
        <v>110</v>
      </c>
      <c r="S828" s="143"/>
      <c r="U828" s="143"/>
      <c r="V828" s="143"/>
      <c r="W828" s="143"/>
      <c r="X828" s="143"/>
      <c r="Y828" s="143"/>
      <c r="Z828" s="143"/>
      <c r="AJ828" s="146"/>
    </row>
    <row r="829" ht="15.75" customHeight="1">
      <c r="M829" s="142"/>
      <c r="N829" s="143"/>
      <c r="O829" s="143"/>
      <c r="P829" s="143"/>
      <c r="Q829" s="143"/>
      <c r="R829" s="144" t="s">
        <v>110</v>
      </c>
      <c r="S829" s="143"/>
      <c r="U829" s="143"/>
      <c r="V829" s="143"/>
      <c r="W829" s="143"/>
      <c r="X829" s="143"/>
      <c r="Y829" s="143"/>
      <c r="Z829" s="143"/>
      <c r="AJ829" s="146"/>
    </row>
    <row r="830" ht="15.75" customHeight="1">
      <c r="M830" s="142"/>
      <c r="N830" s="143"/>
      <c r="O830" s="143"/>
      <c r="P830" s="143"/>
      <c r="Q830" s="143"/>
      <c r="R830" s="144" t="s">
        <v>110</v>
      </c>
      <c r="S830" s="143"/>
      <c r="U830" s="143"/>
      <c r="V830" s="143"/>
      <c r="W830" s="143"/>
      <c r="X830" s="143"/>
      <c r="Y830" s="143"/>
      <c r="Z830" s="143"/>
      <c r="AJ830" s="146"/>
    </row>
    <row r="831" ht="15.75" customHeight="1">
      <c r="M831" s="142"/>
      <c r="N831" s="143"/>
      <c r="O831" s="143"/>
      <c r="P831" s="143"/>
      <c r="Q831" s="143"/>
      <c r="R831" s="144" t="s">
        <v>110</v>
      </c>
      <c r="S831" s="143"/>
      <c r="U831" s="143"/>
      <c r="V831" s="143"/>
      <c r="W831" s="143"/>
      <c r="X831" s="143"/>
      <c r="Y831" s="143"/>
      <c r="Z831" s="143"/>
      <c r="AJ831" s="146"/>
    </row>
    <row r="832" ht="15.75" customHeight="1">
      <c r="M832" s="142"/>
      <c r="N832" s="143"/>
      <c r="O832" s="143"/>
      <c r="P832" s="143"/>
      <c r="Q832" s="143"/>
      <c r="R832" s="144" t="s">
        <v>110</v>
      </c>
      <c r="S832" s="143"/>
      <c r="U832" s="143"/>
      <c r="V832" s="143"/>
      <c r="W832" s="143"/>
      <c r="X832" s="143"/>
      <c r="Y832" s="143"/>
      <c r="Z832" s="143"/>
      <c r="AJ832" s="146"/>
    </row>
    <row r="833" ht="15.75" customHeight="1">
      <c r="M833" s="142"/>
      <c r="N833" s="143"/>
      <c r="O833" s="143"/>
      <c r="P833" s="143"/>
      <c r="Q833" s="143"/>
      <c r="R833" s="144" t="s">
        <v>110</v>
      </c>
      <c r="S833" s="143"/>
      <c r="U833" s="143"/>
      <c r="V833" s="143"/>
      <c r="W833" s="143"/>
      <c r="X833" s="143"/>
      <c r="Y833" s="143"/>
      <c r="Z833" s="143"/>
      <c r="AJ833" s="146"/>
    </row>
    <row r="834" ht="15.75" customHeight="1">
      <c r="M834" s="142"/>
      <c r="N834" s="143"/>
      <c r="O834" s="143"/>
      <c r="P834" s="143"/>
      <c r="Q834" s="143"/>
      <c r="R834" s="144" t="s">
        <v>110</v>
      </c>
      <c r="S834" s="143"/>
      <c r="U834" s="143"/>
      <c r="V834" s="143"/>
      <c r="W834" s="143"/>
      <c r="X834" s="143"/>
      <c r="Y834" s="143"/>
      <c r="Z834" s="143"/>
      <c r="AJ834" s="146"/>
    </row>
    <row r="835" ht="15.75" customHeight="1">
      <c r="M835" s="142"/>
      <c r="N835" s="143"/>
      <c r="O835" s="143"/>
      <c r="P835" s="143"/>
      <c r="Q835" s="143"/>
      <c r="R835" s="144" t="s">
        <v>110</v>
      </c>
      <c r="S835" s="143"/>
      <c r="U835" s="143"/>
      <c r="V835" s="143"/>
      <c r="W835" s="143"/>
      <c r="X835" s="143"/>
      <c r="Y835" s="143"/>
      <c r="Z835" s="143"/>
      <c r="AJ835" s="146"/>
    </row>
    <row r="836" ht="15.75" customHeight="1">
      <c r="M836" s="142"/>
      <c r="N836" s="143"/>
      <c r="O836" s="143"/>
      <c r="P836" s="143"/>
      <c r="Q836" s="143"/>
      <c r="R836" s="144" t="s">
        <v>110</v>
      </c>
      <c r="S836" s="143"/>
      <c r="U836" s="143"/>
      <c r="V836" s="143"/>
      <c r="W836" s="143"/>
      <c r="X836" s="143"/>
      <c r="Y836" s="143"/>
      <c r="Z836" s="143"/>
      <c r="AJ836" s="146"/>
    </row>
    <row r="837" ht="15.75" customHeight="1">
      <c r="M837" s="142"/>
      <c r="N837" s="143"/>
      <c r="O837" s="143"/>
      <c r="P837" s="143"/>
      <c r="Q837" s="143"/>
      <c r="R837" s="144" t="s">
        <v>110</v>
      </c>
      <c r="S837" s="143"/>
      <c r="U837" s="143"/>
      <c r="V837" s="143"/>
      <c r="W837" s="143"/>
      <c r="X837" s="143"/>
      <c r="Y837" s="143"/>
      <c r="Z837" s="143"/>
      <c r="AJ837" s="146"/>
    </row>
    <row r="838" ht="15.75" customHeight="1">
      <c r="M838" s="142"/>
      <c r="N838" s="143"/>
      <c r="O838" s="143"/>
      <c r="P838" s="143"/>
      <c r="Q838" s="143"/>
      <c r="R838" s="144" t="s">
        <v>110</v>
      </c>
      <c r="S838" s="143"/>
      <c r="U838" s="143"/>
      <c r="V838" s="143"/>
      <c r="W838" s="143"/>
      <c r="X838" s="143"/>
      <c r="Y838" s="143"/>
      <c r="Z838" s="143"/>
      <c r="AJ838" s="146"/>
    </row>
    <row r="839" ht="15.75" customHeight="1">
      <c r="M839" s="142"/>
      <c r="N839" s="143"/>
      <c r="O839" s="143"/>
      <c r="P839" s="143"/>
      <c r="Q839" s="143"/>
      <c r="R839" s="144" t="s">
        <v>110</v>
      </c>
      <c r="S839" s="143"/>
      <c r="U839" s="143"/>
      <c r="V839" s="143"/>
      <c r="W839" s="143"/>
      <c r="X839" s="143"/>
      <c r="Y839" s="143"/>
      <c r="Z839" s="143"/>
      <c r="AJ839" s="146"/>
    </row>
    <row r="840" ht="15.75" customHeight="1">
      <c r="M840" s="142"/>
      <c r="N840" s="143"/>
      <c r="O840" s="143"/>
      <c r="P840" s="143"/>
      <c r="Q840" s="143"/>
      <c r="R840" s="144" t="s">
        <v>110</v>
      </c>
      <c r="S840" s="143"/>
      <c r="U840" s="143"/>
      <c r="V840" s="143"/>
      <c r="W840" s="143"/>
      <c r="X840" s="143"/>
      <c r="Y840" s="143"/>
      <c r="Z840" s="143"/>
      <c r="AJ840" s="146"/>
    </row>
    <row r="841" ht="15.75" customHeight="1">
      <c r="M841" s="142"/>
      <c r="N841" s="143"/>
      <c r="O841" s="143"/>
      <c r="P841" s="143"/>
      <c r="Q841" s="143"/>
      <c r="R841" s="144" t="s">
        <v>110</v>
      </c>
      <c r="S841" s="143"/>
      <c r="U841" s="143"/>
      <c r="V841" s="143"/>
      <c r="W841" s="143"/>
      <c r="X841" s="143"/>
      <c r="Y841" s="143"/>
      <c r="Z841" s="143"/>
      <c r="AJ841" s="146"/>
    </row>
    <row r="842" ht="15.75" customHeight="1">
      <c r="M842" s="142"/>
      <c r="N842" s="143"/>
      <c r="O842" s="143"/>
      <c r="P842" s="143"/>
      <c r="Q842" s="143"/>
      <c r="R842" s="144" t="s">
        <v>110</v>
      </c>
      <c r="S842" s="143"/>
      <c r="U842" s="143"/>
      <c r="V842" s="143"/>
      <c r="W842" s="143"/>
      <c r="X842" s="143"/>
      <c r="Y842" s="143"/>
      <c r="Z842" s="143"/>
      <c r="AJ842" s="146"/>
    </row>
    <row r="843" ht="15.75" customHeight="1">
      <c r="M843" s="142"/>
      <c r="N843" s="143"/>
      <c r="O843" s="143"/>
      <c r="P843" s="143"/>
      <c r="Q843" s="143"/>
      <c r="R843" s="144" t="s">
        <v>110</v>
      </c>
      <c r="S843" s="143"/>
      <c r="U843" s="143"/>
      <c r="V843" s="143"/>
      <c r="W843" s="143"/>
      <c r="X843" s="143"/>
      <c r="Y843" s="143"/>
      <c r="Z843" s="143"/>
      <c r="AJ843" s="146"/>
    </row>
    <row r="844" ht="15.75" customHeight="1">
      <c r="M844" s="142"/>
      <c r="N844" s="143"/>
      <c r="O844" s="143"/>
      <c r="P844" s="143"/>
      <c r="Q844" s="143"/>
      <c r="R844" s="144" t="s">
        <v>110</v>
      </c>
      <c r="S844" s="143"/>
      <c r="U844" s="143"/>
      <c r="V844" s="143"/>
      <c r="W844" s="143"/>
      <c r="X844" s="143"/>
      <c r="Y844" s="143"/>
      <c r="Z844" s="143"/>
      <c r="AJ844" s="146"/>
    </row>
    <row r="845" ht="15.75" customHeight="1">
      <c r="M845" s="142"/>
      <c r="N845" s="143"/>
      <c r="O845" s="143"/>
      <c r="P845" s="143"/>
      <c r="Q845" s="143"/>
      <c r="R845" s="144" t="s">
        <v>110</v>
      </c>
      <c r="S845" s="143"/>
      <c r="U845" s="143"/>
      <c r="V845" s="143"/>
      <c r="W845" s="143"/>
      <c r="X845" s="143"/>
      <c r="Y845" s="143"/>
      <c r="Z845" s="143"/>
      <c r="AJ845" s="146"/>
    </row>
    <row r="846" ht="15.75" customHeight="1">
      <c r="M846" s="142"/>
      <c r="N846" s="143"/>
      <c r="O846" s="143"/>
      <c r="P846" s="143"/>
      <c r="Q846" s="143"/>
      <c r="R846" s="144" t="s">
        <v>110</v>
      </c>
      <c r="S846" s="143"/>
      <c r="U846" s="143"/>
      <c r="V846" s="143"/>
      <c r="W846" s="143"/>
      <c r="X846" s="143"/>
      <c r="Y846" s="143"/>
      <c r="Z846" s="143"/>
      <c r="AJ846" s="146"/>
    </row>
    <row r="847" ht="15.75" customHeight="1">
      <c r="M847" s="142"/>
      <c r="N847" s="143"/>
      <c r="O847" s="143"/>
      <c r="P847" s="143"/>
      <c r="Q847" s="143"/>
      <c r="R847" s="144" t="s">
        <v>110</v>
      </c>
      <c r="S847" s="143"/>
      <c r="U847" s="143"/>
      <c r="V847" s="143"/>
      <c r="W847" s="143"/>
      <c r="X847" s="143"/>
      <c r="Y847" s="143"/>
      <c r="Z847" s="143"/>
      <c r="AJ847" s="146"/>
    </row>
    <row r="848" ht="15.75" customHeight="1">
      <c r="M848" s="142"/>
      <c r="N848" s="143"/>
      <c r="O848" s="143"/>
      <c r="P848" s="143"/>
      <c r="Q848" s="143"/>
      <c r="R848" s="144" t="s">
        <v>110</v>
      </c>
      <c r="S848" s="143"/>
      <c r="U848" s="143"/>
      <c r="V848" s="143"/>
      <c r="W848" s="143"/>
      <c r="X848" s="143"/>
      <c r="Y848" s="143"/>
      <c r="Z848" s="143"/>
      <c r="AJ848" s="146"/>
    </row>
    <row r="849" ht="15.75" customHeight="1">
      <c r="M849" s="142"/>
      <c r="N849" s="143"/>
      <c r="O849" s="143"/>
      <c r="P849" s="143"/>
      <c r="Q849" s="143"/>
      <c r="R849" s="144" t="s">
        <v>110</v>
      </c>
      <c r="S849" s="143"/>
      <c r="U849" s="143"/>
      <c r="V849" s="143"/>
      <c r="W849" s="143"/>
      <c r="X849" s="143"/>
      <c r="Y849" s="143"/>
      <c r="Z849" s="143"/>
      <c r="AJ849" s="146"/>
    </row>
    <row r="850" ht="15.75" customHeight="1">
      <c r="M850" s="142"/>
      <c r="N850" s="143"/>
      <c r="O850" s="143"/>
      <c r="P850" s="143"/>
      <c r="Q850" s="143"/>
      <c r="R850" s="144" t="s">
        <v>110</v>
      </c>
      <c r="S850" s="143"/>
      <c r="U850" s="143"/>
      <c r="V850" s="143"/>
      <c r="W850" s="143"/>
      <c r="X850" s="143"/>
      <c r="Y850" s="143"/>
      <c r="Z850" s="143"/>
      <c r="AJ850" s="146"/>
    </row>
    <row r="851" ht="15.75" customHeight="1">
      <c r="M851" s="142"/>
      <c r="N851" s="143"/>
      <c r="O851" s="143"/>
      <c r="P851" s="143"/>
      <c r="Q851" s="143"/>
      <c r="R851" s="144" t="s">
        <v>110</v>
      </c>
      <c r="S851" s="143"/>
      <c r="U851" s="143"/>
      <c r="V851" s="143"/>
      <c r="W851" s="143"/>
      <c r="X851" s="143"/>
      <c r="Y851" s="143"/>
      <c r="Z851" s="143"/>
      <c r="AJ851" s="146"/>
    </row>
    <row r="852" ht="15.75" customHeight="1">
      <c r="M852" s="142"/>
      <c r="N852" s="143"/>
      <c r="O852" s="143"/>
      <c r="P852" s="143"/>
      <c r="Q852" s="143"/>
      <c r="R852" s="144" t="s">
        <v>110</v>
      </c>
      <c r="S852" s="143"/>
      <c r="U852" s="143"/>
      <c r="V852" s="143"/>
      <c r="W852" s="143"/>
      <c r="X852" s="143"/>
      <c r="Y852" s="143"/>
      <c r="Z852" s="143"/>
      <c r="AJ852" s="146"/>
    </row>
    <row r="853" ht="15.75" customHeight="1">
      <c r="M853" s="142"/>
      <c r="N853" s="143"/>
      <c r="O853" s="143"/>
      <c r="P853" s="143"/>
      <c r="Q853" s="143"/>
      <c r="R853" s="144" t="s">
        <v>110</v>
      </c>
      <c r="S853" s="143"/>
      <c r="U853" s="143"/>
      <c r="V853" s="143"/>
      <c r="W853" s="143"/>
      <c r="X853" s="143"/>
      <c r="Y853" s="143"/>
      <c r="Z853" s="143"/>
      <c r="AJ853" s="146"/>
    </row>
    <row r="854" ht="15.75" customHeight="1">
      <c r="M854" s="142"/>
      <c r="N854" s="143"/>
      <c r="O854" s="143"/>
      <c r="P854" s="143"/>
      <c r="Q854" s="143"/>
      <c r="R854" s="144" t="s">
        <v>110</v>
      </c>
      <c r="S854" s="143"/>
      <c r="U854" s="143"/>
      <c r="V854" s="143"/>
      <c r="W854" s="143"/>
      <c r="X854" s="143"/>
      <c r="Y854" s="143"/>
      <c r="Z854" s="143"/>
      <c r="AJ854" s="146"/>
    </row>
    <row r="855" ht="15.75" customHeight="1">
      <c r="M855" s="142"/>
      <c r="N855" s="143"/>
      <c r="O855" s="143"/>
      <c r="P855" s="143"/>
      <c r="Q855" s="143"/>
      <c r="R855" s="144" t="s">
        <v>110</v>
      </c>
      <c r="S855" s="143"/>
      <c r="U855" s="143"/>
      <c r="V855" s="143"/>
      <c r="W855" s="143"/>
      <c r="X855" s="143"/>
      <c r="Y855" s="143"/>
      <c r="Z855" s="143"/>
      <c r="AJ855" s="146"/>
    </row>
    <row r="856" ht="15.75" customHeight="1">
      <c r="M856" s="142"/>
      <c r="N856" s="143"/>
      <c r="O856" s="143"/>
      <c r="P856" s="143"/>
      <c r="Q856" s="143"/>
      <c r="R856" s="144" t="s">
        <v>110</v>
      </c>
      <c r="S856" s="143"/>
      <c r="U856" s="143"/>
      <c r="V856" s="143"/>
      <c r="W856" s="143"/>
      <c r="X856" s="143"/>
      <c r="Y856" s="143"/>
      <c r="Z856" s="143"/>
      <c r="AJ856" s="146"/>
    </row>
    <row r="857" ht="15.75" customHeight="1">
      <c r="M857" s="142"/>
      <c r="N857" s="143"/>
      <c r="O857" s="143"/>
      <c r="P857" s="143"/>
      <c r="Q857" s="143"/>
      <c r="R857" s="144" t="s">
        <v>110</v>
      </c>
      <c r="S857" s="143"/>
      <c r="U857" s="143"/>
      <c r="V857" s="143"/>
      <c r="W857" s="143"/>
      <c r="X857" s="143"/>
      <c r="Y857" s="143"/>
      <c r="Z857" s="143"/>
      <c r="AJ857" s="146"/>
    </row>
    <row r="858" ht="15.75" customHeight="1">
      <c r="M858" s="142"/>
      <c r="N858" s="143"/>
      <c r="O858" s="143"/>
      <c r="P858" s="143"/>
      <c r="Q858" s="143"/>
      <c r="R858" s="144" t="s">
        <v>110</v>
      </c>
      <c r="S858" s="143"/>
      <c r="U858" s="143"/>
      <c r="V858" s="143"/>
      <c r="W858" s="143"/>
      <c r="X858" s="143"/>
      <c r="Y858" s="143"/>
      <c r="Z858" s="143"/>
      <c r="AJ858" s="146"/>
    </row>
    <row r="859" ht="15.75" customHeight="1">
      <c r="M859" s="142"/>
      <c r="N859" s="143"/>
      <c r="O859" s="143"/>
      <c r="P859" s="143"/>
      <c r="Q859" s="143"/>
      <c r="R859" s="144" t="s">
        <v>110</v>
      </c>
      <c r="S859" s="143"/>
      <c r="U859" s="143"/>
      <c r="V859" s="143"/>
      <c r="W859" s="143"/>
      <c r="X859" s="143"/>
      <c r="Y859" s="143"/>
      <c r="Z859" s="143"/>
      <c r="AJ859" s="146"/>
    </row>
    <row r="860" ht="15.75" customHeight="1">
      <c r="M860" s="142"/>
      <c r="N860" s="143"/>
      <c r="O860" s="143"/>
      <c r="P860" s="143"/>
      <c r="Q860" s="143"/>
      <c r="R860" s="144" t="s">
        <v>110</v>
      </c>
      <c r="S860" s="143"/>
      <c r="U860" s="143"/>
      <c r="V860" s="143"/>
      <c r="W860" s="143"/>
      <c r="X860" s="143"/>
      <c r="Y860" s="143"/>
      <c r="Z860" s="143"/>
      <c r="AJ860" s="146"/>
    </row>
    <row r="861" ht="15.75" customHeight="1">
      <c r="M861" s="142"/>
      <c r="N861" s="143"/>
      <c r="O861" s="143"/>
      <c r="P861" s="143"/>
      <c r="Q861" s="143"/>
      <c r="R861" s="144" t="s">
        <v>110</v>
      </c>
      <c r="S861" s="143"/>
      <c r="U861" s="143"/>
      <c r="V861" s="143"/>
      <c r="W861" s="143"/>
      <c r="X861" s="143"/>
      <c r="Y861" s="143"/>
      <c r="Z861" s="143"/>
      <c r="AJ861" s="146"/>
    </row>
    <row r="862" ht="15.75" customHeight="1">
      <c r="M862" s="142"/>
      <c r="N862" s="143"/>
      <c r="O862" s="143"/>
      <c r="P862" s="143"/>
      <c r="Q862" s="143"/>
      <c r="R862" s="144" t="s">
        <v>110</v>
      </c>
      <c r="S862" s="143"/>
      <c r="U862" s="143"/>
      <c r="V862" s="143"/>
      <c r="W862" s="143"/>
      <c r="X862" s="143"/>
      <c r="Y862" s="143"/>
      <c r="Z862" s="143"/>
      <c r="AJ862" s="146"/>
    </row>
    <row r="863" ht="15.75" customHeight="1">
      <c r="M863" s="142"/>
      <c r="N863" s="143"/>
      <c r="O863" s="143"/>
      <c r="P863" s="143"/>
      <c r="Q863" s="143"/>
      <c r="R863" s="144" t="s">
        <v>110</v>
      </c>
      <c r="S863" s="143"/>
      <c r="U863" s="143"/>
      <c r="V863" s="143"/>
      <c r="W863" s="143"/>
      <c r="X863" s="143"/>
      <c r="Y863" s="143"/>
      <c r="Z863" s="143"/>
      <c r="AJ863" s="146"/>
    </row>
    <row r="864" ht="15.75" customHeight="1">
      <c r="M864" s="142"/>
      <c r="N864" s="143"/>
      <c r="O864" s="143"/>
      <c r="P864" s="143"/>
      <c r="Q864" s="143"/>
      <c r="R864" s="144" t="s">
        <v>110</v>
      </c>
      <c r="S864" s="143"/>
      <c r="U864" s="143"/>
      <c r="V864" s="143"/>
      <c r="W864" s="143"/>
      <c r="X864" s="143"/>
      <c r="Y864" s="143"/>
      <c r="Z864" s="143"/>
      <c r="AJ864" s="146"/>
    </row>
    <row r="865" ht="15.75" customHeight="1">
      <c r="M865" s="142"/>
      <c r="N865" s="143"/>
      <c r="O865" s="143"/>
      <c r="P865" s="143"/>
      <c r="Q865" s="143"/>
      <c r="R865" s="144" t="s">
        <v>110</v>
      </c>
      <c r="S865" s="143"/>
      <c r="U865" s="143"/>
      <c r="V865" s="143"/>
      <c r="W865" s="143"/>
      <c r="X865" s="143"/>
      <c r="Y865" s="143"/>
      <c r="Z865" s="143"/>
      <c r="AJ865" s="146"/>
    </row>
    <row r="866" ht="15.75" customHeight="1">
      <c r="M866" s="142"/>
      <c r="N866" s="143"/>
      <c r="O866" s="143"/>
      <c r="P866" s="143"/>
      <c r="Q866" s="143"/>
      <c r="R866" s="144" t="s">
        <v>110</v>
      </c>
      <c r="S866" s="143"/>
      <c r="U866" s="143"/>
      <c r="V866" s="143"/>
      <c r="W866" s="143"/>
      <c r="X866" s="143"/>
      <c r="Y866" s="143"/>
      <c r="Z866" s="143"/>
      <c r="AJ866" s="146"/>
    </row>
    <row r="867" ht="15.75" customHeight="1">
      <c r="M867" s="142"/>
      <c r="N867" s="143"/>
      <c r="O867" s="143"/>
      <c r="P867" s="143"/>
      <c r="Q867" s="143"/>
      <c r="R867" s="144" t="s">
        <v>110</v>
      </c>
      <c r="S867" s="143"/>
      <c r="U867" s="143"/>
      <c r="V867" s="143"/>
      <c r="W867" s="143"/>
      <c r="X867" s="143"/>
      <c r="Y867" s="143"/>
      <c r="Z867" s="143"/>
      <c r="AJ867" s="146"/>
    </row>
    <row r="868" ht="15.75" customHeight="1">
      <c r="M868" s="142"/>
      <c r="N868" s="143"/>
      <c r="O868" s="143"/>
      <c r="P868" s="143"/>
      <c r="Q868" s="143"/>
      <c r="R868" s="144" t="s">
        <v>110</v>
      </c>
      <c r="S868" s="143"/>
      <c r="U868" s="143"/>
      <c r="V868" s="143"/>
      <c r="W868" s="143"/>
      <c r="X868" s="143"/>
      <c r="Y868" s="143"/>
      <c r="Z868" s="143"/>
      <c r="AJ868" s="146"/>
    </row>
    <row r="869" ht="15.75" customHeight="1">
      <c r="M869" s="142"/>
      <c r="N869" s="143"/>
      <c r="O869" s="143"/>
      <c r="P869" s="143"/>
      <c r="Q869" s="143"/>
      <c r="R869" s="144" t="s">
        <v>110</v>
      </c>
      <c r="S869" s="143"/>
      <c r="U869" s="143"/>
      <c r="V869" s="143"/>
      <c r="W869" s="143"/>
      <c r="X869" s="143"/>
      <c r="Y869" s="143"/>
      <c r="Z869" s="143"/>
      <c r="AJ869" s="146"/>
    </row>
    <row r="870" ht="15.75" customHeight="1">
      <c r="M870" s="142"/>
      <c r="N870" s="143"/>
      <c r="O870" s="143"/>
      <c r="P870" s="143"/>
      <c r="Q870" s="143"/>
      <c r="R870" s="144" t="s">
        <v>110</v>
      </c>
      <c r="S870" s="143"/>
      <c r="U870" s="143"/>
      <c r="V870" s="143"/>
      <c r="W870" s="143"/>
      <c r="X870" s="143"/>
      <c r="Y870" s="143"/>
      <c r="Z870" s="143"/>
      <c r="AJ870" s="146"/>
    </row>
    <row r="871" ht="15.75" customHeight="1">
      <c r="M871" s="142"/>
      <c r="N871" s="143"/>
      <c r="O871" s="143"/>
      <c r="P871" s="143"/>
      <c r="Q871" s="143"/>
      <c r="R871" s="144" t="s">
        <v>110</v>
      </c>
      <c r="S871" s="143"/>
      <c r="U871" s="143"/>
      <c r="V871" s="143"/>
      <c r="W871" s="143"/>
      <c r="X871" s="143"/>
      <c r="Y871" s="143"/>
      <c r="Z871" s="143"/>
      <c r="AJ871" s="146"/>
    </row>
    <row r="872" ht="15.75" customHeight="1">
      <c r="M872" s="142"/>
      <c r="N872" s="143"/>
      <c r="O872" s="143"/>
      <c r="P872" s="143"/>
      <c r="Q872" s="143"/>
      <c r="R872" s="144" t="s">
        <v>110</v>
      </c>
      <c r="S872" s="143"/>
      <c r="U872" s="143"/>
      <c r="V872" s="143"/>
      <c r="W872" s="143"/>
      <c r="X872" s="143"/>
      <c r="Y872" s="143"/>
      <c r="Z872" s="143"/>
      <c r="AJ872" s="146"/>
    </row>
    <row r="873" ht="15.75" customHeight="1">
      <c r="M873" s="142"/>
      <c r="N873" s="143"/>
      <c r="O873" s="143"/>
      <c r="P873" s="143"/>
      <c r="Q873" s="143"/>
      <c r="R873" s="144" t="s">
        <v>110</v>
      </c>
      <c r="S873" s="143"/>
      <c r="U873" s="143"/>
      <c r="V873" s="143"/>
      <c r="W873" s="143"/>
      <c r="X873" s="143"/>
      <c r="Y873" s="143"/>
      <c r="Z873" s="143"/>
      <c r="AJ873" s="146"/>
    </row>
    <row r="874" ht="15.75" customHeight="1">
      <c r="M874" s="142"/>
      <c r="N874" s="143"/>
      <c r="O874" s="143"/>
      <c r="P874" s="143"/>
      <c r="Q874" s="143"/>
      <c r="R874" s="144" t="s">
        <v>110</v>
      </c>
      <c r="S874" s="143"/>
      <c r="U874" s="143"/>
      <c r="V874" s="143"/>
      <c r="W874" s="143"/>
      <c r="X874" s="143"/>
      <c r="Y874" s="143"/>
      <c r="Z874" s="143"/>
      <c r="AJ874" s="146"/>
    </row>
    <row r="875" ht="15.75" customHeight="1">
      <c r="M875" s="142"/>
      <c r="N875" s="143"/>
      <c r="O875" s="143"/>
      <c r="P875" s="143"/>
      <c r="Q875" s="143"/>
      <c r="R875" s="144" t="s">
        <v>110</v>
      </c>
      <c r="S875" s="143"/>
      <c r="U875" s="143"/>
      <c r="V875" s="143"/>
      <c r="W875" s="143"/>
      <c r="X875" s="143"/>
      <c r="Y875" s="143"/>
      <c r="Z875" s="143"/>
      <c r="AJ875" s="146"/>
    </row>
    <row r="876" ht="15.75" customHeight="1">
      <c r="M876" s="142"/>
      <c r="N876" s="143"/>
      <c r="O876" s="143"/>
      <c r="P876" s="143"/>
      <c r="Q876" s="143"/>
      <c r="R876" s="144" t="s">
        <v>110</v>
      </c>
      <c r="S876" s="143"/>
      <c r="U876" s="143"/>
      <c r="V876" s="143"/>
      <c r="W876" s="143"/>
      <c r="X876" s="143"/>
      <c r="Y876" s="143"/>
      <c r="Z876" s="143"/>
      <c r="AJ876" s="146"/>
    </row>
    <row r="877" ht="15.75" customHeight="1">
      <c r="M877" s="142"/>
      <c r="N877" s="143"/>
      <c r="O877" s="143"/>
      <c r="P877" s="143"/>
      <c r="Q877" s="143"/>
      <c r="R877" s="144" t="s">
        <v>110</v>
      </c>
      <c r="S877" s="143"/>
      <c r="U877" s="143"/>
      <c r="V877" s="143"/>
      <c r="W877" s="143"/>
      <c r="X877" s="143"/>
      <c r="Y877" s="143"/>
      <c r="Z877" s="143"/>
      <c r="AJ877" s="146"/>
    </row>
    <row r="878" ht="15.75" customHeight="1">
      <c r="M878" s="142"/>
      <c r="N878" s="143"/>
      <c r="O878" s="143"/>
      <c r="P878" s="143"/>
      <c r="Q878" s="143"/>
      <c r="R878" s="144" t="s">
        <v>110</v>
      </c>
      <c r="S878" s="143"/>
      <c r="U878" s="143"/>
      <c r="V878" s="143"/>
      <c r="W878" s="143"/>
      <c r="X878" s="143"/>
      <c r="Y878" s="143"/>
      <c r="Z878" s="143"/>
      <c r="AJ878" s="146"/>
    </row>
    <row r="879" ht="15.75" customHeight="1">
      <c r="M879" s="142"/>
      <c r="N879" s="143"/>
      <c r="O879" s="143"/>
      <c r="P879" s="143"/>
      <c r="Q879" s="143"/>
      <c r="R879" s="144" t="s">
        <v>110</v>
      </c>
      <c r="S879" s="143"/>
      <c r="U879" s="143"/>
      <c r="V879" s="143"/>
      <c r="W879" s="143"/>
      <c r="X879" s="143"/>
      <c r="Y879" s="143"/>
      <c r="Z879" s="143"/>
      <c r="AJ879" s="146"/>
    </row>
    <row r="880" ht="15.75" customHeight="1">
      <c r="M880" s="142"/>
      <c r="N880" s="143"/>
      <c r="O880" s="143"/>
      <c r="P880" s="143"/>
      <c r="Q880" s="143"/>
      <c r="R880" s="144" t="s">
        <v>110</v>
      </c>
      <c r="S880" s="143"/>
      <c r="U880" s="143"/>
      <c r="V880" s="143"/>
      <c r="W880" s="143"/>
      <c r="X880" s="143"/>
      <c r="Y880" s="143"/>
      <c r="Z880" s="143"/>
      <c r="AJ880" s="146"/>
    </row>
    <row r="881" ht="15.75" customHeight="1">
      <c r="M881" s="142"/>
      <c r="N881" s="143"/>
      <c r="O881" s="143"/>
      <c r="P881" s="143"/>
      <c r="Q881" s="143"/>
      <c r="R881" s="144" t="s">
        <v>110</v>
      </c>
      <c r="S881" s="143"/>
      <c r="U881" s="143"/>
      <c r="V881" s="143"/>
      <c r="W881" s="143"/>
      <c r="X881" s="143"/>
      <c r="Y881" s="143"/>
      <c r="Z881" s="143"/>
      <c r="AJ881" s="146"/>
    </row>
    <row r="882" ht="15.75" customHeight="1">
      <c r="M882" s="142"/>
      <c r="N882" s="143"/>
      <c r="O882" s="143"/>
      <c r="P882" s="143"/>
      <c r="Q882" s="143"/>
      <c r="R882" s="144" t="s">
        <v>110</v>
      </c>
      <c r="S882" s="143"/>
      <c r="U882" s="143"/>
      <c r="V882" s="143"/>
      <c r="W882" s="143"/>
      <c r="X882" s="143"/>
      <c r="Y882" s="143"/>
      <c r="Z882" s="143"/>
      <c r="AJ882" s="146"/>
    </row>
    <row r="883" ht="15.75" customHeight="1">
      <c r="M883" s="142"/>
      <c r="N883" s="143"/>
      <c r="O883" s="143"/>
      <c r="P883" s="143"/>
      <c r="Q883" s="143"/>
      <c r="R883" s="144" t="s">
        <v>110</v>
      </c>
      <c r="S883" s="143"/>
      <c r="U883" s="143"/>
      <c r="V883" s="143"/>
      <c r="W883" s="143"/>
      <c r="X883" s="143"/>
      <c r="Y883" s="143"/>
      <c r="Z883" s="143"/>
      <c r="AJ883" s="146"/>
    </row>
    <row r="884" ht="15.75" customHeight="1">
      <c r="M884" s="142"/>
      <c r="N884" s="143"/>
      <c r="O884" s="143"/>
      <c r="P884" s="143"/>
      <c r="Q884" s="143"/>
      <c r="R884" s="144" t="s">
        <v>110</v>
      </c>
      <c r="S884" s="143"/>
      <c r="U884" s="143"/>
      <c r="V884" s="143"/>
      <c r="W884" s="143"/>
      <c r="X884" s="143"/>
      <c r="Y884" s="143"/>
      <c r="Z884" s="143"/>
      <c r="AJ884" s="146"/>
    </row>
    <row r="885" ht="15.75" customHeight="1">
      <c r="M885" s="142"/>
      <c r="N885" s="143"/>
      <c r="O885" s="143"/>
      <c r="P885" s="143"/>
      <c r="Q885" s="143"/>
      <c r="R885" s="144" t="s">
        <v>110</v>
      </c>
      <c r="S885" s="143"/>
      <c r="U885" s="143"/>
      <c r="V885" s="143"/>
      <c r="W885" s="143"/>
      <c r="X885" s="143"/>
      <c r="Y885" s="143"/>
      <c r="Z885" s="143"/>
      <c r="AJ885" s="146"/>
    </row>
    <row r="886" ht="15.75" customHeight="1">
      <c r="M886" s="142"/>
      <c r="N886" s="143"/>
      <c r="O886" s="143"/>
      <c r="P886" s="143"/>
      <c r="Q886" s="143"/>
      <c r="R886" s="144" t="s">
        <v>110</v>
      </c>
      <c r="S886" s="143"/>
      <c r="U886" s="143"/>
      <c r="V886" s="143"/>
      <c r="W886" s="143"/>
      <c r="X886" s="143"/>
      <c r="Y886" s="143"/>
      <c r="Z886" s="143"/>
      <c r="AJ886" s="146"/>
    </row>
    <row r="887" ht="15.75" customHeight="1">
      <c r="M887" s="142"/>
      <c r="N887" s="143"/>
      <c r="O887" s="143"/>
      <c r="P887" s="143"/>
      <c r="Q887" s="143"/>
      <c r="R887" s="144" t="s">
        <v>110</v>
      </c>
      <c r="S887" s="143"/>
      <c r="U887" s="143"/>
      <c r="V887" s="143"/>
      <c r="W887" s="143"/>
      <c r="X887" s="143"/>
      <c r="Y887" s="143"/>
      <c r="Z887" s="143"/>
      <c r="AJ887" s="146"/>
    </row>
    <row r="888" ht="15.75" customHeight="1">
      <c r="M888" s="142"/>
      <c r="N888" s="143"/>
      <c r="O888" s="143"/>
      <c r="P888" s="143"/>
      <c r="Q888" s="143"/>
      <c r="R888" s="144" t="s">
        <v>110</v>
      </c>
      <c r="S888" s="143"/>
      <c r="U888" s="143"/>
      <c r="V888" s="143"/>
      <c r="W888" s="143"/>
      <c r="X888" s="143"/>
      <c r="Y888" s="143"/>
      <c r="Z888" s="143"/>
      <c r="AJ888" s="146"/>
    </row>
    <row r="889" ht="15.75" customHeight="1">
      <c r="M889" s="142"/>
      <c r="N889" s="143"/>
      <c r="O889" s="143"/>
      <c r="P889" s="143"/>
      <c r="Q889" s="143"/>
      <c r="R889" s="144" t="s">
        <v>110</v>
      </c>
      <c r="S889" s="143"/>
      <c r="U889" s="143"/>
      <c r="V889" s="143"/>
      <c r="W889" s="143"/>
      <c r="X889" s="143"/>
      <c r="Y889" s="143"/>
      <c r="Z889" s="143"/>
      <c r="AJ889" s="146"/>
    </row>
    <row r="890" ht="15.75" customHeight="1">
      <c r="M890" s="142"/>
      <c r="N890" s="143"/>
      <c r="O890" s="143"/>
      <c r="P890" s="143"/>
      <c r="Q890" s="143"/>
      <c r="R890" s="144" t="s">
        <v>110</v>
      </c>
      <c r="S890" s="143"/>
      <c r="U890" s="143"/>
      <c r="V890" s="143"/>
      <c r="W890" s="143"/>
      <c r="X890" s="143"/>
      <c r="Y890" s="143"/>
      <c r="Z890" s="143"/>
      <c r="AJ890" s="146"/>
    </row>
    <row r="891" ht="15.75" customHeight="1">
      <c r="M891" s="142"/>
      <c r="N891" s="143"/>
      <c r="O891" s="143"/>
      <c r="P891" s="143"/>
      <c r="Q891" s="143"/>
      <c r="R891" s="144" t="s">
        <v>110</v>
      </c>
      <c r="S891" s="143"/>
      <c r="U891" s="143"/>
      <c r="V891" s="143"/>
      <c r="W891" s="143"/>
      <c r="X891" s="143"/>
      <c r="Y891" s="143"/>
      <c r="Z891" s="143"/>
      <c r="AJ891" s="146"/>
    </row>
    <row r="892" ht="15.75" customHeight="1">
      <c r="M892" s="142"/>
      <c r="N892" s="143"/>
      <c r="O892" s="143"/>
      <c r="P892" s="143"/>
      <c r="Q892" s="143"/>
      <c r="R892" s="144" t="s">
        <v>110</v>
      </c>
      <c r="S892" s="143"/>
      <c r="U892" s="143"/>
      <c r="V892" s="143"/>
      <c r="W892" s="143"/>
      <c r="X892" s="143"/>
      <c r="Y892" s="143"/>
      <c r="Z892" s="143"/>
      <c r="AJ892" s="146"/>
    </row>
    <row r="893" ht="15.75" customHeight="1">
      <c r="M893" s="142"/>
      <c r="N893" s="143"/>
      <c r="O893" s="143"/>
      <c r="P893" s="143"/>
      <c r="Q893" s="143"/>
      <c r="R893" s="144" t="s">
        <v>110</v>
      </c>
      <c r="S893" s="143"/>
      <c r="U893" s="143"/>
      <c r="V893" s="143"/>
      <c r="W893" s="143"/>
      <c r="X893" s="143"/>
      <c r="Y893" s="143"/>
      <c r="Z893" s="143"/>
      <c r="AJ893" s="146"/>
    </row>
    <row r="894" ht="15.75" customHeight="1">
      <c r="M894" s="142"/>
      <c r="N894" s="143"/>
      <c r="O894" s="143"/>
      <c r="P894" s="143"/>
      <c r="Q894" s="143"/>
      <c r="R894" s="144" t="s">
        <v>110</v>
      </c>
      <c r="S894" s="143"/>
      <c r="U894" s="143"/>
      <c r="V894" s="143"/>
      <c r="W894" s="143"/>
      <c r="X894" s="143"/>
      <c r="Y894" s="143"/>
      <c r="Z894" s="143"/>
      <c r="AJ894" s="146"/>
    </row>
    <row r="895" ht="15.75" customHeight="1">
      <c r="M895" s="142"/>
      <c r="N895" s="143"/>
      <c r="O895" s="143"/>
      <c r="P895" s="143"/>
      <c r="Q895" s="143"/>
      <c r="R895" s="144" t="s">
        <v>110</v>
      </c>
      <c r="S895" s="143"/>
      <c r="U895" s="143"/>
      <c r="V895" s="143"/>
      <c r="W895" s="143"/>
      <c r="X895" s="143"/>
      <c r="Y895" s="143"/>
      <c r="Z895" s="143"/>
      <c r="AJ895" s="146"/>
    </row>
    <row r="896" ht="15.75" customHeight="1">
      <c r="M896" s="142"/>
      <c r="N896" s="143"/>
      <c r="O896" s="143"/>
      <c r="P896" s="143"/>
      <c r="Q896" s="143"/>
      <c r="R896" s="144" t="s">
        <v>110</v>
      </c>
      <c r="S896" s="143"/>
      <c r="U896" s="143"/>
      <c r="V896" s="143"/>
      <c r="W896" s="143"/>
      <c r="X896" s="143"/>
      <c r="Y896" s="143"/>
      <c r="Z896" s="143"/>
      <c r="AJ896" s="146"/>
    </row>
    <row r="897" ht="15.75" customHeight="1">
      <c r="M897" s="142"/>
      <c r="N897" s="143"/>
      <c r="O897" s="143"/>
      <c r="P897" s="143"/>
      <c r="Q897" s="143"/>
      <c r="R897" s="144" t="s">
        <v>110</v>
      </c>
      <c r="S897" s="143"/>
      <c r="U897" s="143"/>
      <c r="V897" s="143"/>
      <c r="W897" s="143"/>
      <c r="X897" s="143"/>
      <c r="Y897" s="143"/>
      <c r="Z897" s="143"/>
      <c r="AJ897" s="146"/>
    </row>
    <row r="898" ht="15.75" customHeight="1">
      <c r="M898" s="142"/>
      <c r="N898" s="143"/>
      <c r="O898" s="143"/>
      <c r="P898" s="143"/>
      <c r="Q898" s="143"/>
      <c r="R898" s="144" t="s">
        <v>110</v>
      </c>
      <c r="S898" s="143"/>
      <c r="U898" s="143"/>
      <c r="V898" s="143"/>
      <c r="W898" s="143"/>
      <c r="X898" s="143"/>
      <c r="Y898" s="143"/>
      <c r="Z898" s="143"/>
      <c r="AJ898" s="146"/>
    </row>
    <row r="899" ht="15.75" customHeight="1">
      <c r="M899" s="142"/>
      <c r="N899" s="143"/>
      <c r="O899" s="143"/>
      <c r="P899" s="143"/>
      <c r="Q899" s="143"/>
      <c r="R899" s="144" t="s">
        <v>110</v>
      </c>
      <c r="S899" s="143"/>
      <c r="U899" s="143"/>
      <c r="V899" s="143"/>
      <c r="W899" s="143"/>
      <c r="X899" s="143"/>
      <c r="Y899" s="143"/>
      <c r="Z899" s="143"/>
      <c r="AJ899" s="146"/>
    </row>
    <row r="900" ht="15.75" customHeight="1">
      <c r="M900" s="142"/>
      <c r="N900" s="143"/>
      <c r="O900" s="143"/>
      <c r="P900" s="143"/>
      <c r="Q900" s="143"/>
      <c r="R900" s="144" t="s">
        <v>110</v>
      </c>
      <c r="S900" s="143"/>
      <c r="U900" s="143"/>
      <c r="V900" s="143"/>
      <c r="W900" s="143"/>
      <c r="X900" s="143"/>
      <c r="Y900" s="143"/>
      <c r="Z900" s="143"/>
      <c r="AJ900" s="146"/>
    </row>
    <row r="901" ht="15.75" customHeight="1">
      <c r="M901" s="142"/>
      <c r="N901" s="143"/>
      <c r="O901" s="143"/>
      <c r="P901" s="143"/>
      <c r="Q901" s="143"/>
      <c r="R901" s="144" t="s">
        <v>110</v>
      </c>
      <c r="S901" s="143"/>
      <c r="U901" s="143"/>
      <c r="V901" s="143"/>
      <c r="W901" s="143"/>
      <c r="X901" s="143"/>
      <c r="Y901" s="143"/>
      <c r="Z901" s="143"/>
      <c r="AJ901" s="146"/>
    </row>
    <row r="902" ht="15.75" customHeight="1">
      <c r="M902" s="142"/>
      <c r="N902" s="143"/>
      <c r="O902" s="143"/>
      <c r="P902" s="143"/>
      <c r="Q902" s="143"/>
      <c r="R902" s="144" t="s">
        <v>110</v>
      </c>
      <c r="S902" s="143"/>
      <c r="U902" s="143"/>
      <c r="V902" s="143"/>
      <c r="W902" s="143"/>
      <c r="X902" s="143"/>
      <c r="Y902" s="143"/>
      <c r="Z902" s="143"/>
      <c r="AJ902" s="146"/>
    </row>
    <row r="903" ht="15.75" customHeight="1">
      <c r="M903" s="142"/>
      <c r="N903" s="143"/>
      <c r="O903" s="143"/>
      <c r="P903" s="143"/>
      <c r="Q903" s="143"/>
      <c r="R903" s="144" t="s">
        <v>110</v>
      </c>
      <c r="S903" s="143"/>
      <c r="U903" s="143"/>
      <c r="V903" s="143"/>
      <c r="W903" s="143"/>
      <c r="X903" s="143"/>
      <c r="Y903" s="143"/>
      <c r="Z903" s="143"/>
      <c r="AJ903" s="146"/>
    </row>
    <row r="904" ht="15.75" customHeight="1">
      <c r="M904" s="142"/>
      <c r="N904" s="143"/>
      <c r="O904" s="143"/>
      <c r="P904" s="143"/>
      <c r="Q904" s="143"/>
      <c r="R904" s="144" t="s">
        <v>110</v>
      </c>
      <c r="S904" s="143"/>
      <c r="U904" s="143"/>
      <c r="V904" s="143"/>
      <c r="W904" s="143"/>
      <c r="X904" s="143"/>
      <c r="Y904" s="143"/>
      <c r="Z904" s="143"/>
      <c r="AJ904" s="146"/>
    </row>
    <row r="905" ht="15.75" customHeight="1">
      <c r="M905" s="142"/>
      <c r="N905" s="143"/>
      <c r="O905" s="143"/>
      <c r="P905" s="143"/>
      <c r="Q905" s="143"/>
      <c r="R905" s="144" t="s">
        <v>110</v>
      </c>
      <c r="S905" s="143"/>
      <c r="U905" s="143"/>
      <c r="V905" s="143"/>
      <c r="W905" s="143"/>
      <c r="X905" s="143"/>
      <c r="Y905" s="143"/>
      <c r="Z905" s="143"/>
      <c r="AJ905" s="146"/>
    </row>
    <row r="906" ht="15.75" customHeight="1">
      <c r="M906" s="142"/>
      <c r="N906" s="143"/>
      <c r="O906" s="143"/>
      <c r="P906" s="143"/>
      <c r="Q906" s="143"/>
      <c r="R906" s="144" t="s">
        <v>110</v>
      </c>
      <c r="S906" s="143"/>
      <c r="U906" s="143"/>
      <c r="V906" s="143"/>
      <c r="W906" s="143"/>
      <c r="X906" s="143"/>
      <c r="Y906" s="143"/>
      <c r="Z906" s="143"/>
      <c r="AJ906" s="146"/>
    </row>
    <row r="907" ht="15.75" customHeight="1">
      <c r="M907" s="142"/>
      <c r="N907" s="143"/>
      <c r="O907" s="143"/>
      <c r="P907" s="143"/>
      <c r="Q907" s="143"/>
      <c r="R907" s="144" t="s">
        <v>110</v>
      </c>
      <c r="S907" s="143"/>
      <c r="U907" s="143"/>
      <c r="V907" s="143"/>
      <c r="W907" s="143"/>
      <c r="X907" s="143"/>
      <c r="Y907" s="143"/>
      <c r="Z907" s="143"/>
      <c r="AJ907" s="146"/>
    </row>
    <row r="908" ht="15.75" customHeight="1">
      <c r="M908" s="142"/>
      <c r="N908" s="143"/>
      <c r="O908" s="143"/>
      <c r="P908" s="143"/>
      <c r="Q908" s="143"/>
      <c r="R908" s="144" t="s">
        <v>110</v>
      </c>
      <c r="S908" s="143"/>
      <c r="U908" s="143"/>
      <c r="V908" s="143"/>
      <c r="W908" s="143"/>
      <c r="X908" s="143"/>
      <c r="Y908" s="143"/>
      <c r="Z908" s="143"/>
      <c r="AJ908" s="146"/>
    </row>
    <row r="909" ht="15.75" customHeight="1">
      <c r="M909" s="142"/>
      <c r="N909" s="143"/>
      <c r="O909" s="143"/>
      <c r="P909" s="143"/>
      <c r="Q909" s="143"/>
      <c r="R909" s="144" t="s">
        <v>110</v>
      </c>
      <c r="S909" s="143"/>
      <c r="U909" s="143"/>
      <c r="V909" s="143"/>
      <c r="W909" s="143"/>
      <c r="X909" s="143"/>
      <c r="Y909" s="143"/>
      <c r="Z909" s="143"/>
      <c r="AJ909" s="146"/>
    </row>
    <row r="910" ht="15.75" customHeight="1">
      <c r="M910" s="142"/>
      <c r="N910" s="143"/>
      <c r="O910" s="143"/>
      <c r="P910" s="143"/>
      <c r="Q910" s="143"/>
      <c r="R910" s="144" t="s">
        <v>110</v>
      </c>
      <c r="S910" s="143"/>
      <c r="U910" s="143"/>
      <c r="V910" s="143"/>
      <c r="W910" s="143"/>
      <c r="X910" s="143"/>
      <c r="Y910" s="143"/>
      <c r="Z910" s="143"/>
      <c r="AJ910" s="146"/>
    </row>
    <row r="911" ht="15.75" customHeight="1">
      <c r="M911" s="142"/>
      <c r="N911" s="143"/>
      <c r="O911" s="143"/>
      <c r="P911" s="143"/>
      <c r="Q911" s="143"/>
      <c r="R911" s="144" t="s">
        <v>110</v>
      </c>
      <c r="S911" s="143"/>
      <c r="U911" s="143"/>
      <c r="V911" s="143"/>
      <c r="W911" s="143"/>
      <c r="X911" s="143"/>
      <c r="Y911" s="143"/>
      <c r="Z911" s="143"/>
      <c r="AJ911" s="146"/>
    </row>
    <row r="912" ht="15.75" customHeight="1">
      <c r="M912" s="142"/>
      <c r="N912" s="143"/>
      <c r="O912" s="143"/>
      <c r="P912" s="143"/>
      <c r="Q912" s="143"/>
      <c r="R912" s="144" t="s">
        <v>110</v>
      </c>
      <c r="S912" s="143"/>
      <c r="U912" s="143"/>
      <c r="V912" s="143"/>
      <c r="W912" s="143"/>
      <c r="X912" s="143"/>
      <c r="Y912" s="143"/>
      <c r="Z912" s="143"/>
      <c r="AJ912" s="146"/>
    </row>
    <row r="913" ht="15.75" customHeight="1">
      <c r="M913" s="142"/>
      <c r="N913" s="143"/>
      <c r="O913" s="143"/>
      <c r="P913" s="143"/>
      <c r="Q913" s="143"/>
      <c r="R913" s="144" t="s">
        <v>110</v>
      </c>
      <c r="S913" s="143"/>
      <c r="U913" s="143"/>
      <c r="V913" s="143"/>
      <c r="W913" s="143"/>
      <c r="X913" s="143"/>
      <c r="Y913" s="143"/>
      <c r="Z913" s="143"/>
      <c r="AJ913" s="146"/>
    </row>
    <row r="914" ht="15.75" customHeight="1">
      <c r="M914" s="142"/>
      <c r="N914" s="143"/>
      <c r="O914" s="143"/>
      <c r="P914" s="143"/>
      <c r="Q914" s="143"/>
      <c r="R914" s="144" t="s">
        <v>110</v>
      </c>
      <c r="S914" s="143"/>
      <c r="U914" s="143"/>
      <c r="V914" s="143"/>
      <c r="W914" s="143"/>
      <c r="X914" s="143"/>
      <c r="Y914" s="143"/>
      <c r="Z914" s="143"/>
      <c r="AJ914" s="146"/>
    </row>
    <row r="915" ht="15.75" customHeight="1">
      <c r="M915" s="142"/>
      <c r="N915" s="143"/>
      <c r="O915" s="143"/>
      <c r="P915" s="143"/>
      <c r="Q915" s="143"/>
      <c r="R915" s="144" t="s">
        <v>110</v>
      </c>
      <c r="S915" s="143"/>
      <c r="U915" s="143"/>
      <c r="V915" s="143"/>
      <c r="W915" s="143"/>
      <c r="X915" s="143"/>
      <c r="Y915" s="143"/>
      <c r="Z915" s="143"/>
      <c r="AJ915" s="146"/>
    </row>
    <row r="916" ht="15.75" customHeight="1">
      <c r="M916" s="142"/>
      <c r="N916" s="143"/>
      <c r="O916" s="143"/>
      <c r="P916" s="143"/>
      <c r="Q916" s="143"/>
      <c r="R916" s="144" t="s">
        <v>110</v>
      </c>
      <c r="S916" s="143"/>
      <c r="U916" s="143"/>
      <c r="V916" s="143"/>
      <c r="W916" s="143"/>
      <c r="X916" s="143"/>
      <c r="Y916" s="143"/>
      <c r="Z916" s="143"/>
      <c r="AJ916" s="146"/>
    </row>
    <row r="917" ht="15.75" customHeight="1">
      <c r="M917" s="142"/>
      <c r="N917" s="143"/>
      <c r="O917" s="143"/>
      <c r="P917" s="143"/>
      <c r="Q917" s="143"/>
      <c r="R917" s="144" t="s">
        <v>110</v>
      </c>
      <c r="S917" s="143"/>
      <c r="U917" s="143"/>
      <c r="V917" s="143"/>
      <c r="W917" s="143"/>
      <c r="X917" s="143"/>
      <c r="Y917" s="143"/>
      <c r="Z917" s="143"/>
      <c r="AJ917" s="146"/>
    </row>
    <row r="918" ht="15.75" customHeight="1">
      <c r="M918" s="142"/>
      <c r="N918" s="143"/>
      <c r="O918" s="143"/>
      <c r="P918" s="143"/>
      <c r="Q918" s="143"/>
      <c r="R918" s="144" t="s">
        <v>110</v>
      </c>
      <c r="S918" s="143"/>
      <c r="U918" s="143"/>
      <c r="V918" s="143"/>
      <c r="W918" s="143"/>
      <c r="X918" s="143"/>
      <c r="Y918" s="143"/>
      <c r="Z918" s="143"/>
      <c r="AJ918" s="146"/>
    </row>
    <row r="919" ht="15.75" customHeight="1">
      <c r="M919" s="142"/>
      <c r="N919" s="143"/>
      <c r="O919" s="143"/>
      <c r="P919" s="143"/>
      <c r="Q919" s="143"/>
      <c r="R919" s="144" t="s">
        <v>110</v>
      </c>
      <c r="S919" s="143"/>
      <c r="U919" s="143"/>
      <c r="V919" s="143"/>
      <c r="W919" s="143"/>
      <c r="X919" s="143"/>
      <c r="Y919" s="143"/>
      <c r="Z919" s="143"/>
      <c r="AJ919" s="146"/>
    </row>
    <row r="920" ht="15.75" customHeight="1">
      <c r="M920" s="142"/>
      <c r="N920" s="143"/>
      <c r="O920" s="143"/>
      <c r="P920" s="143"/>
      <c r="Q920" s="143"/>
      <c r="R920" s="144" t="s">
        <v>110</v>
      </c>
      <c r="S920" s="143"/>
      <c r="U920" s="143"/>
      <c r="V920" s="143"/>
      <c r="W920" s="143"/>
      <c r="X920" s="143"/>
      <c r="Y920" s="143"/>
      <c r="Z920" s="143"/>
      <c r="AJ920" s="146"/>
    </row>
    <row r="921" ht="15.75" customHeight="1">
      <c r="M921" s="142"/>
      <c r="N921" s="143"/>
      <c r="O921" s="143"/>
      <c r="P921" s="143"/>
      <c r="Q921" s="143"/>
      <c r="R921" s="144" t="s">
        <v>110</v>
      </c>
      <c r="S921" s="143"/>
      <c r="U921" s="143"/>
      <c r="V921" s="143"/>
      <c r="W921" s="143"/>
      <c r="X921" s="143"/>
      <c r="Y921" s="143"/>
      <c r="Z921" s="143"/>
      <c r="AJ921" s="146"/>
    </row>
    <row r="922" ht="15.75" customHeight="1">
      <c r="M922" s="142"/>
      <c r="N922" s="143"/>
      <c r="O922" s="143"/>
      <c r="P922" s="143"/>
      <c r="Q922" s="143"/>
      <c r="R922" s="144" t="s">
        <v>110</v>
      </c>
      <c r="S922" s="143"/>
      <c r="U922" s="143"/>
      <c r="V922" s="143"/>
      <c r="W922" s="143"/>
      <c r="X922" s="143"/>
      <c r="Y922" s="143"/>
      <c r="Z922" s="143"/>
      <c r="AJ922" s="146"/>
    </row>
    <row r="923" ht="15.75" customHeight="1">
      <c r="M923" s="142"/>
      <c r="N923" s="143"/>
      <c r="O923" s="143"/>
      <c r="P923" s="143"/>
      <c r="Q923" s="143"/>
      <c r="R923" s="144" t="s">
        <v>110</v>
      </c>
      <c r="S923" s="143"/>
      <c r="U923" s="143"/>
      <c r="V923" s="143"/>
      <c r="W923" s="143"/>
      <c r="X923" s="143"/>
      <c r="Y923" s="143"/>
      <c r="Z923" s="143"/>
      <c r="AJ923" s="146"/>
    </row>
    <row r="924" ht="15.75" customHeight="1">
      <c r="M924" s="142"/>
      <c r="N924" s="143"/>
      <c r="O924" s="143"/>
      <c r="P924" s="143"/>
      <c r="Q924" s="143"/>
      <c r="R924" s="144" t="s">
        <v>110</v>
      </c>
      <c r="S924" s="143"/>
      <c r="U924" s="143"/>
      <c r="V924" s="143"/>
      <c r="W924" s="143"/>
      <c r="X924" s="143"/>
      <c r="Y924" s="143"/>
      <c r="Z924" s="143"/>
      <c r="AJ924" s="146"/>
    </row>
    <row r="925" ht="15.75" customHeight="1">
      <c r="M925" s="142"/>
      <c r="N925" s="143"/>
      <c r="O925" s="143"/>
      <c r="P925" s="143"/>
      <c r="Q925" s="143"/>
      <c r="R925" s="144" t="s">
        <v>110</v>
      </c>
      <c r="S925" s="143"/>
      <c r="U925" s="143"/>
      <c r="V925" s="143"/>
      <c r="W925" s="143"/>
      <c r="X925" s="143"/>
      <c r="Y925" s="143"/>
      <c r="Z925" s="143"/>
      <c r="AJ925" s="146"/>
    </row>
    <row r="926" ht="15.75" customHeight="1">
      <c r="M926" s="142"/>
      <c r="N926" s="143"/>
      <c r="O926" s="143"/>
      <c r="P926" s="143"/>
      <c r="Q926" s="143"/>
      <c r="R926" s="144" t="s">
        <v>110</v>
      </c>
      <c r="S926" s="143"/>
      <c r="U926" s="143"/>
      <c r="V926" s="143"/>
      <c r="W926" s="143"/>
      <c r="X926" s="143"/>
      <c r="Y926" s="143"/>
      <c r="Z926" s="143"/>
      <c r="AJ926" s="146"/>
    </row>
    <row r="927" ht="15.75" customHeight="1">
      <c r="M927" s="142"/>
      <c r="N927" s="143"/>
      <c r="O927" s="143"/>
      <c r="P927" s="143"/>
      <c r="Q927" s="143"/>
      <c r="R927" s="144" t="s">
        <v>110</v>
      </c>
      <c r="S927" s="143"/>
      <c r="U927" s="143"/>
      <c r="V927" s="143"/>
      <c r="W927" s="143"/>
      <c r="X927" s="143"/>
      <c r="Y927" s="143"/>
      <c r="Z927" s="143"/>
      <c r="AJ927" s="146"/>
    </row>
    <row r="928" ht="15.75" customHeight="1">
      <c r="M928" s="142"/>
      <c r="N928" s="143"/>
      <c r="O928" s="143"/>
      <c r="P928" s="143"/>
      <c r="Q928" s="143"/>
      <c r="R928" s="144" t="s">
        <v>110</v>
      </c>
      <c r="S928" s="143"/>
      <c r="U928" s="143"/>
      <c r="V928" s="143"/>
      <c r="W928" s="143"/>
      <c r="X928" s="143"/>
      <c r="Y928" s="143"/>
      <c r="Z928" s="143"/>
      <c r="AJ928" s="146"/>
    </row>
    <row r="929" ht="15.75" customHeight="1">
      <c r="M929" s="142"/>
      <c r="N929" s="143"/>
      <c r="O929" s="143"/>
      <c r="P929" s="143"/>
      <c r="Q929" s="143"/>
      <c r="R929" s="144" t="s">
        <v>110</v>
      </c>
      <c r="S929" s="143"/>
      <c r="U929" s="143"/>
      <c r="V929" s="143"/>
      <c r="W929" s="143"/>
      <c r="X929" s="143"/>
      <c r="Y929" s="143"/>
      <c r="Z929" s="143"/>
      <c r="AJ929" s="146"/>
    </row>
    <row r="930" ht="15.75" customHeight="1">
      <c r="M930" s="142"/>
      <c r="N930" s="143"/>
      <c r="O930" s="143"/>
      <c r="P930" s="143"/>
      <c r="Q930" s="143"/>
      <c r="R930" s="144" t="s">
        <v>110</v>
      </c>
      <c r="S930" s="143"/>
      <c r="U930" s="143"/>
      <c r="V930" s="143"/>
      <c r="W930" s="143"/>
      <c r="X930" s="143"/>
      <c r="Y930" s="143"/>
      <c r="Z930" s="143"/>
      <c r="AJ930" s="146"/>
    </row>
    <row r="931" ht="15.75" customHeight="1">
      <c r="M931" s="142"/>
      <c r="N931" s="143"/>
      <c r="O931" s="143"/>
      <c r="P931" s="143"/>
      <c r="Q931" s="143"/>
      <c r="R931" s="144" t="s">
        <v>110</v>
      </c>
      <c r="S931" s="143"/>
      <c r="U931" s="143"/>
      <c r="V931" s="143"/>
      <c r="W931" s="143"/>
      <c r="X931" s="143"/>
      <c r="Y931" s="143"/>
      <c r="Z931" s="143"/>
      <c r="AJ931" s="146"/>
    </row>
    <row r="932" ht="15.75" customHeight="1">
      <c r="M932" s="142"/>
      <c r="N932" s="143"/>
      <c r="O932" s="143"/>
      <c r="P932" s="143"/>
      <c r="Q932" s="143"/>
      <c r="R932" s="144" t="s">
        <v>110</v>
      </c>
      <c r="S932" s="143"/>
      <c r="U932" s="143"/>
      <c r="V932" s="143"/>
      <c r="W932" s="143"/>
      <c r="X932" s="143"/>
      <c r="Y932" s="143"/>
      <c r="Z932" s="143"/>
      <c r="AJ932" s="146"/>
    </row>
    <row r="933" ht="15.75" customHeight="1">
      <c r="M933" s="142"/>
      <c r="N933" s="143"/>
      <c r="O933" s="143"/>
      <c r="P933" s="143"/>
      <c r="Q933" s="143"/>
      <c r="R933" s="144" t="s">
        <v>110</v>
      </c>
      <c r="S933" s="143"/>
      <c r="U933" s="143"/>
      <c r="V933" s="143"/>
      <c r="W933" s="143"/>
      <c r="X933" s="143"/>
      <c r="Y933" s="143"/>
      <c r="Z933" s="143"/>
      <c r="AJ933" s="146"/>
    </row>
    <row r="934" ht="15.75" customHeight="1">
      <c r="M934" s="142"/>
      <c r="N934" s="143"/>
      <c r="O934" s="143"/>
      <c r="P934" s="143"/>
      <c r="Q934" s="143"/>
      <c r="R934" s="144" t="s">
        <v>110</v>
      </c>
      <c r="S934" s="143"/>
      <c r="U934" s="143"/>
      <c r="V934" s="143"/>
      <c r="W934" s="143"/>
      <c r="X934" s="143"/>
      <c r="Y934" s="143"/>
      <c r="Z934" s="143"/>
      <c r="AJ934" s="146"/>
    </row>
    <row r="935" ht="15.75" customHeight="1">
      <c r="M935" s="142"/>
      <c r="N935" s="143"/>
      <c r="O935" s="143"/>
      <c r="P935" s="143"/>
      <c r="Q935" s="143"/>
      <c r="R935" s="144" t="s">
        <v>110</v>
      </c>
      <c r="S935" s="143"/>
      <c r="U935" s="143"/>
      <c r="V935" s="143"/>
      <c r="W935" s="143"/>
      <c r="X935" s="143"/>
      <c r="Y935" s="143"/>
      <c r="Z935" s="143"/>
      <c r="AJ935" s="146"/>
    </row>
    <row r="936" ht="15.75" customHeight="1">
      <c r="M936" s="142"/>
      <c r="N936" s="143"/>
      <c r="O936" s="143"/>
      <c r="P936" s="143"/>
      <c r="Q936" s="143"/>
      <c r="R936" s="144" t="s">
        <v>110</v>
      </c>
      <c r="S936" s="143"/>
      <c r="U936" s="143"/>
      <c r="V936" s="143"/>
      <c r="W936" s="143"/>
      <c r="X936" s="143"/>
      <c r="Y936" s="143"/>
      <c r="Z936" s="143"/>
      <c r="AJ936" s="146"/>
    </row>
    <row r="937" ht="15.75" customHeight="1">
      <c r="M937" s="142"/>
      <c r="N937" s="143"/>
      <c r="O937" s="143"/>
      <c r="P937" s="143"/>
      <c r="Q937" s="143"/>
      <c r="R937" s="144" t="s">
        <v>110</v>
      </c>
      <c r="S937" s="143"/>
      <c r="U937" s="143"/>
      <c r="V937" s="143"/>
      <c r="W937" s="143"/>
      <c r="X937" s="143"/>
      <c r="Y937" s="143"/>
      <c r="Z937" s="143"/>
      <c r="AJ937" s="146"/>
    </row>
    <row r="938" ht="15.75" customHeight="1">
      <c r="M938" s="142"/>
      <c r="N938" s="143"/>
      <c r="O938" s="143"/>
      <c r="P938" s="143"/>
      <c r="Q938" s="143"/>
      <c r="R938" s="144" t="s">
        <v>110</v>
      </c>
      <c r="S938" s="143"/>
      <c r="U938" s="143"/>
      <c r="V938" s="143"/>
      <c r="W938" s="143"/>
      <c r="X938" s="143"/>
      <c r="Y938" s="143"/>
      <c r="Z938" s="143"/>
      <c r="AJ938" s="146"/>
    </row>
    <row r="939" ht="15.75" customHeight="1">
      <c r="M939" s="142"/>
      <c r="N939" s="143"/>
      <c r="O939" s="143"/>
      <c r="P939" s="143"/>
      <c r="Q939" s="143"/>
      <c r="R939" s="144" t="s">
        <v>110</v>
      </c>
      <c r="S939" s="143"/>
      <c r="U939" s="143"/>
      <c r="V939" s="143"/>
      <c r="W939" s="143"/>
      <c r="X939" s="143"/>
      <c r="Y939" s="143"/>
      <c r="Z939" s="143"/>
      <c r="AJ939" s="146"/>
    </row>
    <row r="940" ht="15.75" customHeight="1">
      <c r="M940" s="142"/>
      <c r="N940" s="143"/>
      <c r="O940" s="143"/>
      <c r="P940" s="143"/>
      <c r="Q940" s="143"/>
      <c r="R940" s="144" t="s">
        <v>110</v>
      </c>
      <c r="S940" s="143"/>
      <c r="U940" s="143"/>
      <c r="V940" s="143"/>
      <c r="W940" s="143"/>
      <c r="X940" s="143"/>
      <c r="Y940" s="143"/>
      <c r="Z940" s="143"/>
      <c r="AJ940" s="146"/>
    </row>
    <row r="941" ht="15.75" customHeight="1">
      <c r="M941" s="142"/>
      <c r="N941" s="143"/>
      <c r="O941" s="143"/>
      <c r="P941" s="143"/>
      <c r="Q941" s="143"/>
      <c r="R941" s="144" t="s">
        <v>110</v>
      </c>
      <c r="S941" s="143"/>
      <c r="U941" s="143"/>
      <c r="V941" s="143"/>
      <c r="W941" s="143"/>
      <c r="X941" s="143"/>
      <c r="Y941" s="143"/>
      <c r="Z941" s="143"/>
      <c r="AJ941" s="146"/>
    </row>
    <row r="942" ht="15.75" customHeight="1">
      <c r="M942" s="142"/>
      <c r="N942" s="143"/>
      <c r="O942" s="143"/>
      <c r="P942" s="143"/>
      <c r="Q942" s="143"/>
      <c r="R942" s="144" t="s">
        <v>110</v>
      </c>
      <c r="S942" s="143"/>
      <c r="U942" s="143"/>
      <c r="V942" s="143"/>
      <c r="W942" s="143"/>
      <c r="X942" s="143"/>
      <c r="Y942" s="143"/>
      <c r="Z942" s="143"/>
      <c r="AJ942" s="146"/>
    </row>
    <row r="943" ht="15.75" customHeight="1">
      <c r="M943" s="142"/>
      <c r="N943" s="143"/>
      <c r="O943" s="143"/>
      <c r="P943" s="143"/>
      <c r="Q943" s="143"/>
      <c r="R943" s="144" t="s">
        <v>110</v>
      </c>
      <c r="S943" s="143"/>
      <c r="U943" s="143"/>
      <c r="V943" s="143"/>
      <c r="W943" s="143"/>
      <c r="X943" s="143"/>
      <c r="Y943" s="143"/>
      <c r="Z943" s="143"/>
      <c r="AJ943" s="146"/>
    </row>
    <row r="944" ht="15.75" customHeight="1">
      <c r="M944" s="142"/>
      <c r="N944" s="143"/>
      <c r="O944" s="143"/>
      <c r="P944" s="143"/>
      <c r="Q944" s="143"/>
      <c r="R944" s="144" t="s">
        <v>110</v>
      </c>
      <c r="S944" s="143"/>
      <c r="U944" s="143"/>
      <c r="V944" s="143"/>
      <c r="W944" s="143"/>
      <c r="X944" s="143"/>
      <c r="Y944" s="143"/>
      <c r="Z944" s="143"/>
      <c r="AJ944" s="146"/>
    </row>
    <row r="945" ht="15.75" customHeight="1">
      <c r="M945" s="142"/>
      <c r="N945" s="143"/>
      <c r="O945" s="143"/>
      <c r="P945" s="143"/>
      <c r="Q945" s="143"/>
      <c r="R945" s="144" t="s">
        <v>110</v>
      </c>
      <c r="S945" s="143"/>
      <c r="U945" s="143"/>
      <c r="V945" s="143"/>
      <c r="W945" s="143"/>
      <c r="X945" s="143"/>
      <c r="Y945" s="143"/>
      <c r="Z945" s="143"/>
      <c r="AJ945" s="146"/>
    </row>
    <row r="946" ht="15.75" customHeight="1">
      <c r="M946" s="142"/>
      <c r="N946" s="143"/>
      <c r="O946" s="143"/>
      <c r="P946" s="143"/>
      <c r="Q946" s="143"/>
      <c r="R946" s="144" t="s">
        <v>110</v>
      </c>
      <c r="S946" s="143"/>
      <c r="U946" s="143"/>
      <c r="V946" s="143"/>
      <c r="W946" s="143"/>
      <c r="X946" s="143"/>
      <c r="Y946" s="143"/>
      <c r="Z946" s="143"/>
      <c r="AJ946" s="146"/>
    </row>
    <row r="947" ht="15.75" customHeight="1">
      <c r="M947" s="142"/>
      <c r="N947" s="143"/>
      <c r="O947" s="143"/>
      <c r="P947" s="143"/>
      <c r="Q947" s="143"/>
      <c r="R947" s="144" t="s">
        <v>110</v>
      </c>
      <c r="S947" s="143"/>
      <c r="U947" s="143"/>
      <c r="V947" s="143"/>
      <c r="W947" s="143"/>
      <c r="X947" s="143"/>
      <c r="Y947" s="143"/>
      <c r="Z947" s="143"/>
      <c r="AJ947" s="146"/>
    </row>
    <row r="948" ht="15.75" customHeight="1">
      <c r="M948" s="142"/>
      <c r="N948" s="143"/>
      <c r="O948" s="143"/>
      <c r="P948" s="143"/>
      <c r="Q948" s="143"/>
      <c r="R948" s="144" t="s">
        <v>110</v>
      </c>
      <c r="S948" s="143"/>
      <c r="U948" s="143"/>
      <c r="V948" s="143"/>
      <c r="W948" s="143"/>
      <c r="X948" s="143"/>
      <c r="Y948" s="143"/>
      <c r="Z948" s="143"/>
      <c r="AJ948" s="146"/>
    </row>
    <row r="949" ht="15.75" customHeight="1">
      <c r="M949" s="142"/>
      <c r="N949" s="143"/>
      <c r="O949" s="143"/>
      <c r="P949" s="143"/>
      <c r="Q949" s="143"/>
      <c r="R949" s="144" t="s">
        <v>110</v>
      </c>
      <c r="S949" s="143"/>
      <c r="U949" s="143"/>
      <c r="V949" s="143"/>
      <c r="W949" s="143"/>
      <c r="X949" s="143"/>
      <c r="Y949" s="143"/>
      <c r="Z949" s="143"/>
      <c r="AJ949" s="146"/>
    </row>
    <row r="950" ht="15.75" customHeight="1">
      <c r="M950" s="142"/>
      <c r="N950" s="143"/>
      <c r="O950" s="143"/>
      <c r="P950" s="143"/>
      <c r="Q950" s="143"/>
      <c r="R950" s="144" t="s">
        <v>110</v>
      </c>
      <c r="S950" s="143"/>
      <c r="U950" s="143"/>
      <c r="V950" s="143"/>
      <c r="W950" s="143"/>
      <c r="X950" s="143"/>
      <c r="Y950" s="143"/>
      <c r="Z950" s="143"/>
      <c r="AJ950" s="146"/>
    </row>
    <row r="951" ht="15.75" customHeight="1">
      <c r="M951" s="142"/>
      <c r="N951" s="143"/>
      <c r="O951" s="143"/>
      <c r="P951" s="143"/>
      <c r="Q951" s="143"/>
      <c r="R951" s="144" t="s">
        <v>110</v>
      </c>
      <c r="S951" s="143"/>
      <c r="U951" s="143"/>
      <c r="V951" s="143"/>
      <c r="W951" s="143"/>
      <c r="X951" s="143"/>
      <c r="Y951" s="143"/>
      <c r="Z951" s="143"/>
      <c r="AJ951" s="146"/>
    </row>
    <row r="952" ht="15.75" customHeight="1">
      <c r="M952" s="142"/>
      <c r="N952" s="143"/>
      <c r="O952" s="143"/>
      <c r="P952" s="143"/>
      <c r="Q952" s="143"/>
      <c r="R952" s="144" t="s">
        <v>110</v>
      </c>
      <c r="S952" s="143"/>
      <c r="U952" s="143"/>
      <c r="V952" s="143"/>
      <c r="W952" s="143"/>
      <c r="X952" s="143"/>
      <c r="Y952" s="143"/>
      <c r="Z952" s="143"/>
      <c r="AJ952" s="146"/>
    </row>
    <row r="953" ht="15.75" customHeight="1">
      <c r="M953" s="142"/>
      <c r="N953" s="143"/>
      <c r="O953" s="143"/>
      <c r="P953" s="143"/>
      <c r="Q953" s="143"/>
      <c r="R953" s="144" t="s">
        <v>110</v>
      </c>
      <c r="S953" s="143"/>
      <c r="U953" s="143"/>
      <c r="V953" s="143"/>
      <c r="W953" s="143"/>
      <c r="X953" s="143"/>
      <c r="Y953" s="143"/>
      <c r="Z953" s="143"/>
      <c r="AJ953" s="146"/>
    </row>
    <row r="954" ht="15.75" customHeight="1">
      <c r="M954" s="142"/>
      <c r="N954" s="143"/>
      <c r="O954" s="143"/>
      <c r="P954" s="143"/>
      <c r="Q954" s="143"/>
      <c r="R954" s="144" t="s">
        <v>110</v>
      </c>
      <c r="S954" s="143"/>
      <c r="U954" s="143"/>
      <c r="V954" s="143"/>
      <c r="W954" s="143"/>
      <c r="X954" s="143"/>
      <c r="Y954" s="143"/>
      <c r="Z954" s="143"/>
      <c r="AJ954" s="146"/>
    </row>
    <row r="955" ht="15.75" customHeight="1">
      <c r="M955" s="142"/>
      <c r="N955" s="143"/>
      <c r="O955" s="143"/>
      <c r="P955" s="143"/>
      <c r="Q955" s="143"/>
      <c r="R955" s="144" t="s">
        <v>110</v>
      </c>
      <c r="S955" s="143"/>
      <c r="U955" s="143"/>
      <c r="V955" s="143"/>
      <c r="W955" s="143"/>
      <c r="X955" s="143"/>
      <c r="Y955" s="143"/>
      <c r="Z955" s="143"/>
      <c r="AJ955" s="146"/>
    </row>
    <row r="956" ht="15.75" customHeight="1">
      <c r="M956" s="142"/>
      <c r="N956" s="143"/>
      <c r="O956" s="143"/>
      <c r="P956" s="143"/>
      <c r="Q956" s="143"/>
      <c r="R956" s="144" t="s">
        <v>110</v>
      </c>
      <c r="S956" s="143"/>
      <c r="U956" s="143"/>
      <c r="V956" s="143"/>
      <c r="W956" s="143"/>
      <c r="X956" s="143"/>
      <c r="Y956" s="143"/>
      <c r="Z956" s="143"/>
      <c r="AJ956" s="146"/>
    </row>
    <row r="957" ht="15.75" customHeight="1">
      <c r="M957" s="142"/>
      <c r="N957" s="143"/>
      <c r="O957" s="143"/>
      <c r="P957" s="143"/>
      <c r="Q957" s="143"/>
      <c r="R957" s="144" t="s">
        <v>110</v>
      </c>
      <c r="S957" s="143"/>
      <c r="U957" s="143"/>
      <c r="V957" s="143"/>
      <c r="W957" s="143"/>
      <c r="X957" s="143"/>
      <c r="Y957" s="143"/>
      <c r="Z957" s="143"/>
      <c r="AJ957" s="146"/>
    </row>
    <row r="958" ht="15.75" customHeight="1">
      <c r="M958" s="142"/>
      <c r="N958" s="143"/>
      <c r="O958" s="143"/>
      <c r="P958" s="143"/>
      <c r="Q958" s="143"/>
      <c r="R958" s="144" t="s">
        <v>110</v>
      </c>
      <c r="S958" s="143"/>
      <c r="U958" s="143"/>
      <c r="V958" s="143"/>
      <c r="W958" s="143"/>
      <c r="X958" s="143"/>
      <c r="Y958" s="143"/>
      <c r="Z958" s="143"/>
      <c r="AJ958" s="146"/>
    </row>
    <row r="959" ht="15.75" customHeight="1">
      <c r="M959" s="142"/>
      <c r="N959" s="143"/>
      <c r="O959" s="143"/>
      <c r="P959" s="143"/>
      <c r="Q959" s="143"/>
      <c r="R959" s="144" t="s">
        <v>110</v>
      </c>
      <c r="S959" s="143"/>
      <c r="U959" s="143"/>
      <c r="V959" s="143"/>
      <c r="W959" s="143"/>
      <c r="X959" s="143"/>
      <c r="Y959" s="143"/>
      <c r="Z959" s="143"/>
      <c r="AJ959" s="146"/>
    </row>
    <row r="960" ht="15.75" customHeight="1">
      <c r="M960" s="142"/>
      <c r="N960" s="143"/>
      <c r="O960" s="143"/>
      <c r="P960" s="143"/>
      <c r="Q960" s="143"/>
      <c r="R960" s="144" t="s">
        <v>110</v>
      </c>
      <c r="S960" s="143"/>
      <c r="U960" s="143"/>
      <c r="V960" s="143"/>
      <c r="W960" s="143"/>
      <c r="X960" s="143"/>
      <c r="Y960" s="143"/>
      <c r="Z960" s="143"/>
      <c r="AJ960" s="146"/>
    </row>
    <row r="961" ht="15.75" customHeight="1">
      <c r="M961" s="142"/>
      <c r="N961" s="143"/>
      <c r="O961" s="143"/>
      <c r="P961" s="143"/>
      <c r="Q961" s="143"/>
      <c r="R961" s="144" t="s">
        <v>110</v>
      </c>
      <c r="S961" s="143"/>
      <c r="U961" s="143"/>
      <c r="V961" s="143"/>
      <c r="W961" s="143"/>
      <c r="X961" s="143"/>
      <c r="Y961" s="143"/>
      <c r="Z961" s="143"/>
      <c r="AJ961" s="146"/>
    </row>
    <row r="962" ht="15.75" customHeight="1">
      <c r="M962" s="142"/>
      <c r="N962" s="143"/>
      <c r="O962" s="143"/>
      <c r="P962" s="143"/>
      <c r="Q962" s="143"/>
      <c r="R962" s="144" t="s">
        <v>110</v>
      </c>
      <c r="S962" s="143"/>
      <c r="U962" s="143"/>
      <c r="V962" s="143"/>
      <c r="W962" s="143"/>
      <c r="X962" s="143"/>
      <c r="Y962" s="143"/>
      <c r="Z962" s="143"/>
      <c r="AJ962" s="146"/>
    </row>
    <row r="963" ht="15.75" customHeight="1">
      <c r="M963" s="142"/>
      <c r="N963" s="143"/>
      <c r="O963" s="143"/>
      <c r="P963" s="143"/>
      <c r="Q963" s="143"/>
      <c r="R963" s="144" t="s">
        <v>110</v>
      </c>
      <c r="S963" s="143"/>
      <c r="U963" s="143"/>
      <c r="V963" s="143"/>
      <c r="W963" s="143"/>
      <c r="X963" s="143"/>
      <c r="Y963" s="143"/>
      <c r="Z963" s="143"/>
      <c r="AJ963" s="146"/>
    </row>
    <row r="964" ht="15.75" customHeight="1">
      <c r="M964" s="142"/>
      <c r="N964" s="143"/>
      <c r="O964" s="143"/>
      <c r="P964" s="143"/>
      <c r="Q964" s="143"/>
      <c r="R964" s="144" t="s">
        <v>110</v>
      </c>
      <c r="S964" s="143"/>
      <c r="U964" s="143"/>
      <c r="V964" s="143"/>
      <c r="W964" s="143"/>
      <c r="X964" s="143"/>
      <c r="Y964" s="143"/>
      <c r="Z964" s="143"/>
      <c r="AJ964" s="146"/>
    </row>
    <row r="965" ht="15.75" customHeight="1">
      <c r="M965" s="142"/>
      <c r="N965" s="143"/>
      <c r="O965" s="143"/>
      <c r="P965" s="143"/>
      <c r="Q965" s="143"/>
      <c r="R965" s="144" t="s">
        <v>110</v>
      </c>
      <c r="S965" s="143"/>
      <c r="U965" s="143"/>
      <c r="V965" s="143"/>
      <c r="W965" s="143"/>
      <c r="X965" s="143"/>
      <c r="Y965" s="143"/>
      <c r="Z965" s="143"/>
      <c r="AJ965" s="146"/>
    </row>
    <row r="966" ht="15.75" customHeight="1">
      <c r="M966" s="142"/>
      <c r="N966" s="143"/>
      <c r="O966" s="143"/>
      <c r="P966" s="143"/>
      <c r="Q966" s="143"/>
      <c r="R966" s="144" t="s">
        <v>110</v>
      </c>
      <c r="S966" s="143"/>
      <c r="U966" s="143"/>
      <c r="V966" s="143"/>
      <c r="W966" s="143"/>
      <c r="X966" s="143"/>
      <c r="Y966" s="143"/>
      <c r="Z966" s="143"/>
      <c r="AJ966" s="146"/>
    </row>
    <row r="967" ht="15.75" customHeight="1">
      <c r="M967" s="142"/>
      <c r="N967" s="143"/>
      <c r="O967" s="143"/>
      <c r="P967" s="143"/>
      <c r="Q967" s="143"/>
      <c r="R967" s="144" t="s">
        <v>110</v>
      </c>
      <c r="S967" s="143"/>
      <c r="U967" s="143"/>
      <c r="V967" s="143"/>
      <c r="W967" s="143"/>
      <c r="X967" s="143"/>
      <c r="Y967" s="143"/>
      <c r="Z967" s="143"/>
      <c r="AJ967" s="146"/>
    </row>
    <row r="968" ht="15.75" customHeight="1">
      <c r="M968" s="142"/>
      <c r="N968" s="143"/>
      <c r="O968" s="143"/>
      <c r="P968" s="143"/>
      <c r="Q968" s="143"/>
      <c r="R968" s="144" t="s">
        <v>110</v>
      </c>
      <c r="S968" s="143"/>
      <c r="U968" s="143"/>
      <c r="V968" s="143"/>
      <c r="W968" s="143"/>
      <c r="X968" s="143"/>
      <c r="Y968" s="143"/>
      <c r="Z968" s="143"/>
      <c r="AJ968" s="146"/>
    </row>
    <row r="969" ht="15.75" customHeight="1">
      <c r="M969" s="142"/>
      <c r="N969" s="143"/>
      <c r="O969" s="143"/>
      <c r="P969" s="143"/>
      <c r="Q969" s="143"/>
      <c r="R969" s="144" t="s">
        <v>110</v>
      </c>
      <c r="S969" s="143"/>
      <c r="U969" s="143"/>
      <c r="V969" s="143"/>
      <c r="W969" s="143"/>
      <c r="X969" s="143"/>
      <c r="Y969" s="143"/>
      <c r="Z969" s="143"/>
      <c r="AJ969" s="146"/>
    </row>
    <row r="970" ht="15.75" customHeight="1">
      <c r="M970" s="142"/>
      <c r="N970" s="143"/>
      <c r="O970" s="143"/>
      <c r="P970" s="143"/>
      <c r="Q970" s="143"/>
      <c r="R970" s="144" t="s">
        <v>110</v>
      </c>
      <c r="S970" s="143"/>
      <c r="U970" s="143"/>
      <c r="V970" s="143"/>
      <c r="W970" s="143"/>
      <c r="X970" s="143"/>
      <c r="Y970" s="143"/>
      <c r="Z970" s="143"/>
      <c r="AJ970" s="146"/>
    </row>
    <row r="971" ht="15.75" customHeight="1">
      <c r="M971" s="142"/>
      <c r="N971" s="143"/>
      <c r="O971" s="143"/>
      <c r="P971" s="143"/>
      <c r="Q971" s="143"/>
      <c r="R971" s="144" t="s">
        <v>110</v>
      </c>
      <c r="S971" s="143"/>
      <c r="U971" s="143"/>
      <c r="V971" s="143"/>
      <c r="W971" s="143"/>
      <c r="X971" s="143"/>
      <c r="Y971" s="143"/>
      <c r="Z971" s="143"/>
      <c r="AJ971" s="146"/>
    </row>
    <row r="972" ht="15.75" customHeight="1">
      <c r="M972" s="142"/>
      <c r="N972" s="143"/>
      <c r="O972" s="143"/>
      <c r="P972" s="143"/>
      <c r="Q972" s="143"/>
      <c r="R972" s="144" t="s">
        <v>110</v>
      </c>
      <c r="S972" s="143"/>
      <c r="U972" s="143"/>
      <c r="V972" s="143"/>
      <c r="W972" s="143"/>
      <c r="X972" s="143"/>
      <c r="Y972" s="143"/>
      <c r="Z972" s="143"/>
      <c r="AJ972" s="146"/>
    </row>
    <row r="973" ht="15.75" customHeight="1">
      <c r="M973" s="142"/>
      <c r="N973" s="143"/>
      <c r="O973" s="143"/>
      <c r="P973" s="143"/>
      <c r="Q973" s="143"/>
      <c r="R973" s="144" t="s">
        <v>110</v>
      </c>
      <c r="S973" s="143"/>
      <c r="U973" s="143"/>
      <c r="V973" s="143"/>
      <c r="W973" s="143"/>
      <c r="X973" s="143"/>
      <c r="Y973" s="143"/>
      <c r="Z973" s="143"/>
      <c r="AJ973" s="146"/>
    </row>
    <row r="974" ht="15.75" customHeight="1">
      <c r="M974" s="142"/>
      <c r="N974" s="143"/>
      <c r="O974" s="143"/>
      <c r="P974" s="143"/>
      <c r="Q974" s="143"/>
      <c r="R974" s="144" t="s">
        <v>110</v>
      </c>
      <c r="S974" s="143"/>
      <c r="U974" s="143"/>
      <c r="V974" s="143"/>
      <c r="W974" s="143"/>
      <c r="X974" s="143"/>
      <c r="Y974" s="143"/>
      <c r="Z974" s="143"/>
      <c r="AJ974" s="146"/>
    </row>
    <row r="975" ht="15.75" customHeight="1">
      <c r="M975" s="142"/>
      <c r="N975" s="143"/>
      <c r="O975" s="143"/>
      <c r="P975" s="143"/>
      <c r="Q975" s="143"/>
      <c r="R975" s="144" t="s">
        <v>110</v>
      </c>
      <c r="S975" s="143"/>
      <c r="U975" s="143"/>
      <c r="V975" s="143"/>
      <c r="W975" s="143"/>
      <c r="X975" s="143"/>
      <c r="Y975" s="143"/>
      <c r="Z975" s="143"/>
      <c r="AJ975" s="146"/>
    </row>
    <row r="976" ht="15.75" customHeight="1">
      <c r="M976" s="142"/>
      <c r="N976" s="143"/>
      <c r="O976" s="143"/>
      <c r="P976" s="143"/>
      <c r="Q976" s="143"/>
      <c r="R976" s="144" t="s">
        <v>110</v>
      </c>
      <c r="S976" s="143"/>
      <c r="U976" s="143"/>
      <c r="V976" s="143"/>
      <c r="W976" s="143"/>
      <c r="X976" s="143"/>
      <c r="Y976" s="143"/>
      <c r="Z976" s="143"/>
      <c r="AJ976" s="146"/>
    </row>
    <row r="977" ht="15.75" customHeight="1">
      <c r="M977" s="142"/>
      <c r="N977" s="143"/>
      <c r="O977" s="143"/>
      <c r="P977" s="143"/>
      <c r="Q977" s="143"/>
      <c r="R977" s="144" t="s">
        <v>110</v>
      </c>
      <c r="S977" s="143"/>
      <c r="U977" s="143"/>
      <c r="V977" s="143"/>
      <c r="W977" s="143"/>
      <c r="X977" s="143"/>
      <c r="Y977" s="143"/>
      <c r="Z977" s="143"/>
      <c r="AJ977" s="146"/>
    </row>
    <row r="978" ht="15.75" customHeight="1">
      <c r="M978" s="142"/>
      <c r="N978" s="143"/>
      <c r="O978" s="143"/>
      <c r="P978" s="143"/>
      <c r="Q978" s="143"/>
      <c r="R978" s="144" t="s">
        <v>110</v>
      </c>
      <c r="S978" s="143"/>
      <c r="U978" s="143"/>
      <c r="V978" s="143"/>
      <c r="W978" s="143"/>
      <c r="X978" s="143"/>
      <c r="Y978" s="143"/>
      <c r="Z978" s="143"/>
      <c r="AJ978" s="146"/>
    </row>
    <row r="979" ht="15.75" customHeight="1">
      <c r="M979" s="142"/>
      <c r="N979" s="143"/>
      <c r="O979" s="143"/>
      <c r="P979" s="143"/>
      <c r="Q979" s="143"/>
      <c r="R979" s="144" t="s">
        <v>110</v>
      </c>
      <c r="S979" s="143"/>
      <c r="U979" s="143"/>
      <c r="V979" s="143"/>
      <c r="W979" s="143"/>
      <c r="X979" s="143"/>
      <c r="Y979" s="143"/>
      <c r="Z979" s="143"/>
      <c r="AJ979" s="146"/>
    </row>
    <row r="980" ht="15.75" customHeight="1">
      <c r="M980" s="142"/>
      <c r="N980" s="143"/>
      <c r="O980" s="143"/>
      <c r="P980" s="143"/>
      <c r="Q980" s="143"/>
      <c r="R980" s="144" t="s">
        <v>110</v>
      </c>
      <c r="S980" s="143"/>
      <c r="U980" s="143"/>
      <c r="V980" s="143"/>
      <c r="W980" s="143"/>
      <c r="X980" s="143"/>
      <c r="Y980" s="143"/>
      <c r="Z980" s="143"/>
      <c r="AJ980" s="146"/>
    </row>
    <row r="981" ht="15.75" customHeight="1">
      <c r="M981" s="142"/>
      <c r="N981" s="143"/>
      <c r="O981" s="143"/>
      <c r="P981" s="143"/>
      <c r="Q981" s="143"/>
      <c r="R981" s="144" t="s">
        <v>110</v>
      </c>
      <c r="S981" s="143"/>
      <c r="U981" s="143"/>
      <c r="V981" s="143"/>
      <c r="W981" s="143"/>
      <c r="X981" s="143"/>
      <c r="Y981" s="143"/>
      <c r="Z981" s="143"/>
      <c r="AJ981" s="146"/>
    </row>
    <row r="982" ht="15.75" customHeight="1">
      <c r="M982" s="142"/>
      <c r="N982" s="143"/>
      <c r="O982" s="143"/>
      <c r="P982" s="143"/>
      <c r="Q982" s="143"/>
      <c r="R982" s="144" t="s">
        <v>110</v>
      </c>
      <c r="S982" s="143"/>
      <c r="U982" s="143"/>
      <c r="V982" s="143"/>
      <c r="W982" s="143"/>
      <c r="X982" s="143"/>
      <c r="Y982" s="143"/>
      <c r="Z982" s="143"/>
      <c r="AJ982" s="146"/>
    </row>
    <row r="983" ht="15.75" customHeight="1">
      <c r="M983" s="142"/>
      <c r="N983" s="143"/>
      <c r="O983" s="143"/>
      <c r="P983" s="143"/>
      <c r="Q983" s="143"/>
      <c r="R983" s="144" t="s">
        <v>110</v>
      </c>
      <c r="S983" s="143"/>
      <c r="U983" s="143"/>
      <c r="V983" s="143"/>
      <c r="W983" s="143"/>
      <c r="X983" s="143"/>
      <c r="Y983" s="143"/>
      <c r="Z983" s="143"/>
      <c r="AJ983" s="146"/>
    </row>
    <row r="984" ht="15.75" customHeight="1">
      <c r="M984" s="142"/>
      <c r="N984" s="143"/>
      <c r="O984" s="143"/>
      <c r="P984" s="143"/>
      <c r="Q984" s="143"/>
      <c r="R984" s="144" t="s">
        <v>110</v>
      </c>
      <c r="S984" s="143"/>
      <c r="U984" s="143"/>
      <c r="V984" s="143"/>
      <c r="W984" s="143"/>
      <c r="X984" s="143"/>
      <c r="Y984" s="143"/>
      <c r="Z984" s="143"/>
      <c r="AJ984" s="146"/>
    </row>
    <row r="985" ht="15.75" customHeight="1">
      <c r="M985" s="142"/>
      <c r="N985" s="143"/>
      <c r="O985" s="143"/>
      <c r="P985" s="143"/>
      <c r="Q985" s="143"/>
      <c r="R985" s="144" t="s">
        <v>110</v>
      </c>
      <c r="S985" s="143"/>
      <c r="U985" s="143"/>
      <c r="V985" s="143"/>
      <c r="W985" s="143"/>
      <c r="X985" s="143"/>
      <c r="Y985" s="143"/>
      <c r="Z985" s="143"/>
      <c r="AJ985" s="146"/>
    </row>
    <row r="986" ht="15.75" customHeight="1">
      <c r="M986" s="142"/>
      <c r="N986" s="143"/>
      <c r="O986" s="143"/>
      <c r="P986" s="143"/>
      <c r="Q986" s="143"/>
      <c r="R986" s="144" t="s">
        <v>110</v>
      </c>
      <c r="S986" s="143"/>
      <c r="U986" s="143"/>
      <c r="V986" s="143"/>
      <c r="W986" s="143"/>
      <c r="X986" s="143"/>
      <c r="Y986" s="143"/>
      <c r="Z986" s="143"/>
      <c r="AJ986" s="146"/>
    </row>
    <row r="987" ht="15.75" customHeight="1">
      <c r="M987" s="142"/>
      <c r="N987" s="143"/>
      <c r="O987" s="143"/>
      <c r="P987" s="143"/>
      <c r="Q987" s="143"/>
      <c r="R987" s="144" t="s">
        <v>110</v>
      </c>
      <c r="S987" s="143"/>
      <c r="U987" s="143"/>
      <c r="V987" s="143"/>
      <c r="W987" s="143"/>
      <c r="X987" s="143"/>
      <c r="Y987" s="143"/>
      <c r="Z987" s="143"/>
      <c r="AJ987" s="146"/>
    </row>
    <row r="988" ht="15.75" customHeight="1">
      <c r="M988" s="142"/>
      <c r="N988" s="143"/>
      <c r="O988" s="143"/>
      <c r="P988" s="143"/>
      <c r="Q988" s="143"/>
      <c r="R988" s="144" t="s">
        <v>110</v>
      </c>
      <c r="S988" s="143"/>
      <c r="U988" s="143"/>
      <c r="V988" s="143"/>
      <c r="W988" s="143"/>
      <c r="X988" s="143"/>
      <c r="Y988" s="143"/>
      <c r="Z988" s="143"/>
      <c r="AJ988" s="146"/>
    </row>
    <row r="989" ht="15.75" customHeight="1">
      <c r="M989" s="142"/>
      <c r="N989" s="143"/>
      <c r="O989" s="143"/>
      <c r="P989" s="143"/>
      <c r="Q989" s="143"/>
      <c r="R989" s="144" t="s">
        <v>110</v>
      </c>
      <c r="S989" s="143"/>
      <c r="U989" s="143"/>
      <c r="V989" s="143"/>
      <c r="W989" s="143"/>
      <c r="X989" s="143"/>
      <c r="Y989" s="143"/>
      <c r="Z989" s="143"/>
      <c r="AJ989" s="146"/>
    </row>
    <row r="990" ht="15.75" customHeight="1">
      <c r="M990" s="142"/>
      <c r="N990" s="143"/>
      <c r="O990" s="143"/>
      <c r="P990" s="143"/>
      <c r="Q990" s="143"/>
      <c r="R990" s="144" t="s">
        <v>110</v>
      </c>
      <c r="S990" s="143"/>
      <c r="U990" s="143"/>
      <c r="V990" s="143"/>
      <c r="W990" s="143"/>
      <c r="X990" s="143"/>
      <c r="Y990" s="143"/>
      <c r="Z990" s="143"/>
      <c r="AJ990" s="146"/>
    </row>
    <row r="991" ht="15.75" customHeight="1">
      <c r="M991" s="142"/>
      <c r="N991" s="143"/>
      <c r="O991" s="143"/>
      <c r="P991" s="143"/>
      <c r="Q991" s="143"/>
      <c r="R991" s="144" t="s">
        <v>110</v>
      </c>
      <c r="S991" s="143"/>
      <c r="U991" s="143"/>
      <c r="V991" s="143"/>
      <c r="W991" s="143"/>
      <c r="X991" s="143"/>
      <c r="Y991" s="143"/>
      <c r="Z991" s="143"/>
      <c r="AJ991" s="146"/>
    </row>
    <row r="992" ht="15.75" customHeight="1">
      <c r="M992" s="142"/>
      <c r="N992" s="143"/>
      <c r="O992" s="143"/>
      <c r="P992" s="143"/>
      <c r="Q992" s="143"/>
      <c r="R992" s="144" t="s">
        <v>110</v>
      </c>
      <c r="S992" s="143"/>
      <c r="U992" s="143"/>
      <c r="V992" s="143"/>
      <c r="W992" s="143"/>
      <c r="X992" s="143"/>
      <c r="Y992" s="143"/>
      <c r="Z992" s="143"/>
      <c r="AJ992" s="146"/>
    </row>
    <row r="993" ht="15.75" customHeight="1">
      <c r="M993" s="142"/>
      <c r="N993" s="143"/>
      <c r="O993" s="143"/>
      <c r="P993" s="143"/>
      <c r="Q993" s="143"/>
      <c r="R993" s="144" t="s">
        <v>110</v>
      </c>
      <c r="S993" s="143"/>
      <c r="U993" s="143"/>
      <c r="V993" s="143"/>
      <c r="W993" s="143"/>
      <c r="X993" s="143"/>
      <c r="Y993" s="143"/>
      <c r="Z993" s="143"/>
      <c r="AJ993" s="146"/>
    </row>
    <row r="994" ht="15.75" customHeight="1">
      <c r="M994" s="142"/>
      <c r="N994" s="143"/>
      <c r="O994" s="143"/>
      <c r="P994" s="143"/>
      <c r="Q994" s="143"/>
      <c r="R994" s="144" t="s">
        <v>110</v>
      </c>
      <c r="S994" s="143"/>
      <c r="U994" s="143"/>
      <c r="V994" s="143"/>
      <c r="W994" s="143"/>
      <c r="X994" s="143"/>
      <c r="Y994" s="143"/>
      <c r="Z994" s="143"/>
      <c r="AJ994" s="146"/>
    </row>
    <row r="995" ht="15.75" customHeight="1">
      <c r="M995" s="142"/>
      <c r="N995" s="143"/>
      <c r="O995" s="143"/>
      <c r="P995" s="143"/>
      <c r="Q995" s="143"/>
      <c r="R995" s="144" t="s">
        <v>110</v>
      </c>
      <c r="S995" s="143"/>
      <c r="U995" s="143"/>
      <c r="V995" s="143"/>
      <c r="W995" s="143"/>
      <c r="X995" s="143"/>
      <c r="Y995" s="143"/>
      <c r="Z995" s="143"/>
      <c r="AJ995" s="146"/>
    </row>
    <row r="996" ht="15.75" customHeight="1">
      <c r="M996" s="142"/>
      <c r="N996" s="143"/>
      <c r="O996" s="143"/>
      <c r="P996" s="143"/>
      <c r="Q996" s="143"/>
      <c r="R996" s="144" t="s">
        <v>110</v>
      </c>
      <c r="S996" s="143"/>
      <c r="U996" s="143"/>
      <c r="V996" s="143"/>
      <c r="W996" s="143"/>
      <c r="X996" s="143"/>
      <c r="Y996" s="143"/>
      <c r="Z996" s="143"/>
      <c r="AJ996" s="146"/>
    </row>
    <row r="997" ht="15.75" customHeight="1">
      <c r="M997" s="142"/>
      <c r="N997" s="143"/>
      <c r="O997" s="143"/>
      <c r="P997" s="143"/>
      <c r="Q997" s="143"/>
      <c r="R997" s="144" t="s">
        <v>110</v>
      </c>
      <c r="S997" s="143"/>
      <c r="U997" s="143"/>
      <c r="V997" s="143"/>
      <c r="W997" s="143"/>
      <c r="X997" s="143"/>
      <c r="Y997" s="143"/>
      <c r="Z997" s="143"/>
      <c r="AJ997" s="146"/>
    </row>
    <row r="998" ht="15.75" customHeight="1">
      <c r="M998" s="142"/>
      <c r="N998" s="143"/>
      <c r="O998" s="143"/>
      <c r="P998" s="143"/>
      <c r="Q998" s="143"/>
      <c r="R998" s="144" t="s">
        <v>110</v>
      </c>
      <c r="S998" s="143"/>
      <c r="U998" s="143"/>
      <c r="V998" s="143"/>
      <c r="W998" s="143"/>
      <c r="X998" s="143"/>
      <c r="Y998" s="143"/>
      <c r="Z998" s="143"/>
      <c r="AJ998" s="146"/>
    </row>
    <row r="999" ht="15.75" customHeight="1">
      <c r="M999" s="142"/>
      <c r="N999" s="143"/>
      <c r="O999" s="143"/>
      <c r="P999" s="143"/>
      <c r="Q999" s="143"/>
      <c r="R999" s="144" t="s">
        <v>110</v>
      </c>
      <c r="S999" s="143"/>
      <c r="U999" s="143"/>
      <c r="V999" s="143"/>
      <c r="W999" s="143"/>
      <c r="X999" s="143"/>
      <c r="Y999" s="143"/>
      <c r="Z999" s="143"/>
      <c r="AJ999" s="146"/>
    </row>
    <row r="1000" ht="15.75" customHeight="1">
      <c r="M1000" s="142"/>
      <c r="N1000" s="143"/>
      <c r="O1000" s="143"/>
      <c r="P1000" s="143"/>
      <c r="Q1000" s="143"/>
      <c r="R1000" s="144" t="s">
        <v>110</v>
      </c>
      <c r="S1000" s="143"/>
      <c r="U1000" s="143"/>
      <c r="V1000" s="143"/>
      <c r="W1000" s="143"/>
      <c r="X1000" s="143"/>
      <c r="Y1000" s="143"/>
      <c r="Z1000" s="143"/>
      <c r="AJ1000" s="146"/>
    </row>
    <row r="1001" ht="15.75" customHeight="1">
      <c r="M1001" s="142"/>
      <c r="N1001" s="143"/>
      <c r="O1001" s="143"/>
      <c r="P1001" s="143"/>
      <c r="Q1001" s="143"/>
      <c r="R1001" s="144" t="s">
        <v>110</v>
      </c>
      <c r="S1001" s="143"/>
      <c r="U1001" s="143"/>
      <c r="V1001" s="143"/>
      <c r="W1001" s="143"/>
      <c r="X1001" s="143"/>
      <c r="Y1001" s="143"/>
      <c r="Z1001" s="143"/>
      <c r="AJ1001" s="146"/>
    </row>
  </sheetData>
  <conditionalFormatting sqref="R2:R43">
    <cfRule type="colorScale" priority="1">
      <colorScale>
        <cfvo type="percent" val="0"/>
        <cfvo type="percent" val="100"/>
        <color rgb="FFF4CCCC"/>
        <color rgb="FF57BB8A"/>
      </colorScale>
    </cfRule>
  </conditionalFormatting>
  <dataValidations>
    <dataValidation type="custom" allowBlank="1" showDropDown="1" sqref="B2:B123">
      <formula1>OR(NOT(ISERROR(DATEVALUE(B2))), AND(ISNUMBER(B2), LEFT(CELL("format", B2))="D"))</formula1>
    </dataValidation>
  </dataValidations>
  <printOptions/>
  <pageMargins bottom="1.0" footer="0.0" header="0.0" left="0.75" right="0.75" top="1.0"/>
  <pageSetup orientation="landscape"/>
  <drawing r:id="rId1"/>
  <tableParts count="4"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24.25"/>
    <col customWidth="1" min="3" max="3" width="14.13"/>
    <col customWidth="1" min="5" max="5" width="25.38"/>
    <col customWidth="1" min="6" max="6" width="18.25"/>
    <col customWidth="1" min="9" max="9" width="15.0"/>
    <col customWidth="1" min="10" max="10" width="22.5"/>
    <col customWidth="1" min="11" max="11" width="15.75"/>
    <col customWidth="1" min="15" max="15" width="19.25"/>
    <col customWidth="1" min="16" max="16" width="14.13"/>
    <col customWidth="1" min="19" max="19" width="17.5"/>
    <col customWidth="1" min="20" max="20" width="12.75"/>
    <col customWidth="1" min="21" max="21" width="16.0"/>
    <col customWidth="1" min="22" max="22" width="15.38"/>
    <col customWidth="1" min="23" max="23" width="22.5"/>
  </cols>
  <sheetData>
    <row r="1">
      <c r="A1" s="127"/>
      <c r="C1" s="31"/>
      <c r="D1" s="31"/>
      <c r="E1" s="154"/>
      <c r="N1" s="127"/>
      <c r="O1" s="127"/>
      <c r="R1" s="154"/>
      <c r="S1" s="154"/>
      <c r="T1" s="154"/>
      <c r="U1" s="154"/>
      <c r="V1" s="154"/>
    </row>
    <row r="2">
      <c r="A2" s="154"/>
      <c r="B2" s="154"/>
      <c r="C2" s="31"/>
      <c r="D2" s="31"/>
      <c r="E2" s="31"/>
      <c r="F2" s="31"/>
      <c r="G2" s="31"/>
      <c r="H2" s="31"/>
      <c r="I2" s="154"/>
      <c r="J2" s="154"/>
      <c r="K2" s="155"/>
      <c r="V2" s="155"/>
      <c r="W2" s="154"/>
    </row>
    <row r="3" ht="22.5" customHeight="1">
      <c r="A3" s="156" t="s">
        <v>159</v>
      </c>
      <c r="B3" s="156" t="s">
        <v>20</v>
      </c>
      <c r="C3" s="157" t="s">
        <v>16</v>
      </c>
      <c r="D3" s="31"/>
      <c r="E3" s="156" t="s">
        <v>4</v>
      </c>
      <c r="F3" s="156" t="s">
        <v>5</v>
      </c>
      <c r="G3" s="156" t="s">
        <v>50</v>
      </c>
      <c r="H3" s="156" t="s">
        <v>160</v>
      </c>
      <c r="I3" s="156" t="s">
        <v>161</v>
      </c>
      <c r="J3" s="156" t="s">
        <v>20</v>
      </c>
      <c r="K3" s="90" t="s">
        <v>162</v>
      </c>
      <c r="N3" s="90" t="s">
        <v>4</v>
      </c>
      <c r="O3" s="90" t="s">
        <v>20</v>
      </c>
      <c r="P3" s="158" t="s">
        <v>16</v>
      </c>
      <c r="R3" s="90" t="s">
        <v>4</v>
      </c>
      <c r="S3" s="90" t="s">
        <v>5</v>
      </c>
      <c r="T3" s="90" t="s">
        <v>50</v>
      </c>
      <c r="U3" s="90" t="s">
        <v>51</v>
      </c>
      <c r="V3" s="90" t="s">
        <v>161</v>
      </c>
      <c r="W3" s="156" t="s">
        <v>20</v>
      </c>
    </row>
    <row r="4" ht="22.5" customHeight="1">
      <c r="A4" s="91" t="str">
        <f>IFERROR(__xludf.DUMMYFUNCTION("QUERY(
 'Raw Data'!C:G,
 ""SELECT Col2,SUM(Col4)+SUM(Col5)
  WHERE Col2 IS NOT NULL
  GROUP BY Col2
  ORDER BY SUM(Col4)+SUM(Col5) DESC
  LABEL Col2 '', SUM(Col4)+SUM(Col5) ''"",
 1
)"),"?")</f>
        <v>?</v>
      </c>
      <c r="B4" s="91">
        <f>IFERROR(__xludf.DUMMYFUNCTION("""COMPUTED_VALUE"""),87.0)</f>
        <v>87</v>
      </c>
      <c r="C4" s="91">
        <f>IFERROR(__xludf.DUMMYFUNCTION("COUNTUNIQUE(
 FILTER(
  'Raw Data'!C:C,
  'Raw Data'!D:D=A4
 )
)"),15.0)</f>
        <v>15</v>
      </c>
      <c r="E4" s="91" t="str">
        <f>IFERROR(__xludf.DUMMYFUNCTION("QUERY(
 'Raw Data'!C:G,
 ""SELECT
   Col2,
   Col3,
   SUM(Col4),
   SUM(Col5)
  WHERE Col2 IS NOT NULL
  GROUP BY Col2,Col3
  ORDER BY SUM(Col4) DESC
  LABEL
   Col2 '',
   Col3 '',
   SUM(Col4) '',
   SUM(Col5) ''"",
 1
)"),"?")</f>
        <v>?</v>
      </c>
      <c r="F4" s="91" t="str">
        <f>IFERROR(__xludf.DUMMYFUNCTION("""COMPUTED_VALUE"""),"?")</f>
        <v>?</v>
      </c>
      <c r="G4" s="159">
        <f>IFERROR(__xludf.DUMMYFUNCTION("""COMPUTED_VALUE"""),37.0)</f>
        <v>37</v>
      </c>
      <c r="H4" s="159">
        <f>IFERROR(__xludf.DUMMYFUNCTION("""COMPUTED_VALUE"""),50.0)</f>
        <v>50</v>
      </c>
      <c r="I4" s="160">
        <f t="shared" ref="I4:I58" si="1">IFERROR(G4/(G4+H4),0)</f>
        <v>0.4252873563</v>
      </c>
      <c r="J4" s="159">
        <f t="shared" ref="J4:J58" si="2">G4+H4</f>
        <v>87</v>
      </c>
      <c r="K4" s="161">
        <f t="shared" ref="K4:K58" si="3">(
(G4/(G4+H4))
+ (1.96^2)/(2*(G4+H4))
- 1.96*SQRT(
(
(G4/(G4+H4))*(1-G4/(G4+H4))
+ (1.96^2)/(4*(G4+H4))
)
/
(G4+H4)
)
)
/
(
1+(1.96^2)/(G4+H4)
)</f>
        <v>0.3267307292</v>
      </c>
      <c r="N4" s="91" t="str">
        <f>IFERROR(__xludf.DUMMYFUNCTION("QUERY(
 'Raw Data'!B:G,
 ""SELECT Col3,SUM(Col5)+SUM(Col6)
  WHERE Col1 &gt;= date '""&amp;TEXT(DATE(YEAR(TODAY()),MONTH(TODAY()),1),""yyyy-MM-dd"")&amp;""'
  AND Col3 IS NOT NULL
  GROUP BY Col3
  ORDER BY SUM(Col5)+SUM(Col6) DESC
  LABEL
   Col3 '',
   SUM(Col5)+S"&amp;"UM(Col6) ''"",
 1
)"),"#N/A")</f>
        <v>#N/A</v>
      </c>
      <c r="P4" s="91">
        <f>IFERROR(__xludf.DUMMYFUNCTION("COUNTUNIQUE(
 FILTER(
  'Raw Data'!C:C,
  'Raw Data'!D:D=N4,
  'Raw Data'!B:B&gt;=DATE(YEAR(TODAY()),MONTH(TODAY()),1)
 )
)"),1.0)</f>
        <v>1</v>
      </c>
      <c r="R4" s="91" t="str">
        <f>IFERROR(__xludf.DUMMYFUNCTION("QUERY(
 'Raw Data'!B:G,
 ""SELECT
   Col3,
   Col4,
   SUM(Col5),
   SUM(Col6)
  WHERE Col1 &gt;= date '""&amp;TEXT(DATE(YEAR(TODAY()),MONTH(TODAY()),1),""yyyy-MM-dd"")&amp;""'
  GROUP BY Col3,Col4
  ORDER BY SUM(Col5) DESC
  LABEL
   Col3 '',
   Col4 '',
   SUM(Col"&amp;"5) '',
   SUM(Col6) ''"",
 1
)"),"#N/A")</f>
        <v>#N/A</v>
      </c>
      <c r="T4" s="162"/>
      <c r="U4" s="162"/>
      <c r="V4" s="160">
        <f t="shared" ref="V4:V40" si="4">IFERROR(T4/(T4+U4),0)</f>
        <v>0</v>
      </c>
      <c r="W4" s="162">
        <f t="shared" ref="W4:W40" si="5">T4+U4</f>
        <v>0</v>
      </c>
    </row>
    <row r="5" ht="22.5" customHeight="1">
      <c r="A5" s="91" t="str">
        <f>IFERROR(__xludf.DUMMYFUNCTION("""COMPUTED_VALUE"""),"EIS")</f>
        <v>EIS</v>
      </c>
      <c r="B5" s="91">
        <f>IFERROR(__xludf.DUMMYFUNCTION("""COMPUTED_VALUE"""),81.0)</f>
        <v>81</v>
      </c>
      <c r="C5" s="91">
        <f>IFERROR(__xludf.DUMMYFUNCTION("COUNTUNIQUE(
 FILTER(
  'Raw Data'!C:C,
  'Raw Data'!D:D=A5
 )
)"),7.0)</f>
        <v>7</v>
      </c>
      <c r="E5" s="91" t="str">
        <f>IFERROR(__xludf.DUMMYFUNCTION("""COMPUTED_VALUE"""),"NIK")</f>
        <v>NIK</v>
      </c>
      <c r="F5" s="91" t="str">
        <f>IFERROR(__xludf.DUMMYFUNCTION("""COMPUTED_VALUE"""),"Door Standby")</f>
        <v>Door Standby</v>
      </c>
      <c r="G5" s="159">
        <f>IFERROR(__xludf.DUMMYFUNCTION("""COMPUTED_VALUE"""),21.0)</f>
        <v>21</v>
      </c>
      <c r="H5" s="159">
        <f>IFERROR(__xludf.DUMMYFUNCTION("""COMPUTED_VALUE"""),21.0)</f>
        <v>21</v>
      </c>
      <c r="I5" s="160">
        <f t="shared" si="1"/>
        <v>0.5</v>
      </c>
      <c r="J5" s="159">
        <f t="shared" si="2"/>
        <v>42</v>
      </c>
      <c r="K5" s="161">
        <f t="shared" si="3"/>
        <v>0.3552574592</v>
      </c>
      <c r="P5" s="91">
        <f>IFERROR(__xludf.DUMMYFUNCTION("COUNTUNIQUE(
 FILTER(
  'Raw Data'!C:C,
  'Raw Data'!D:D=N5,
  'Raw Data'!B:B&gt;=DATE(YEAR(TODAY()),MONTH(TODAY()),1)
 )
)"),1.0)</f>
        <v>1</v>
      </c>
      <c r="T5" s="162"/>
      <c r="U5" s="162"/>
      <c r="V5" s="160">
        <f t="shared" si="4"/>
        <v>0</v>
      </c>
      <c r="W5" s="162">
        <f t="shared" si="5"/>
        <v>0</v>
      </c>
    </row>
    <row r="6" ht="22.5" customHeight="1">
      <c r="A6" s="91" t="str">
        <f>IFERROR(__xludf.DUMMYFUNCTION("""COMPUTED_VALUE"""),"NIK")</f>
        <v>NIK</v>
      </c>
      <c r="B6" s="91">
        <f>IFERROR(__xludf.DUMMYFUNCTION("""COMPUTED_VALUE"""),46.0)</f>
        <v>46</v>
      </c>
      <c r="C6" s="91">
        <f>IFERROR(__xludf.DUMMYFUNCTION("COUNTUNIQUE(
 FILTER(
  'Raw Data'!C:C,
  'Raw Data'!D:D=A6
 )
)"),6.0)</f>
        <v>6</v>
      </c>
      <c r="E6" s="91" t="str">
        <f>IFERROR(__xludf.DUMMYFUNCTION("""COMPUTED_VALUE"""),"OSK")</f>
        <v>OSK</v>
      </c>
      <c r="F6" s="91" t="str">
        <f>IFERROR(__xludf.DUMMYFUNCTION("""COMPUTED_VALUE"""),"Door Pants")</f>
        <v>Door Pants</v>
      </c>
      <c r="G6" s="159">
        <f>IFERROR(__xludf.DUMMYFUNCTION("""COMPUTED_VALUE"""),21.0)</f>
        <v>21</v>
      </c>
      <c r="H6" s="159">
        <f>IFERROR(__xludf.DUMMYFUNCTION("""COMPUTED_VALUE"""),10.0)</f>
        <v>10</v>
      </c>
      <c r="I6" s="160">
        <f t="shared" si="1"/>
        <v>0.6774193548</v>
      </c>
      <c r="J6" s="159">
        <f t="shared" si="2"/>
        <v>31</v>
      </c>
      <c r="K6" s="161">
        <f t="shared" si="3"/>
        <v>0.5014068556</v>
      </c>
      <c r="P6" s="91">
        <f>IFERROR(__xludf.DUMMYFUNCTION("COUNTUNIQUE(
 FILTER(
  'Raw Data'!C:C,
  'Raw Data'!D:D=N6,
  'Raw Data'!B:B&gt;=DATE(YEAR(TODAY()),MONTH(TODAY()),1)
 )
)"),1.0)</f>
        <v>1</v>
      </c>
      <c r="T6" s="162"/>
      <c r="U6" s="162"/>
      <c r="V6" s="160">
        <f t="shared" si="4"/>
        <v>0</v>
      </c>
      <c r="W6" s="162">
        <f t="shared" si="5"/>
        <v>0</v>
      </c>
    </row>
    <row r="7" ht="22.5" customHeight="1">
      <c r="A7" s="91" t="str">
        <f>IFERROR(__xludf.DUMMYFUNCTION("""COMPUTED_VALUE"""),"OSK")</f>
        <v>OSK</v>
      </c>
      <c r="B7" s="91">
        <f>IFERROR(__xludf.DUMMYFUNCTION("""COMPUTED_VALUE"""),31.0)</f>
        <v>31</v>
      </c>
      <c r="C7" s="91">
        <f>IFERROR(__xludf.DUMMYFUNCTION("COUNTUNIQUE(
 FILTER(
  'Raw Data'!C:C,
  'Raw Data'!D:D=A7
 )
)"),4.0)</f>
        <v>4</v>
      </c>
      <c r="E7" s="91" t="str">
        <f>IFERROR(__xludf.DUMMYFUNCTION("""COMPUTED_VALUE"""),"EIS")</f>
        <v>EIS</v>
      </c>
      <c r="F7" s="91" t="str">
        <f>IFERROR(__xludf.DUMMYFUNCTION("""COMPUTED_VALUE"""),"8 Standby")</f>
        <v>8 Standby</v>
      </c>
      <c r="G7" s="159">
        <f>IFERROR(__xludf.DUMMYFUNCTION("""COMPUTED_VALUE"""),19.0)</f>
        <v>19</v>
      </c>
      <c r="H7" s="159">
        <f>IFERROR(__xludf.DUMMYFUNCTION("""COMPUTED_VALUE"""),15.0)</f>
        <v>15</v>
      </c>
      <c r="I7" s="160">
        <f t="shared" si="1"/>
        <v>0.5588235294</v>
      </c>
      <c r="J7" s="159">
        <f t="shared" si="2"/>
        <v>34</v>
      </c>
      <c r="K7" s="161">
        <f t="shared" si="3"/>
        <v>0.3945361779</v>
      </c>
      <c r="P7" s="91">
        <f>IFERROR(__xludf.DUMMYFUNCTION("COUNTUNIQUE(
 FILTER(
  'Raw Data'!C:C,
  'Raw Data'!D:D=N7,
  'Raw Data'!B:B&gt;=DATE(YEAR(TODAY()),MONTH(TODAY()),1)
 )
)"),1.0)</f>
        <v>1</v>
      </c>
      <c r="T7" s="162"/>
      <c r="U7" s="162"/>
      <c r="V7" s="160">
        <f t="shared" si="4"/>
        <v>0</v>
      </c>
      <c r="W7" s="162">
        <f t="shared" si="5"/>
        <v>0</v>
      </c>
    </row>
    <row r="8" ht="22.5" customHeight="1">
      <c r="A8" s="91" t="str">
        <f>IFERROR(__xludf.DUMMYFUNCTION("""COMPUTED_VALUE"""),"MKI")</f>
        <v>MKI</v>
      </c>
      <c r="B8" s="91">
        <f>IFERROR(__xludf.DUMMYFUNCTION("""COMPUTED_VALUE"""),22.0)</f>
        <v>22</v>
      </c>
      <c r="C8" s="91">
        <f>IFERROR(__xludf.DUMMYFUNCTION("COUNTUNIQUE(
 FILTER(
  'Raw Data'!C:C,
  'Raw Data'!D:D=A8
 )
)"),2.0)</f>
        <v>2</v>
      </c>
      <c r="E8" s="91" t="str">
        <f>IFERROR(__xludf.DUMMYFUNCTION("""COMPUTED_VALUE"""),"EIS")</f>
        <v>EIS</v>
      </c>
      <c r="F8" s="91" t="str">
        <f>IFERROR(__xludf.DUMMYFUNCTION("""COMPUTED_VALUE"""),"8 Door TD")</f>
        <v>8 Door TD</v>
      </c>
      <c r="G8" s="159">
        <f>IFERROR(__xludf.DUMMYFUNCTION("""COMPUTED_VALUE"""),9.0)</f>
        <v>9</v>
      </c>
      <c r="H8" s="159">
        <f>IFERROR(__xludf.DUMMYFUNCTION("""COMPUTED_VALUE"""),3.0)</f>
        <v>3</v>
      </c>
      <c r="I8" s="160">
        <f t="shared" si="1"/>
        <v>0.75</v>
      </c>
      <c r="J8" s="159">
        <f t="shared" si="2"/>
        <v>12</v>
      </c>
      <c r="K8" s="161">
        <f t="shared" si="3"/>
        <v>0.4676896609</v>
      </c>
      <c r="P8" s="91">
        <f>IFERROR(__xludf.DUMMYFUNCTION("COUNTUNIQUE(
 FILTER(
  'Raw Data'!C:C,
  'Raw Data'!D:D=N8,
  'Raw Data'!B:B&gt;=DATE(YEAR(TODAY()),MONTH(TODAY()),1)
 )
)"),1.0)</f>
        <v>1</v>
      </c>
      <c r="T8" s="162"/>
      <c r="U8" s="162"/>
      <c r="V8" s="160">
        <f t="shared" si="4"/>
        <v>0</v>
      </c>
      <c r="W8" s="162">
        <f t="shared" si="5"/>
        <v>0</v>
      </c>
    </row>
    <row r="9" ht="22.5" customHeight="1">
      <c r="A9" s="91" t="str">
        <f>IFERROR(__xludf.DUMMYFUNCTION("""COMPUTED_VALUE"""),"CSM")</f>
        <v>CSM</v>
      </c>
      <c r="B9" s="91">
        <f>IFERROR(__xludf.DUMMYFUNCTION("""COMPUTED_VALUE"""),16.0)</f>
        <v>16</v>
      </c>
      <c r="C9" s="91">
        <f>IFERROR(__xludf.DUMMYFUNCTION("COUNTUNIQUE(
 FILTER(
  'Raw Data'!C:C,
  'Raw Data'!D:D=A9
 )
)"),2.0)</f>
        <v>2</v>
      </c>
      <c r="E9" s="91" t="str">
        <f>IFERROR(__xludf.DUMMYFUNCTION("""COMPUTED_VALUE"""),"OVL")</f>
        <v>OVL</v>
      </c>
      <c r="F9" s="91" t="str">
        <f>IFERROR(__xludf.DUMMYFUNCTION("""COMPUTED_VALUE"""),"8 Door")</f>
        <v>8 Door</v>
      </c>
      <c r="G9" s="159">
        <f>IFERROR(__xludf.DUMMYFUNCTION("""COMPUTED_VALUE"""),9.0)</f>
        <v>9</v>
      </c>
      <c r="H9" s="159">
        <f>IFERROR(__xludf.DUMMYFUNCTION("""COMPUTED_VALUE"""),3.0)</f>
        <v>3</v>
      </c>
      <c r="I9" s="160">
        <f t="shared" si="1"/>
        <v>0.75</v>
      </c>
      <c r="J9" s="159">
        <f t="shared" si="2"/>
        <v>12</v>
      </c>
      <c r="K9" s="161">
        <f t="shared" si="3"/>
        <v>0.4676896609</v>
      </c>
      <c r="P9" s="91">
        <f>IFERROR(__xludf.DUMMYFUNCTION("COUNTUNIQUE(
 FILTER(
  'Raw Data'!C:C,
  'Raw Data'!D:D=N9,
  'Raw Data'!B:B&gt;=DATE(YEAR(TODAY()),MONTH(TODAY()),1)
 )
)"),1.0)</f>
        <v>1</v>
      </c>
      <c r="T9" s="162"/>
      <c r="U9" s="162"/>
      <c r="V9" s="160">
        <f t="shared" si="4"/>
        <v>0</v>
      </c>
      <c r="W9" s="162">
        <f t="shared" si="5"/>
        <v>0</v>
      </c>
    </row>
    <row r="10" ht="22.5" customHeight="1">
      <c r="A10" s="91" t="str">
        <f>IFERROR(__xludf.DUMMYFUNCTION("""COMPUTED_VALUE"""),"AZL")</f>
        <v>AZL</v>
      </c>
      <c r="B10" s="91">
        <f>IFERROR(__xludf.DUMMYFUNCTION("""COMPUTED_VALUE"""),14.0)</f>
        <v>14</v>
      </c>
      <c r="C10" s="91">
        <f>IFERROR(__xludf.DUMMYFUNCTION("COUNTUNIQUE(
 FILTER(
  'Raw Data'!C:C,
  'Raw Data'!D:D=A10
 )
)"),1.0)</f>
        <v>1</v>
      </c>
      <c r="E10" s="91" t="str">
        <f>IFERROR(__xludf.DUMMYFUNCTION("""COMPUTED_VALUE"""),"CSM")</f>
        <v>CSM</v>
      </c>
      <c r="F10" s="91" t="str">
        <f>IFERROR(__xludf.DUMMYFUNCTION("""COMPUTED_VALUE"""),"StockSoul Bar")</f>
        <v>StockSoul Bar</v>
      </c>
      <c r="G10" s="159">
        <f>IFERROR(__xludf.DUMMYFUNCTION("""COMPUTED_VALUE"""),8.0)</f>
        <v>8</v>
      </c>
      <c r="H10" s="159">
        <f>IFERROR(__xludf.DUMMYFUNCTION("""COMPUTED_VALUE"""),4.0)</f>
        <v>4</v>
      </c>
      <c r="I10" s="160">
        <f t="shared" si="1"/>
        <v>0.6666666667</v>
      </c>
      <c r="J10" s="159">
        <f t="shared" si="2"/>
        <v>12</v>
      </c>
      <c r="K10" s="161">
        <f t="shared" si="3"/>
        <v>0.3906175874</v>
      </c>
      <c r="P10" s="91">
        <f>IFERROR(__xludf.DUMMYFUNCTION("COUNTUNIQUE(
 FILTER(
  'Raw Data'!C:C,
  'Raw Data'!D:D=N10,
  'Raw Data'!B:B&gt;=DATE(YEAR(TODAY()),MONTH(TODAY()),1)
 )
)"),1.0)</f>
        <v>1</v>
      </c>
      <c r="T10" s="162"/>
      <c r="U10" s="162"/>
      <c r="V10" s="160">
        <f t="shared" si="4"/>
        <v>0</v>
      </c>
      <c r="W10" s="162">
        <f t="shared" si="5"/>
        <v>0</v>
      </c>
    </row>
    <row r="11" ht="22.5" customHeight="1">
      <c r="A11" s="91" t="str">
        <f>IFERROR(__xludf.DUMMYFUNCTION("""COMPUTED_VALUE"""),"DDD")</f>
        <v>DDD</v>
      </c>
      <c r="B11" s="91">
        <f>IFERROR(__xludf.DUMMYFUNCTION("""COMPUTED_VALUE"""),14.0)</f>
        <v>14</v>
      </c>
      <c r="C11" s="91">
        <f>IFERROR(__xludf.DUMMYFUNCTION("COUNTUNIQUE(
 FILTER(
  'Raw Data'!C:C,
  'Raw Data'!D:D=A11
 )
)"),2.0)</f>
        <v>2</v>
      </c>
      <c r="E11" s="91" t="str">
        <f>IFERROR(__xludf.DUMMYFUNCTION("""COMPUTED_VALUE"""),"DAL")</f>
        <v>DAL</v>
      </c>
      <c r="F11" s="91" t="str">
        <f>IFERROR(__xludf.DUMMYFUNCTION("""COMPUTED_VALUE"""),"8 Standby")</f>
        <v>8 Standby</v>
      </c>
      <c r="G11" s="159">
        <f>IFERROR(__xludf.DUMMYFUNCTION("""COMPUTED_VALUE"""),8.0)</f>
        <v>8</v>
      </c>
      <c r="H11" s="159">
        <f>IFERROR(__xludf.DUMMYFUNCTION("""COMPUTED_VALUE"""),5.0)</f>
        <v>5</v>
      </c>
      <c r="I11" s="160">
        <f t="shared" si="1"/>
        <v>0.6153846154</v>
      </c>
      <c r="J11" s="159">
        <f t="shared" si="2"/>
        <v>13</v>
      </c>
      <c r="K11" s="161">
        <f t="shared" si="3"/>
        <v>0.3552248097</v>
      </c>
      <c r="P11" s="91">
        <f>IFERROR(__xludf.DUMMYFUNCTION("COUNTUNIQUE(
 FILTER(
  'Raw Data'!C:C,
  'Raw Data'!D:D=N11,
  'Raw Data'!B:B&gt;=DATE(YEAR(TODAY()),MONTH(TODAY()),1)
 )
)"),1.0)</f>
        <v>1</v>
      </c>
      <c r="T11" s="162"/>
      <c r="U11" s="162"/>
      <c r="V11" s="160">
        <f t="shared" si="4"/>
        <v>0</v>
      </c>
      <c r="W11" s="162">
        <f t="shared" si="5"/>
        <v>0</v>
      </c>
    </row>
    <row r="12" ht="22.5" customHeight="1">
      <c r="A12" s="91" t="str">
        <f>IFERROR(__xludf.DUMMYFUNCTION("""COMPUTED_VALUE"""),"Fxx")</f>
        <v>Fxx</v>
      </c>
      <c r="B12" s="91">
        <f>IFERROR(__xludf.DUMMYFUNCTION("""COMPUTED_VALUE"""),14.0)</f>
        <v>14</v>
      </c>
      <c r="C12" s="91">
        <f>IFERROR(__xludf.DUMMYFUNCTION("COUNTUNIQUE(
 FILTER(
  'Raw Data'!C:C,
  'Raw Data'!D:D=A12
 )
)"),3.0)</f>
        <v>3</v>
      </c>
      <c r="E12" s="91" t="str">
        <f>IFERROR(__xludf.DUMMYFUNCTION("""COMPUTED_VALUE"""),"MKI")</f>
        <v>MKI</v>
      </c>
      <c r="F12" s="91" t="str">
        <f>IFERROR(__xludf.DUMMYFUNCTION("""COMPUTED_VALUE"""),"8 Door")</f>
        <v>8 Door</v>
      </c>
      <c r="G12" s="159">
        <f>IFERROR(__xludf.DUMMYFUNCTION("""COMPUTED_VALUE"""),8.0)</f>
        <v>8</v>
      </c>
      <c r="H12" s="159">
        <f>IFERROR(__xludf.DUMMYFUNCTION("""COMPUTED_VALUE"""),10.0)</f>
        <v>10</v>
      </c>
      <c r="I12" s="160">
        <f t="shared" si="1"/>
        <v>0.4444444444</v>
      </c>
      <c r="J12" s="159">
        <f t="shared" si="2"/>
        <v>18</v>
      </c>
      <c r="K12" s="161">
        <f t="shared" si="3"/>
        <v>0.245592311</v>
      </c>
      <c r="P12" s="91">
        <f>IFERROR(__xludf.DUMMYFUNCTION("COUNTUNIQUE(
 FILTER(
  'Raw Data'!C:C,
  'Raw Data'!D:D=N12,
  'Raw Data'!B:B&gt;=DATE(YEAR(TODAY()),MONTH(TODAY()),1)
 )
)"),1.0)</f>
        <v>1</v>
      </c>
      <c r="T12" s="162"/>
      <c r="U12" s="162"/>
      <c r="V12" s="160">
        <f t="shared" si="4"/>
        <v>0</v>
      </c>
      <c r="W12" s="162">
        <f t="shared" si="5"/>
        <v>0</v>
      </c>
    </row>
    <row r="13" ht="22.5" customHeight="1">
      <c r="A13" s="91" t="str">
        <f>IFERROR(__xludf.DUMMYFUNCTION("""COMPUTED_VALUE"""),"DAL")</f>
        <v>DAL</v>
      </c>
      <c r="B13" s="91">
        <f>IFERROR(__xludf.DUMMYFUNCTION("""COMPUTED_VALUE"""),13.0)</f>
        <v>13</v>
      </c>
      <c r="C13" s="91">
        <f>IFERROR(__xludf.DUMMYFUNCTION("COUNTUNIQUE(
 FILTER(
  'Raw Data'!C:C,
  'Raw Data'!D:D=A13
 )
)"),1.0)</f>
        <v>1</v>
      </c>
      <c r="E13" s="91" t="str">
        <f>IFERROR(__xludf.DUMMYFUNCTION("""COMPUTED_VALUE"""),"AYT")</f>
        <v>AYT</v>
      </c>
      <c r="F13" s="91" t="str">
        <f>IFERROR(__xludf.DUMMYFUNCTION("""COMPUTED_VALUE"""),"8 Pants")</f>
        <v>8 Pants</v>
      </c>
      <c r="G13" s="159">
        <f>IFERROR(__xludf.DUMMYFUNCTION("""COMPUTED_VALUE"""),6.0)</f>
        <v>6</v>
      </c>
      <c r="H13" s="159">
        <f>IFERROR(__xludf.DUMMYFUNCTION("""COMPUTED_VALUE"""),2.0)</f>
        <v>2</v>
      </c>
      <c r="I13" s="160">
        <f t="shared" si="1"/>
        <v>0.75</v>
      </c>
      <c r="J13" s="159">
        <f t="shared" si="2"/>
        <v>8</v>
      </c>
      <c r="K13" s="161">
        <f t="shared" si="3"/>
        <v>0.4092698791</v>
      </c>
      <c r="P13" s="91">
        <f>IFERROR(__xludf.DUMMYFUNCTION("COUNTUNIQUE(
 FILTER(
  'Raw Data'!C:C,
  'Raw Data'!D:D=N13,
  'Raw Data'!B:B&gt;=DATE(YEAR(TODAY()),MONTH(TODAY()),1)
 )
)"),1.0)</f>
        <v>1</v>
      </c>
      <c r="T13" s="162"/>
      <c r="U13" s="162"/>
      <c r="V13" s="160">
        <f t="shared" si="4"/>
        <v>0</v>
      </c>
      <c r="W13" s="162">
        <f t="shared" si="5"/>
        <v>0</v>
      </c>
    </row>
    <row r="14" ht="22.5" customHeight="1">
      <c r="A14" s="91" t="str">
        <f>IFERROR(__xludf.DUMMYFUNCTION("""COMPUTED_VALUE"""),"GCR")</f>
        <v>GCR</v>
      </c>
      <c r="B14" s="91">
        <f>IFERROR(__xludf.DUMMYFUNCTION("""COMPUTED_VALUE"""),13.0)</f>
        <v>13</v>
      </c>
      <c r="C14" s="91">
        <f>IFERROR(__xludf.DUMMYFUNCTION("COUNTUNIQUE(
 FILTER(
  'Raw Data'!C:C,
  'Raw Data'!D:D=A14
 )
)"),2.0)</f>
        <v>2</v>
      </c>
      <c r="E14" s="91" t="str">
        <f>IFERROR(__xludf.DUMMYFUNCTION("""COMPUTED_VALUE"""),"DDD")</f>
        <v>DDD</v>
      </c>
      <c r="F14" s="91" t="str">
        <f>IFERROR(__xludf.DUMMYFUNCTION("""COMPUTED_VALUE"""),"8 Choice")</f>
        <v>8 Choice</v>
      </c>
      <c r="G14" s="159">
        <f>IFERROR(__xludf.DUMMYFUNCTION("""COMPUTED_VALUE"""),6.0)</f>
        <v>6</v>
      </c>
      <c r="H14" s="159">
        <f>IFERROR(__xludf.DUMMYFUNCTION("""COMPUTED_VALUE"""),4.0)</f>
        <v>4</v>
      </c>
      <c r="I14" s="160">
        <f t="shared" si="1"/>
        <v>0.6</v>
      </c>
      <c r="J14" s="159">
        <f t="shared" si="2"/>
        <v>10</v>
      </c>
      <c r="K14" s="161">
        <f t="shared" si="3"/>
        <v>0.3126695475</v>
      </c>
      <c r="P14" s="91">
        <f>IFERROR(__xludf.DUMMYFUNCTION("COUNTUNIQUE(
 FILTER(
  'Raw Data'!C:C,
  'Raw Data'!D:D=N14,
  'Raw Data'!B:B&gt;=DATE(YEAR(TODAY()),MONTH(TODAY()),1)
 )
)"),1.0)</f>
        <v>1</v>
      </c>
      <c r="T14" s="162"/>
      <c r="U14" s="162"/>
      <c r="V14" s="160">
        <f t="shared" si="4"/>
        <v>0</v>
      </c>
      <c r="W14" s="162">
        <f t="shared" si="5"/>
        <v>0</v>
      </c>
    </row>
    <row r="15" ht="22.5" customHeight="1">
      <c r="A15" s="91" t="str">
        <f>IFERROR(__xludf.DUMMYFUNCTION("""COMPUTED_VALUE"""),"OVL")</f>
        <v>OVL</v>
      </c>
      <c r="B15" s="91">
        <f>IFERROR(__xludf.DUMMYFUNCTION("""COMPUTED_VALUE"""),12.0)</f>
        <v>12</v>
      </c>
      <c r="C15" s="91">
        <f>IFERROR(__xludf.DUMMYFUNCTION("COUNTUNIQUE(
 FILTER(
  'Raw Data'!C:C,
  'Raw Data'!D:D=A15
 )
)"),3.0)</f>
        <v>3</v>
      </c>
      <c r="E15" s="91" t="str">
        <f>IFERROR(__xludf.DUMMYFUNCTION("""COMPUTED_VALUE"""),"GCR")</f>
        <v>GCR</v>
      </c>
      <c r="F15" s="91" t="str">
        <f>IFERROR(__xludf.DUMMYFUNCTION("""COMPUTED_VALUE"""),"8 Door")</f>
        <v>8 Door</v>
      </c>
      <c r="G15" s="159">
        <f>IFERROR(__xludf.DUMMYFUNCTION("""COMPUTED_VALUE"""),6.0)</f>
        <v>6</v>
      </c>
      <c r="H15" s="159">
        <f>IFERROR(__xludf.DUMMYFUNCTION("""COMPUTED_VALUE"""),7.0)</f>
        <v>7</v>
      </c>
      <c r="I15" s="160">
        <f t="shared" si="1"/>
        <v>0.4615384615</v>
      </c>
      <c r="J15" s="159">
        <f t="shared" si="2"/>
        <v>13</v>
      </c>
      <c r="K15" s="161">
        <f t="shared" si="3"/>
        <v>0.232057543</v>
      </c>
      <c r="P15" s="91">
        <f>IFERROR(__xludf.DUMMYFUNCTION("COUNTUNIQUE(
 FILTER(
  'Raw Data'!C:C,
  'Raw Data'!D:D=N15,
  'Raw Data'!B:B&gt;=DATE(YEAR(TODAY()),MONTH(TODAY()),1)
 )
)"),1.0)</f>
        <v>1</v>
      </c>
      <c r="T15" s="162"/>
      <c r="U15" s="162"/>
      <c r="V15" s="160">
        <f t="shared" si="4"/>
        <v>0</v>
      </c>
      <c r="W15" s="162">
        <f t="shared" si="5"/>
        <v>0</v>
      </c>
    </row>
    <row r="16" ht="22.5" customHeight="1">
      <c r="A16" s="91" t="str">
        <f>IFERROR(__xludf.DUMMYFUNCTION("""COMPUTED_VALUE"""),"5HY")</f>
        <v>5HY</v>
      </c>
      <c r="B16" s="91">
        <f>IFERROR(__xludf.DUMMYFUNCTION("""COMPUTED_VALUE"""),9.0)</f>
        <v>9</v>
      </c>
      <c r="C16" s="91">
        <f>IFERROR(__xludf.DUMMYFUNCTION("COUNTUNIQUE(
 FILTER(
  'Raw Data'!C:C,
  'Raw Data'!D:D=A16
 )
)"),1.0)</f>
        <v>1</v>
      </c>
      <c r="E16" s="91" t="str">
        <f>IFERROR(__xludf.DUMMYFUNCTION("""COMPUTED_VALUE"""),"HOL")</f>
        <v>HOL</v>
      </c>
      <c r="F16" s="91" t="str">
        <f>IFERROR(__xludf.DUMMYFUNCTION("""COMPUTED_VALUE"""),"Polka Choco")</f>
        <v>Polka Choco</v>
      </c>
      <c r="G16" s="159">
        <f>IFERROR(__xludf.DUMMYFUNCTION("""COMPUTED_VALUE"""),6.0)</f>
        <v>6</v>
      </c>
      <c r="H16" s="159">
        <f>IFERROR(__xludf.DUMMYFUNCTION("""COMPUTED_VALUE"""),3.0)</f>
        <v>3</v>
      </c>
      <c r="I16" s="160">
        <f t="shared" si="1"/>
        <v>0.6666666667</v>
      </c>
      <c r="J16" s="159">
        <f t="shared" si="2"/>
        <v>9</v>
      </c>
      <c r="K16" s="161">
        <f t="shared" si="3"/>
        <v>0.3541973475</v>
      </c>
      <c r="P16" s="91">
        <f>IFERROR(__xludf.DUMMYFUNCTION("COUNTUNIQUE(
 FILTER(
  'Raw Data'!C:C,
  'Raw Data'!D:D=N16,
  'Raw Data'!B:B&gt;=DATE(YEAR(TODAY()),MONTH(TODAY()),1)
 )
)"),1.0)</f>
        <v>1</v>
      </c>
      <c r="T16" s="162"/>
      <c r="U16" s="162"/>
      <c r="V16" s="160">
        <f t="shared" si="4"/>
        <v>0</v>
      </c>
      <c r="W16" s="162">
        <f t="shared" si="5"/>
        <v>0</v>
      </c>
    </row>
    <row r="17" ht="22.5" customHeight="1">
      <c r="A17" s="91" t="str">
        <f>IFERROR(__xludf.DUMMYFUNCTION("""COMPUTED_VALUE"""),"FT")</f>
        <v>FT</v>
      </c>
      <c r="B17" s="91">
        <f>IFERROR(__xludf.DUMMYFUNCTION("""COMPUTED_VALUE"""),9.0)</f>
        <v>9</v>
      </c>
      <c r="C17" s="91">
        <f>IFERROR(__xludf.DUMMYFUNCTION("COUNTUNIQUE(
 FILTER(
  'Raw Data'!C:C,
  'Raw Data'!D:D=A17
 )
)"),1.0)</f>
        <v>1</v>
      </c>
      <c r="E17" s="91" t="str">
        <f>IFERROR(__xludf.DUMMYFUNCTION("""COMPUTED_VALUE"""),"5HY")</f>
        <v>5HY</v>
      </c>
      <c r="F17" s="91" t="str">
        <f>IFERROR(__xludf.DUMMYFUNCTION("""COMPUTED_VALUE"""),"Nino")</f>
        <v>Nino</v>
      </c>
      <c r="G17" s="159">
        <f>IFERROR(__xludf.DUMMYFUNCTION("""COMPUTED_VALUE"""),5.0)</f>
        <v>5</v>
      </c>
      <c r="H17" s="159">
        <f>IFERROR(__xludf.DUMMYFUNCTION("""COMPUTED_VALUE"""),4.0)</f>
        <v>4</v>
      </c>
      <c r="I17" s="160">
        <f t="shared" si="1"/>
        <v>0.5555555556</v>
      </c>
      <c r="J17" s="159">
        <f t="shared" si="2"/>
        <v>9</v>
      </c>
      <c r="K17" s="161">
        <f t="shared" si="3"/>
        <v>0.2666473457</v>
      </c>
      <c r="P17" s="91">
        <f>IFERROR(__xludf.DUMMYFUNCTION("COUNTUNIQUE(
 FILTER(
  'Raw Data'!C:C,
  'Raw Data'!D:D=N17,
  'Raw Data'!B:B&gt;=DATE(YEAR(TODAY()),MONTH(TODAY()),1)
 )
)"),1.0)</f>
        <v>1</v>
      </c>
      <c r="T17" s="162"/>
      <c r="U17" s="162"/>
      <c r="V17" s="160">
        <f t="shared" si="4"/>
        <v>0</v>
      </c>
      <c r="W17" s="162">
        <f t="shared" si="5"/>
        <v>0</v>
      </c>
    </row>
    <row r="18" ht="22.5" customHeight="1">
      <c r="A18" s="91" t="str">
        <f>IFERROR(__xludf.DUMMYFUNCTION("""COMPUTED_VALUE"""),"HOL")</f>
        <v>HOL</v>
      </c>
      <c r="B18" s="91">
        <f>IFERROR(__xludf.DUMMYFUNCTION("""COMPUTED_VALUE"""),9.0)</f>
        <v>9</v>
      </c>
      <c r="C18" s="91">
        <f>IFERROR(__xludf.DUMMYFUNCTION("COUNTUNIQUE(
 FILTER(
  'Raw Data'!C:C,
  'Raw Data'!D:D=A18
 )
)"),1.0)</f>
        <v>1</v>
      </c>
      <c r="E18" s="91" t="str">
        <f>IFERROR(__xludf.DUMMYFUNCTION("""COMPUTED_VALUE"""),"AZL")</f>
        <v>AZL</v>
      </c>
      <c r="F18" s="91" t="str">
        <f>IFERROR(__xludf.DUMMYFUNCTION("""COMPUTED_VALUE"""),"8 Standby")</f>
        <v>8 Standby</v>
      </c>
      <c r="G18" s="159">
        <f>IFERROR(__xludf.DUMMYFUNCTION("""COMPUTED_VALUE"""),4.0)</f>
        <v>4</v>
      </c>
      <c r="H18" s="159">
        <f>IFERROR(__xludf.DUMMYFUNCTION("""COMPUTED_VALUE"""),1.0)</f>
        <v>1</v>
      </c>
      <c r="I18" s="160">
        <f t="shared" si="1"/>
        <v>0.8</v>
      </c>
      <c r="J18" s="159">
        <f t="shared" si="2"/>
        <v>5</v>
      </c>
      <c r="K18" s="161">
        <f t="shared" si="3"/>
        <v>0.3755282641</v>
      </c>
      <c r="P18" s="91">
        <f>IFERROR(__xludf.DUMMYFUNCTION("COUNTUNIQUE(
 FILTER(
  'Raw Data'!C:C,
  'Raw Data'!D:D=N18,
  'Raw Data'!B:B&gt;=DATE(YEAR(TODAY()),MONTH(TODAY()),1)
 )
)"),1.0)</f>
        <v>1</v>
      </c>
      <c r="T18" s="162"/>
      <c r="U18" s="162"/>
      <c r="V18" s="160">
        <f t="shared" si="4"/>
        <v>0</v>
      </c>
      <c r="W18" s="162">
        <f t="shared" si="5"/>
        <v>0</v>
      </c>
    </row>
    <row r="19" ht="22.5" customHeight="1">
      <c r="A19" s="91" t="str">
        <f>IFERROR(__xludf.DUMMYFUNCTION("""COMPUTED_VALUE"""),"LRC")</f>
        <v>LRC</v>
      </c>
      <c r="B19" s="91">
        <f>IFERROR(__xludf.DUMMYFUNCTION("""COMPUTED_VALUE"""),9.0)</f>
        <v>9</v>
      </c>
      <c r="C19" s="91">
        <f>IFERROR(__xludf.DUMMYFUNCTION("COUNTUNIQUE(
 FILTER(
  'Raw Data'!C:C,
  'Raw Data'!D:D=A19
 )
)"),2.0)</f>
        <v>2</v>
      </c>
      <c r="E19" s="91" t="str">
        <f>IFERROR(__xludf.DUMMYFUNCTION("""COMPUTED_VALUE"""),"EIS")</f>
        <v>EIS</v>
      </c>
      <c r="F19" s="91" t="str">
        <f>IFERROR(__xludf.DUMMYFUNCTION("""COMPUTED_VALUE"""),"6 Standby 2 Door")</f>
        <v>6 Standby 2 Door</v>
      </c>
      <c r="G19" s="159">
        <f>IFERROR(__xludf.DUMMYFUNCTION("""COMPUTED_VALUE"""),4.0)</f>
        <v>4</v>
      </c>
      <c r="H19" s="159">
        <f>IFERROR(__xludf.DUMMYFUNCTION("""COMPUTED_VALUE"""),5.0)</f>
        <v>5</v>
      </c>
      <c r="I19" s="160">
        <f t="shared" si="1"/>
        <v>0.4444444444</v>
      </c>
      <c r="J19" s="159">
        <f t="shared" si="2"/>
        <v>9</v>
      </c>
      <c r="K19" s="161">
        <f t="shared" si="3"/>
        <v>0.1887754295</v>
      </c>
      <c r="P19" s="91">
        <f>IFERROR(__xludf.DUMMYFUNCTION("COUNTUNIQUE(
 FILTER(
  'Raw Data'!C:C,
  'Raw Data'!D:D=N19,
  'Raw Data'!B:B&gt;=DATE(YEAR(TODAY()),MONTH(TODAY()),1)
 )
)"),1.0)</f>
        <v>1</v>
      </c>
      <c r="T19" s="162"/>
      <c r="U19" s="162"/>
      <c r="V19" s="160">
        <f t="shared" si="4"/>
        <v>0</v>
      </c>
      <c r="W19" s="162">
        <f t="shared" si="5"/>
        <v>0</v>
      </c>
    </row>
    <row r="20" ht="22.5" customHeight="1">
      <c r="A20" s="91" t="str">
        <f>IFERROR(__xludf.DUMMYFUNCTION("""COMPUTED_VALUE"""),"AYT")</f>
        <v>AYT</v>
      </c>
      <c r="B20" s="91">
        <f>IFERROR(__xludf.DUMMYFUNCTION("""COMPUTED_VALUE"""),8.0)</f>
        <v>8</v>
      </c>
      <c r="C20" s="91">
        <f>IFERROR(__xludf.DUMMYFUNCTION("COUNTUNIQUE(
 FILTER(
  'Raw Data'!C:C,
  'Raw Data'!D:D=A20
 )
)"),2.0)</f>
        <v>2</v>
      </c>
      <c r="E20" s="91" t="str">
        <f>IFERROR(__xludf.DUMMYFUNCTION("""COMPUTED_VALUE"""),"EIS")</f>
        <v>EIS</v>
      </c>
      <c r="F20" s="91" t="str">
        <f>IFERROR(__xludf.DUMMYFUNCTION("""COMPUTED_VALUE"""),"8 Pants Atomic 1+3")</f>
        <v>8 Pants Atomic 1+3</v>
      </c>
      <c r="G20" s="159">
        <f>IFERROR(__xludf.DUMMYFUNCTION("""COMPUTED_VALUE"""),4.0)</f>
        <v>4</v>
      </c>
      <c r="H20" s="159">
        <f>IFERROR(__xludf.DUMMYFUNCTION("""COMPUTED_VALUE"""),4.0)</f>
        <v>4</v>
      </c>
      <c r="I20" s="160">
        <f t="shared" si="1"/>
        <v>0.5</v>
      </c>
      <c r="J20" s="159">
        <f t="shared" si="2"/>
        <v>8</v>
      </c>
      <c r="K20" s="161">
        <f t="shared" si="3"/>
        <v>0.2152125268</v>
      </c>
      <c r="P20" s="91">
        <f>IFERROR(__xludf.DUMMYFUNCTION("COUNTUNIQUE(
 FILTER(
  'Raw Data'!C:C,
  'Raw Data'!D:D=N20,
  'Raw Data'!B:B&gt;=DATE(YEAR(TODAY()),MONTH(TODAY()),1)
 )
)"),1.0)</f>
        <v>1</v>
      </c>
      <c r="T20" s="162"/>
      <c r="U20" s="162"/>
      <c r="V20" s="160">
        <f t="shared" si="4"/>
        <v>0</v>
      </c>
      <c r="W20" s="162">
        <f t="shared" si="5"/>
        <v>0</v>
      </c>
    </row>
    <row r="21" ht="22.5" customHeight="1">
      <c r="A21" s="91" t="str">
        <f>IFERROR(__xludf.DUMMYFUNCTION("""COMPUTED_VALUE"""),"BAV")</f>
        <v>BAV</v>
      </c>
      <c r="B21" s="91">
        <f>IFERROR(__xludf.DUMMYFUNCTION("""COMPUTED_VALUE"""),8.0)</f>
        <v>8</v>
      </c>
      <c r="C21" s="91">
        <f>IFERROR(__xludf.DUMMYFUNCTION("COUNTUNIQUE(
 FILTER(
  'Raw Data'!C:C,
  'Raw Data'!D:D=A21
 )
)"),1.0)</f>
        <v>1</v>
      </c>
      <c r="E21" s="91" t="str">
        <f>IFERROR(__xludf.DUMMYFUNCTION("""COMPUTED_VALUE"""),"Fxx")</f>
        <v>Fxx</v>
      </c>
      <c r="F21" s="91" t="str">
        <f>IFERROR(__xludf.DUMMYFUNCTION("""COMPUTED_VALUE"""),"8 Standby")</f>
        <v>8 Standby</v>
      </c>
      <c r="G21" s="159">
        <f>IFERROR(__xludf.DUMMYFUNCTION("""COMPUTED_VALUE"""),4.0)</f>
        <v>4</v>
      </c>
      <c r="H21" s="159">
        <f>IFERROR(__xludf.DUMMYFUNCTION("""COMPUTED_VALUE"""),5.0)</f>
        <v>5</v>
      </c>
      <c r="I21" s="160">
        <f t="shared" si="1"/>
        <v>0.4444444444</v>
      </c>
      <c r="J21" s="159">
        <f t="shared" si="2"/>
        <v>9</v>
      </c>
      <c r="K21" s="161">
        <f t="shared" si="3"/>
        <v>0.1887754295</v>
      </c>
      <c r="P21" s="91">
        <f>IFERROR(__xludf.DUMMYFUNCTION("COUNTUNIQUE(
 FILTER(
  'Raw Data'!C:C,
  'Raw Data'!D:D=N21,
  'Raw Data'!B:B&gt;=DATE(YEAR(TODAY()),MONTH(TODAY()),1)
 )
)"),1.0)</f>
        <v>1</v>
      </c>
      <c r="T21" s="162"/>
      <c r="U21" s="162"/>
      <c r="V21" s="160">
        <f t="shared" si="4"/>
        <v>0</v>
      </c>
      <c r="W21" s="162">
        <f t="shared" si="5"/>
        <v>0</v>
      </c>
    </row>
    <row r="22" ht="22.5" customHeight="1">
      <c r="A22" s="91" t="str">
        <f>IFERROR(__xludf.DUMMYFUNCTION("""COMPUTED_VALUE"""),"RKN")</f>
        <v>RKN</v>
      </c>
      <c r="B22" s="91">
        <f>IFERROR(__xludf.DUMMYFUNCTION("""COMPUTED_VALUE"""),5.0)</f>
        <v>5</v>
      </c>
      <c r="C22" s="91">
        <f>IFERROR(__xludf.DUMMYFUNCTION("COUNTUNIQUE(
 FILTER(
  'Raw Data'!C:C,
  'Raw Data'!D:D=A22
 )
)"),1.0)</f>
        <v>1</v>
      </c>
      <c r="E22" s="91" t="str">
        <f>IFERROR(__xludf.DUMMYFUNCTION("""COMPUTED_VALUE"""),"LRC")</f>
        <v>LRC</v>
      </c>
      <c r="F22" s="91" t="str">
        <f>IFERROR(__xludf.DUMMYFUNCTION("""COMPUTED_VALUE"""),"8 Door")</f>
        <v>8 Door</v>
      </c>
      <c r="G22" s="159">
        <f>IFERROR(__xludf.DUMMYFUNCTION("""COMPUTED_VALUE"""),4.0)</f>
        <v>4</v>
      </c>
      <c r="H22" s="159">
        <f>IFERROR(__xludf.DUMMYFUNCTION("""COMPUTED_VALUE"""),1.0)</f>
        <v>1</v>
      </c>
      <c r="I22" s="160">
        <f t="shared" si="1"/>
        <v>0.8</v>
      </c>
      <c r="J22" s="159">
        <f t="shared" si="2"/>
        <v>5</v>
      </c>
      <c r="K22" s="161">
        <f t="shared" si="3"/>
        <v>0.3755282641</v>
      </c>
      <c r="P22" s="91">
        <f>IFERROR(__xludf.DUMMYFUNCTION("COUNTUNIQUE(
 FILTER(
  'Raw Data'!C:C,
  'Raw Data'!D:D=N22,
  'Raw Data'!B:B&gt;=DATE(YEAR(TODAY()),MONTH(TODAY()),1)
 )
)"),1.0)</f>
        <v>1</v>
      </c>
      <c r="T22" s="162"/>
      <c r="U22" s="162"/>
      <c r="V22" s="160">
        <f t="shared" si="4"/>
        <v>0</v>
      </c>
      <c r="W22" s="162">
        <f t="shared" si="5"/>
        <v>0</v>
      </c>
    </row>
    <row r="23" ht="22.5" customHeight="1">
      <c r="A23" s="91" t="str">
        <f>IFERROR(__xludf.DUMMYFUNCTION("""COMPUTED_VALUE"""),"SAO")</f>
        <v>SAO</v>
      </c>
      <c r="B23" s="91">
        <f>IFERROR(__xludf.DUMMYFUNCTION("""COMPUTED_VALUE"""),5.0)</f>
        <v>5</v>
      </c>
      <c r="C23" s="91">
        <f>IFERROR(__xludf.DUMMYFUNCTION("COUNTUNIQUE(
 FILTER(
  'Raw Data'!C:C,
  'Raw Data'!D:D=A23
 )
)"),1.0)</f>
        <v>1</v>
      </c>
      <c r="E23" s="91" t="str">
        <f>IFERROR(__xludf.DUMMYFUNCTION("""COMPUTED_VALUE"""),"BAV")</f>
        <v>BAV</v>
      </c>
      <c r="F23" s="91" t="str">
        <f>IFERROR(__xludf.DUMMYFUNCTION("""COMPUTED_VALUE"""),"Pants Choice")</f>
        <v>Pants Choice</v>
      </c>
      <c r="G23" s="159">
        <f>IFERROR(__xludf.DUMMYFUNCTION("""COMPUTED_VALUE"""),3.0)</f>
        <v>3</v>
      </c>
      <c r="H23" s="159">
        <f>IFERROR(__xludf.DUMMYFUNCTION("""COMPUTED_VALUE"""),1.0)</f>
        <v>1</v>
      </c>
      <c r="I23" s="160">
        <f t="shared" si="1"/>
        <v>0.75</v>
      </c>
      <c r="J23" s="159">
        <f t="shared" si="2"/>
        <v>4</v>
      </c>
      <c r="K23" s="161">
        <f t="shared" si="3"/>
        <v>0.3006360524</v>
      </c>
      <c r="P23" s="91">
        <f>IFERROR(__xludf.DUMMYFUNCTION("COUNTUNIQUE(
 FILTER(
  'Raw Data'!C:C,
  'Raw Data'!D:D=N23,
  'Raw Data'!B:B&gt;=DATE(YEAR(TODAY()),MONTH(TODAY()),1)
 )
)"),1.0)</f>
        <v>1</v>
      </c>
      <c r="T23" s="162"/>
      <c r="U23" s="162"/>
      <c r="V23" s="160">
        <f t="shared" si="4"/>
        <v>0</v>
      </c>
      <c r="W23" s="162">
        <f t="shared" si="5"/>
        <v>0</v>
      </c>
    </row>
    <row r="24" ht="22.5" customHeight="1">
      <c r="A24" s="91" t="str">
        <f>IFERROR(__xludf.DUMMYFUNCTION("""COMPUTED_VALUE"""),"ARI")</f>
        <v>ARI</v>
      </c>
      <c r="B24" s="91">
        <f>IFERROR(__xludf.DUMMYFUNCTION("""COMPUTED_VALUE"""),4.0)</f>
        <v>4</v>
      </c>
      <c r="C24" s="91">
        <f>IFERROR(__xludf.DUMMYFUNCTION("COUNTUNIQUE(
 FILTER(
  'Raw Data'!C:C,
  'Raw Data'!D:D=A24
 )
)"),1.0)</f>
        <v>1</v>
      </c>
      <c r="E24" s="91" t="str">
        <f>IFERROR(__xludf.DUMMYFUNCTION("""COMPUTED_VALUE"""),"BD")</f>
        <v>BD</v>
      </c>
      <c r="F24" s="91" t="str">
        <f>IFERROR(__xludf.DUMMYFUNCTION("""COMPUTED_VALUE"""),"Bar Door")</f>
        <v>Bar Door</v>
      </c>
      <c r="G24" s="159">
        <f>IFERROR(__xludf.DUMMYFUNCTION("""COMPUTED_VALUE"""),3.0)</f>
        <v>3</v>
      </c>
      <c r="H24" s="159">
        <f>IFERROR(__xludf.DUMMYFUNCTION("""COMPUTED_VALUE"""),1.0)</f>
        <v>1</v>
      </c>
      <c r="I24" s="160">
        <f t="shared" si="1"/>
        <v>0.75</v>
      </c>
      <c r="J24" s="159">
        <f t="shared" si="2"/>
        <v>4</v>
      </c>
      <c r="K24" s="161">
        <f t="shared" si="3"/>
        <v>0.3006360524</v>
      </c>
      <c r="P24" s="91">
        <f>IFERROR(__xludf.DUMMYFUNCTION("COUNTUNIQUE(
 FILTER(
  'Raw Data'!C:C,
  'Raw Data'!D:D=N24,
  'Raw Data'!B:B&gt;=DATE(YEAR(TODAY()),MONTH(TODAY()),1)
 )
)"),1.0)</f>
        <v>1</v>
      </c>
      <c r="T24" s="162"/>
      <c r="U24" s="162"/>
      <c r="V24" s="160">
        <f t="shared" si="4"/>
        <v>0</v>
      </c>
      <c r="W24" s="162">
        <f t="shared" si="5"/>
        <v>0</v>
      </c>
    </row>
    <row r="25" ht="22.5" customHeight="1">
      <c r="A25" s="91" t="str">
        <f>IFERROR(__xludf.DUMMYFUNCTION("""COMPUTED_VALUE"""),"BD")</f>
        <v>BD</v>
      </c>
      <c r="B25" s="91">
        <f>IFERROR(__xludf.DUMMYFUNCTION("""COMPUTED_VALUE"""),4.0)</f>
        <v>4</v>
      </c>
      <c r="C25" s="91">
        <f>IFERROR(__xludf.DUMMYFUNCTION("COUNTUNIQUE(
 FILTER(
  'Raw Data'!C:C,
  'Raw Data'!D:D=A25
 )
)"),1.0)</f>
        <v>1</v>
      </c>
      <c r="E25" s="91" t="str">
        <f>IFERROR(__xludf.DUMMYFUNCTION("""COMPUTED_VALUE"""),"CSM")</f>
        <v>CSM</v>
      </c>
      <c r="F25" s="91" t="str">
        <f>IFERROR(__xludf.DUMMYFUNCTION("""COMPUTED_VALUE"""),"StockSoul Standby")</f>
        <v>StockSoul Standby</v>
      </c>
      <c r="G25" s="159">
        <f>IFERROR(__xludf.DUMMYFUNCTION("""COMPUTED_VALUE"""),3.0)</f>
        <v>3</v>
      </c>
      <c r="H25" s="159">
        <f>IFERROR(__xludf.DUMMYFUNCTION("""COMPUTED_VALUE"""),1.0)</f>
        <v>1</v>
      </c>
      <c r="I25" s="160">
        <f t="shared" si="1"/>
        <v>0.75</v>
      </c>
      <c r="J25" s="159">
        <f t="shared" si="2"/>
        <v>4</v>
      </c>
      <c r="K25" s="161">
        <f t="shared" si="3"/>
        <v>0.3006360524</v>
      </c>
      <c r="P25" s="91">
        <f>IFERROR(__xludf.DUMMYFUNCTION("COUNTUNIQUE(
 FILTER(
  'Raw Data'!C:C,
  'Raw Data'!D:D=N25,
  'Raw Data'!B:B&gt;=DATE(YEAR(TODAY()),MONTH(TODAY()),1)
 )
)"),1.0)</f>
        <v>1</v>
      </c>
      <c r="T25" s="162"/>
      <c r="U25" s="162"/>
      <c r="V25" s="160">
        <f t="shared" si="4"/>
        <v>0</v>
      </c>
      <c r="W25" s="162">
        <f t="shared" si="5"/>
        <v>0</v>
      </c>
    </row>
    <row r="26" ht="22.5" customHeight="1">
      <c r="A26" s="91" t="str">
        <f>IFERROR(__xludf.DUMMYFUNCTION("""COMPUTED_VALUE"""),"BTR")</f>
        <v>BTR</v>
      </c>
      <c r="B26" s="91">
        <f>IFERROR(__xludf.DUMMYFUNCTION("""COMPUTED_VALUE"""),4.0)</f>
        <v>4</v>
      </c>
      <c r="C26" s="91">
        <f>IFERROR(__xludf.DUMMYFUNCTION("COUNTUNIQUE(
 FILTER(
  'Raw Data'!C:C,
  'Raw Data'!D:D=A26
 )
)"),1.0)</f>
        <v>1</v>
      </c>
      <c r="E26" s="91" t="str">
        <f>IFERROR(__xludf.DUMMYFUNCTION("""COMPUTED_VALUE"""),"DDD")</f>
        <v>DDD</v>
      </c>
      <c r="F26" s="91" t="str">
        <f>IFERROR(__xludf.DUMMYFUNCTION("""COMPUTED_VALUE"""),"8 Bar")</f>
        <v>8 Bar</v>
      </c>
      <c r="G26" s="159">
        <f>IFERROR(__xludf.DUMMYFUNCTION("""COMPUTED_VALUE"""),3.0)</f>
        <v>3</v>
      </c>
      <c r="H26" s="159">
        <f>IFERROR(__xludf.DUMMYFUNCTION("""COMPUTED_VALUE"""),1.0)</f>
        <v>1</v>
      </c>
      <c r="I26" s="160">
        <f t="shared" si="1"/>
        <v>0.75</v>
      </c>
      <c r="J26" s="159">
        <f t="shared" si="2"/>
        <v>4</v>
      </c>
      <c r="K26" s="161">
        <f t="shared" si="3"/>
        <v>0.3006360524</v>
      </c>
      <c r="P26" s="91">
        <f>IFERROR(__xludf.DUMMYFUNCTION("COUNTUNIQUE(
 FILTER(
  'Raw Data'!C:C,
  'Raw Data'!D:D=N26,
  'Raw Data'!B:B&gt;=DATE(YEAR(TODAY()),MONTH(TODAY()),1)
 )
)"),1.0)</f>
        <v>1</v>
      </c>
      <c r="T26" s="162"/>
      <c r="U26" s="162"/>
      <c r="V26" s="160">
        <f t="shared" si="4"/>
        <v>0</v>
      </c>
      <c r="W26" s="162">
        <f t="shared" si="5"/>
        <v>0</v>
      </c>
    </row>
    <row r="27" ht="22.5" customHeight="1">
      <c r="A27" s="91" t="str">
        <f>IFERROR(__xludf.DUMMYFUNCTION("""COMPUTED_VALUE"""),"GRI")</f>
        <v>GRI</v>
      </c>
      <c r="B27" s="91">
        <f>IFERROR(__xludf.DUMMYFUNCTION("""COMPUTED_VALUE"""),4.0)</f>
        <v>4</v>
      </c>
      <c r="C27" s="91">
        <f>IFERROR(__xludf.DUMMYFUNCTION("COUNTUNIQUE(
 FILTER(
  'Raw Data'!C:C,
  'Raw Data'!D:D=A27
 )
)"),1.0)</f>
        <v>1</v>
      </c>
      <c r="E27" s="91" t="str">
        <f>IFERROR(__xludf.DUMMYFUNCTION("""COMPUTED_VALUE"""),"EIS")</f>
        <v>EIS</v>
      </c>
      <c r="F27" s="91" t="str">
        <f>IFERROR(__xludf.DUMMYFUNCTION("""COMPUTED_VALUE"""),"5 Door 3 Pants Sortie")</f>
        <v>5 Door 3 Pants Sortie</v>
      </c>
      <c r="G27" s="159">
        <f>IFERROR(__xludf.DUMMYFUNCTION("""COMPUTED_VALUE"""),3.0)</f>
        <v>3</v>
      </c>
      <c r="H27" s="159">
        <f>IFERROR(__xludf.DUMMYFUNCTION("""COMPUTED_VALUE"""),1.0)</f>
        <v>1</v>
      </c>
      <c r="I27" s="160">
        <f t="shared" si="1"/>
        <v>0.75</v>
      </c>
      <c r="J27" s="159">
        <f t="shared" si="2"/>
        <v>4</v>
      </c>
      <c r="K27" s="161">
        <f t="shared" si="3"/>
        <v>0.3006360524</v>
      </c>
      <c r="P27" s="91">
        <f>IFERROR(__xludf.DUMMYFUNCTION("COUNTUNIQUE(
 FILTER(
  'Raw Data'!C:C,
  'Raw Data'!D:D=N27,
  'Raw Data'!B:B&gt;=DATE(YEAR(TODAY()),MONTH(TODAY()),1)
 )
)"),1.0)</f>
        <v>1</v>
      </c>
      <c r="T27" s="162"/>
      <c r="U27" s="162"/>
      <c r="V27" s="160">
        <f t="shared" si="4"/>
        <v>0</v>
      </c>
      <c r="W27" s="162">
        <f t="shared" si="5"/>
        <v>0</v>
      </c>
    </row>
    <row r="28" ht="22.5" customHeight="1">
      <c r="A28" s="91" t="str">
        <f>IFERROR(__xludf.DUMMYFUNCTION("""COMPUTED_VALUE"""),"MDE")</f>
        <v>MDE</v>
      </c>
      <c r="B28" s="91">
        <f>IFERROR(__xludf.DUMMYFUNCTION("""COMPUTED_VALUE"""),4.0)</f>
        <v>4</v>
      </c>
      <c r="C28" s="91">
        <f>IFERROR(__xludf.DUMMYFUNCTION("COUNTUNIQUE(
 FILTER(
  'Raw Data'!C:C,
  'Raw Data'!D:D=A28
 )
)"),1.0)</f>
        <v>1</v>
      </c>
      <c r="E28" s="91" t="str">
        <f>IFERROR(__xludf.DUMMYFUNCTION("""COMPUTED_VALUE"""),"FT")</f>
        <v>FT</v>
      </c>
      <c r="F28" s="91" t="str">
        <f>IFERROR(__xludf.DUMMYFUNCTION("""COMPUTED_VALUE"""),"Bar Choice")</f>
        <v>Bar Choice</v>
      </c>
      <c r="G28" s="159">
        <f>IFERROR(__xludf.DUMMYFUNCTION("""COMPUTED_VALUE"""),3.0)</f>
        <v>3</v>
      </c>
      <c r="H28" s="159">
        <f>IFERROR(__xludf.DUMMYFUNCTION("""COMPUTED_VALUE"""),6.0)</f>
        <v>6</v>
      </c>
      <c r="I28" s="160">
        <f t="shared" si="1"/>
        <v>0.3333333333</v>
      </c>
      <c r="J28" s="159">
        <f t="shared" si="2"/>
        <v>9</v>
      </c>
      <c r="K28" s="161">
        <f t="shared" si="3"/>
        <v>0.1205815987</v>
      </c>
      <c r="P28" s="91">
        <f>IFERROR(__xludf.DUMMYFUNCTION("COUNTUNIQUE(
 FILTER(
  'Raw Data'!C:C,
  'Raw Data'!D:D=N28,
  'Raw Data'!B:B&gt;=DATE(YEAR(TODAY()),MONTH(TODAY()),1)
 )
)"),1.0)</f>
        <v>1</v>
      </c>
      <c r="T28" s="162"/>
      <c r="U28" s="162"/>
      <c r="V28" s="160">
        <f t="shared" si="4"/>
        <v>0</v>
      </c>
      <c r="W28" s="162">
        <f t="shared" si="5"/>
        <v>0</v>
      </c>
    </row>
    <row r="29" ht="22.5" customHeight="1">
      <c r="A29" s="91" t="str">
        <f>IFERROR(__xludf.DUMMYFUNCTION("""COMPUTED_VALUE"""),"MM")</f>
        <v>MM</v>
      </c>
      <c r="B29" s="91">
        <f>IFERROR(__xludf.DUMMYFUNCTION("""COMPUTED_VALUE"""),4.0)</f>
        <v>4</v>
      </c>
      <c r="C29" s="91">
        <f>IFERROR(__xludf.DUMMYFUNCTION("COUNTUNIQUE(
 FILTER(
  'Raw Data'!C:C,
  'Raw Data'!D:D=A29
 )
)"),1.0)</f>
        <v>1</v>
      </c>
      <c r="E29" s="91" t="str">
        <f>IFERROR(__xludf.DUMMYFUNCTION("""COMPUTED_VALUE"""),"Fxx")</f>
        <v>Fxx</v>
      </c>
      <c r="F29" s="91" t="str">
        <f>IFERROR(__xludf.DUMMYFUNCTION("""COMPUTED_VALUE"""),"StockSoul Bar")</f>
        <v>StockSoul Bar</v>
      </c>
      <c r="G29" s="159">
        <f>IFERROR(__xludf.DUMMYFUNCTION("""COMPUTED_VALUE"""),3.0)</f>
        <v>3</v>
      </c>
      <c r="H29" s="159">
        <f>IFERROR(__xludf.DUMMYFUNCTION("""COMPUTED_VALUE"""),2.0)</f>
        <v>2</v>
      </c>
      <c r="I29" s="160">
        <f t="shared" si="1"/>
        <v>0.6</v>
      </c>
      <c r="J29" s="159">
        <f t="shared" si="2"/>
        <v>5</v>
      </c>
      <c r="K29" s="161">
        <f t="shared" si="3"/>
        <v>0.2307199322</v>
      </c>
      <c r="P29" s="91">
        <f>IFERROR(__xludf.DUMMYFUNCTION("COUNTUNIQUE(
 FILTER(
  'Raw Data'!C:C,
  'Raw Data'!D:D=N29,
  'Raw Data'!B:B&gt;=DATE(YEAR(TODAY()),MONTH(TODAY()),1)
 )
)"),1.0)</f>
        <v>1</v>
      </c>
      <c r="T29" s="162"/>
      <c r="U29" s="162"/>
      <c r="V29" s="160">
        <f t="shared" si="4"/>
        <v>0</v>
      </c>
      <c r="W29" s="162">
        <f t="shared" si="5"/>
        <v>0</v>
      </c>
    </row>
    <row r="30" ht="22.5" customHeight="1">
      <c r="A30" s="91" t="str">
        <f>IFERROR(__xludf.DUMMYFUNCTION("""COMPUTED_VALUE"""),"PJS")</f>
        <v>PJS</v>
      </c>
      <c r="B30" s="91">
        <f>IFERROR(__xludf.DUMMYFUNCTION("""COMPUTED_VALUE"""),4.0)</f>
        <v>4</v>
      </c>
      <c r="C30" s="91">
        <f>IFERROR(__xludf.DUMMYFUNCTION("COUNTUNIQUE(
 FILTER(
  'Raw Data'!C:C,
  'Raw Data'!D:D=A30
 )
)"),1.0)</f>
        <v>1</v>
      </c>
      <c r="E30" s="91" t="str">
        <f>IFERROR(__xludf.DUMMYFUNCTION("""COMPUTED_VALUE"""),"GRI")</f>
        <v>GRI</v>
      </c>
      <c r="F30" s="91" t="str">
        <f>IFERROR(__xludf.DUMMYFUNCTION("""COMPUTED_VALUE"""),"Door Pants ")</f>
        <v>Door Pants </v>
      </c>
      <c r="G30" s="159">
        <f>IFERROR(__xludf.DUMMYFUNCTION("""COMPUTED_VALUE"""),3.0)</f>
        <v>3</v>
      </c>
      <c r="H30" s="159">
        <f>IFERROR(__xludf.DUMMYFUNCTION("""COMPUTED_VALUE"""),1.0)</f>
        <v>1</v>
      </c>
      <c r="I30" s="160">
        <f t="shared" si="1"/>
        <v>0.75</v>
      </c>
      <c r="J30" s="159">
        <f t="shared" si="2"/>
        <v>4</v>
      </c>
      <c r="K30" s="161">
        <f t="shared" si="3"/>
        <v>0.3006360524</v>
      </c>
      <c r="P30" s="91">
        <f>IFERROR(__xludf.DUMMYFUNCTION("COUNTUNIQUE(
 FILTER(
  'Raw Data'!C:C,
  'Raw Data'!D:D=N30,
  'Raw Data'!B:B&gt;=DATE(YEAR(TODAY()),MONTH(TODAY()),1)
 )
)"),1.0)</f>
        <v>1</v>
      </c>
      <c r="T30" s="162"/>
      <c r="U30" s="162"/>
      <c r="V30" s="160">
        <f t="shared" si="4"/>
        <v>0</v>
      </c>
      <c r="W30" s="162">
        <f t="shared" si="5"/>
        <v>0</v>
      </c>
    </row>
    <row r="31" ht="22.5" customHeight="1">
      <c r="A31" s="91" t="str">
        <f>IFERROR(__xludf.DUMMYFUNCTION("""COMPUTED_VALUE"""),"SFN")</f>
        <v>SFN</v>
      </c>
      <c r="B31" s="91">
        <f>IFERROR(__xludf.DUMMYFUNCTION("""COMPUTED_VALUE"""),4.0)</f>
        <v>4</v>
      </c>
      <c r="C31" s="91">
        <f>IFERROR(__xludf.DUMMYFUNCTION("COUNTUNIQUE(
 FILTER(
  'Raw Data'!C:C,
  'Raw Data'!D:D=A31
 )
)"),1.0)</f>
        <v>1</v>
      </c>
      <c r="E31" s="91" t="str">
        <f>IFERROR(__xludf.DUMMYFUNCTION("""COMPUTED_VALUE"""),"ARI")</f>
        <v>ARI</v>
      </c>
      <c r="F31" s="91" t="str">
        <f>IFERROR(__xludf.DUMMYFUNCTION("""COMPUTED_VALUE"""),"2Soul Bar")</f>
        <v>2Soul Bar</v>
      </c>
      <c r="G31" s="159">
        <f>IFERROR(__xludf.DUMMYFUNCTION("""COMPUTED_VALUE"""),2.0)</f>
        <v>2</v>
      </c>
      <c r="H31" s="159">
        <f>IFERROR(__xludf.DUMMYFUNCTION("""COMPUTED_VALUE"""),2.0)</f>
        <v>2</v>
      </c>
      <c r="I31" s="160">
        <f t="shared" si="1"/>
        <v>0.5</v>
      </c>
      <c r="J31" s="159">
        <f t="shared" si="2"/>
        <v>4</v>
      </c>
      <c r="K31" s="161">
        <f t="shared" si="3"/>
        <v>0.1500357088</v>
      </c>
      <c r="P31" s="91">
        <f>IFERROR(__xludf.DUMMYFUNCTION("COUNTUNIQUE(
 FILTER(
  'Raw Data'!C:C,
  'Raw Data'!D:D=N31,
  'Raw Data'!B:B&gt;=DATE(YEAR(TODAY()),MONTH(TODAY()),1)
 )
)"),1.0)</f>
        <v>1</v>
      </c>
      <c r="T31" s="162"/>
      <c r="U31" s="162"/>
      <c r="V31" s="160">
        <f t="shared" si="4"/>
        <v>0</v>
      </c>
      <c r="W31" s="162">
        <f t="shared" si="5"/>
        <v>0</v>
      </c>
    </row>
    <row r="32" ht="22.5" customHeight="1">
      <c r="A32" s="91" t="str">
        <f>IFERROR(__xludf.DUMMYFUNCTION("""COMPUTED_VALUE"""),"SS")</f>
        <v>SS</v>
      </c>
      <c r="B32" s="91">
        <f>IFERROR(__xludf.DUMMYFUNCTION("""COMPUTED_VALUE"""),4.0)</f>
        <v>4</v>
      </c>
      <c r="C32" s="91">
        <f>IFERROR(__xludf.DUMMYFUNCTION("COUNTUNIQUE(
 FILTER(
  'Raw Data'!C:C,
  'Raw Data'!D:D=A32
 )
)"),1.0)</f>
        <v>1</v>
      </c>
      <c r="E32" s="91" t="str">
        <f>IFERROR(__xludf.DUMMYFUNCTION("""COMPUTED_VALUE"""),"AZL")</f>
        <v>AZL</v>
      </c>
      <c r="F32" s="91" t="str">
        <f>IFERROR(__xludf.DUMMYFUNCTION("""COMPUTED_VALUE"""),"6 Standby 2 Choice")</f>
        <v>6 Standby 2 Choice</v>
      </c>
      <c r="G32" s="159">
        <f>IFERROR(__xludf.DUMMYFUNCTION("""COMPUTED_VALUE"""),2.0)</f>
        <v>2</v>
      </c>
      <c r="H32" s="159">
        <f>IFERROR(__xludf.DUMMYFUNCTION("""COMPUTED_VALUE"""),3.0)</f>
        <v>3</v>
      </c>
      <c r="I32" s="160">
        <f t="shared" si="1"/>
        <v>0.4</v>
      </c>
      <c r="J32" s="159">
        <f t="shared" si="2"/>
        <v>5</v>
      </c>
      <c r="K32" s="161">
        <f t="shared" si="3"/>
        <v>0.1176182312</v>
      </c>
      <c r="P32" s="91">
        <f>IFERROR(__xludf.DUMMYFUNCTION("COUNTUNIQUE(
 FILTER(
  'Raw Data'!C:C,
  'Raw Data'!D:D=N32,
  'Raw Data'!B:B&gt;=DATE(YEAR(TODAY()),MONTH(TODAY()),1)
 )
)"),1.0)</f>
        <v>1</v>
      </c>
      <c r="T32" s="162"/>
      <c r="U32" s="162"/>
      <c r="V32" s="160">
        <f t="shared" si="4"/>
        <v>0</v>
      </c>
      <c r="W32" s="162">
        <f t="shared" si="5"/>
        <v>0</v>
      </c>
    </row>
    <row r="33" ht="22.5" customHeight="1">
      <c r="C33" s="91">
        <f>IFERROR(__xludf.DUMMYFUNCTION("COUNTUNIQUE(
 FILTER(
  'Raw Data'!C:C,
  'Raw Data'!D:D=A33
 )
)"),1.0)</f>
        <v>1</v>
      </c>
      <c r="E33" s="91" t="str">
        <f>IFERROR(__xludf.DUMMYFUNCTION("""COMPUTED_VALUE"""),"AZL")</f>
        <v>AZL</v>
      </c>
      <c r="F33" s="91" t="str">
        <f>IFERROR(__xludf.DUMMYFUNCTION("""COMPUTED_VALUE"""),"8 Door")</f>
        <v>8 Door</v>
      </c>
      <c r="G33" s="159">
        <f>IFERROR(__xludf.DUMMYFUNCTION("""COMPUTED_VALUE"""),2.0)</f>
        <v>2</v>
      </c>
      <c r="H33" s="159">
        <f>IFERROR(__xludf.DUMMYFUNCTION("""COMPUTED_VALUE"""),2.0)</f>
        <v>2</v>
      </c>
      <c r="I33" s="160">
        <f t="shared" si="1"/>
        <v>0.5</v>
      </c>
      <c r="J33" s="159">
        <f t="shared" si="2"/>
        <v>4</v>
      </c>
      <c r="K33" s="161">
        <f t="shared" si="3"/>
        <v>0.1500357088</v>
      </c>
      <c r="P33" s="91">
        <f>IFERROR(__xludf.DUMMYFUNCTION("COUNTUNIQUE(
 FILTER(
  'Raw Data'!C:C,
  'Raw Data'!D:D=N33,
  'Raw Data'!B:B&gt;=DATE(YEAR(TODAY()),MONTH(TODAY()),1)
 )
)"),1.0)</f>
        <v>1</v>
      </c>
      <c r="T33" s="162"/>
      <c r="U33" s="162"/>
      <c r="V33" s="160">
        <f t="shared" si="4"/>
        <v>0</v>
      </c>
      <c r="W33" s="162">
        <f t="shared" si="5"/>
        <v>0</v>
      </c>
    </row>
    <row r="34" ht="22.5" customHeight="1">
      <c r="C34" s="91">
        <f>IFERROR(__xludf.DUMMYFUNCTION("COUNTUNIQUE(
 FILTER(
  'Raw Data'!C:C,
  'Raw Data'!D:D=A34
 )
)"),1.0)</f>
        <v>1</v>
      </c>
      <c r="E34" s="91" t="str">
        <f>IFERROR(__xludf.DUMMYFUNCTION("""COMPUTED_VALUE"""),"EIS")</f>
        <v>EIS</v>
      </c>
      <c r="F34" s="91" t="str">
        <f>IFERROR(__xludf.DUMMYFUNCTION("""COMPUTED_VALUE"""),"8 Bar")</f>
        <v>8 Bar</v>
      </c>
      <c r="G34" s="159">
        <f>IFERROR(__xludf.DUMMYFUNCTION("""COMPUTED_VALUE"""),2.0)</f>
        <v>2</v>
      </c>
      <c r="H34" s="159">
        <f>IFERROR(__xludf.DUMMYFUNCTION("""COMPUTED_VALUE"""),3.0)</f>
        <v>3</v>
      </c>
      <c r="I34" s="160">
        <f t="shared" si="1"/>
        <v>0.4</v>
      </c>
      <c r="J34" s="159">
        <f t="shared" si="2"/>
        <v>5</v>
      </c>
      <c r="K34" s="161">
        <f t="shared" si="3"/>
        <v>0.1176182312</v>
      </c>
      <c r="P34" s="91">
        <f>IFERROR(__xludf.DUMMYFUNCTION("COUNTUNIQUE(
 FILTER(
  'Raw Data'!C:C,
  'Raw Data'!D:D=N34,
  'Raw Data'!B:B&gt;=DATE(YEAR(TODAY()),MONTH(TODAY()),1)
 )
)"),1.0)</f>
        <v>1</v>
      </c>
      <c r="T34" s="162"/>
      <c r="U34" s="162"/>
      <c r="V34" s="160">
        <f t="shared" si="4"/>
        <v>0</v>
      </c>
      <c r="W34" s="162">
        <f t="shared" si="5"/>
        <v>0</v>
      </c>
    </row>
    <row r="35" ht="22.5" customHeight="1">
      <c r="C35" s="91">
        <f>IFERROR(__xludf.DUMMYFUNCTION("COUNTUNIQUE(
 FILTER(
  'Raw Data'!C:C,
  'Raw Data'!D:D=A35
 )
)"),1.0)</f>
        <v>1</v>
      </c>
      <c r="E35" s="91" t="str">
        <f>IFERROR(__xludf.DUMMYFUNCTION("""COMPUTED_VALUE"""),"EIS")</f>
        <v>EIS</v>
      </c>
      <c r="F35" s="91" t="str">
        <f>IFERROR(__xludf.DUMMYFUNCTION("""COMPUTED_VALUE"""),"?")</f>
        <v>?</v>
      </c>
      <c r="G35" s="159">
        <f>IFERROR(__xludf.DUMMYFUNCTION("""COMPUTED_VALUE"""),2.0)</f>
        <v>2</v>
      </c>
      <c r="H35" s="159">
        <f>IFERROR(__xludf.DUMMYFUNCTION("""COMPUTED_VALUE"""),3.0)</f>
        <v>3</v>
      </c>
      <c r="I35" s="160">
        <f t="shared" si="1"/>
        <v>0.4</v>
      </c>
      <c r="J35" s="159">
        <f t="shared" si="2"/>
        <v>5</v>
      </c>
      <c r="K35" s="161">
        <f t="shared" si="3"/>
        <v>0.1176182312</v>
      </c>
      <c r="P35" s="91">
        <f>IFERROR(__xludf.DUMMYFUNCTION("COUNTUNIQUE(
 FILTER(
  'Raw Data'!C:C,
  'Raw Data'!D:D=N35,
  'Raw Data'!B:B&gt;=DATE(YEAR(TODAY()),MONTH(TODAY()),1)
 )
)"),1.0)</f>
        <v>1</v>
      </c>
      <c r="T35" s="162"/>
      <c r="U35" s="162"/>
      <c r="V35" s="160">
        <f t="shared" si="4"/>
        <v>0</v>
      </c>
      <c r="W35" s="162">
        <f t="shared" si="5"/>
        <v>0</v>
      </c>
    </row>
    <row r="36" ht="22.5" customHeight="1">
      <c r="C36" s="91">
        <f>IFERROR(__xludf.DUMMYFUNCTION("COUNTUNIQUE(
 FILTER(
  'Raw Data'!C:C,
  'Raw Data'!D:D=A36
 )
)"),1.0)</f>
        <v>1</v>
      </c>
      <c r="E36" s="91" t="str">
        <f>IFERROR(__xludf.DUMMYFUNCTION("""COMPUTED_VALUE"""),"LRC")</f>
        <v>LRC</v>
      </c>
      <c r="F36" s="91" t="str">
        <f>IFERROR(__xludf.DUMMYFUNCTION("""COMPUTED_VALUE"""),"Pants Door")</f>
        <v>Pants Door</v>
      </c>
      <c r="G36" s="159">
        <f>IFERROR(__xludf.DUMMYFUNCTION("""COMPUTED_VALUE"""),2.0)</f>
        <v>2</v>
      </c>
      <c r="H36" s="159">
        <f>IFERROR(__xludf.DUMMYFUNCTION("""COMPUTED_VALUE"""),2.0)</f>
        <v>2</v>
      </c>
      <c r="I36" s="160">
        <f t="shared" si="1"/>
        <v>0.5</v>
      </c>
      <c r="J36" s="159">
        <f t="shared" si="2"/>
        <v>4</v>
      </c>
      <c r="K36" s="161">
        <f t="shared" si="3"/>
        <v>0.1500357088</v>
      </c>
      <c r="P36" s="91">
        <f>IFERROR(__xludf.DUMMYFUNCTION("COUNTUNIQUE(
 FILTER(
  'Raw Data'!C:C,
  'Raw Data'!D:D=N36,
  'Raw Data'!B:B&gt;=DATE(YEAR(TODAY()),MONTH(TODAY()),1)
 )
)"),1.0)</f>
        <v>1</v>
      </c>
      <c r="T36" s="162"/>
      <c r="U36" s="162"/>
      <c r="V36" s="160">
        <f t="shared" si="4"/>
        <v>0</v>
      </c>
      <c r="W36" s="162">
        <f t="shared" si="5"/>
        <v>0</v>
      </c>
    </row>
    <row r="37" ht="22.5" customHeight="1">
      <c r="C37" s="91">
        <f>IFERROR(__xludf.DUMMYFUNCTION("COUNTUNIQUE(
 FILTER(
  'Raw Data'!C:C,
  'Raw Data'!D:D=A37
 )
)"),1.0)</f>
        <v>1</v>
      </c>
      <c r="E37" s="91" t="str">
        <f>IFERROR(__xludf.DUMMYFUNCTION("""COMPUTED_VALUE"""),"MKI")</f>
        <v>MKI</v>
      </c>
      <c r="F37" s="91" t="str">
        <f>IFERROR(__xludf.DUMMYFUNCTION("""COMPUTED_VALUE"""),"Standby Pants")</f>
        <v>Standby Pants</v>
      </c>
      <c r="G37" s="159">
        <f>IFERROR(__xludf.DUMMYFUNCTION("""COMPUTED_VALUE"""),2.0)</f>
        <v>2</v>
      </c>
      <c r="H37" s="159">
        <f>IFERROR(__xludf.DUMMYFUNCTION("""COMPUTED_VALUE"""),2.0)</f>
        <v>2</v>
      </c>
      <c r="I37" s="160">
        <f t="shared" si="1"/>
        <v>0.5</v>
      </c>
      <c r="J37" s="159">
        <f t="shared" si="2"/>
        <v>4</v>
      </c>
      <c r="K37" s="161">
        <f t="shared" si="3"/>
        <v>0.1500357088</v>
      </c>
      <c r="P37" s="91">
        <f>IFERROR(__xludf.DUMMYFUNCTION("COUNTUNIQUE(
 FILTER(
  'Raw Data'!C:C,
  'Raw Data'!D:D=N37,
  'Raw Data'!B:B&gt;=DATE(YEAR(TODAY()),MONTH(TODAY()),1)
 )
)"),1.0)</f>
        <v>1</v>
      </c>
      <c r="T37" s="162"/>
      <c r="U37" s="162"/>
      <c r="V37" s="160">
        <f t="shared" si="4"/>
        <v>0</v>
      </c>
      <c r="W37" s="162">
        <f t="shared" si="5"/>
        <v>0</v>
      </c>
    </row>
    <row r="38" ht="22.5" customHeight="1">
      <c r="C38" s="91">
        <f>IFERROR(__xludf.DUMMYFUNCTION("COUNTUNIQUE(
 FILTER(
  'Raw Data'!C:C,
  'Raw Data'!D:D=A38
 )
)"),1.0)</f>
        <v>1</v>
      </c>
      <c r="E38" s="91" t="str">
        <f>IFERROR(__xludf.DUMMYFUNCTION("""COMPUTED_VALUE"""),"MM")</f>
        <v>MM</v>
      </c>
      <c r="F38" s="91" t="str">
        <f>IFERROR(__xludf.DUMMYFUNCTION("""COMPUTED_VALUE"""),"StockSoul Door")</f>
        <v>StockSoul Door</v>
      </c>
      <c r="G38" s="159">
        <f>IFERROR(__xludf.DUMMYFUNCTION("""COMPUTED_VALUE"""),2.0)</f>
        <v>2</v>
      </c>
      <c r="H38" s="159">
        <f>IFERROR(__xludf.DUMMYFUNCTION("""COMPUTED_VALUE"""),2.0)</f>
        <v>2</v>
      </c>
      <c r="I38" s="160">
        <f t="shared" si="1"/>
        <v>0.5</v>
      </c>
      <c r="J38" s="159">
        <f t="shared" si="2"/>
        <v>4</v>
      </c>
      <c r="K38" s="161">
        <f t="shared" si="3"/>
        <v>0.1500357088</v>
      </c>
      <c r="P38" s="91">
        <f>IFERROR(__xludf.DUMMYFUNCTION("COUNTUNIQUE(
 FILTER(
  'Raw Data'!C:C,
  'Raw Data'!D:D=N38,
  'Raw Data'!B:B&gt;=DATE(YEAR(TODAY()),MONTH(TODAY()),1)
 )
)"),1.0)</f>
        <v>1</v>
      </c>
      <c r="T38" s="162"/>
      <c r="U38" s="162"/>
      <c r="V38" s="160">
        <f t="shared" si="4"/>
        <v>0</v>
      </c>
      <c r="W38" s="162">
        <f t="shared" si="5"/>
        <v>0</v>
      </c>
    </row>
    <row r="39" ht="22.5" customHeight="1">
      <c r="C39" s="91">
        <f>IFERROR(__xludf.DUMMYFUNCTION("COUNTUNIQUE(
 FILTER(
  'Raw Data'!C:C,
  'Raw Data'!D:D=A39
 )
)"),1.0)</f>
        <v>1</v>
      </c>
      <c r="E39" s="91" t="str">
        <f>IFERROR(__xludf.DUMMYFUNCTION("""COMPUTED_VALUE"""),"SFN")</f>
        <v>SFN</v>
      </c>
      <c r="F39" s="91" t="str">
        <f>IFERROR(__xludf.DUMMYFUNCTION("""COMPUTED_VALUE"""),"Modified TD")</f>
        <v>Modified TD</v>
      </c>
      <c r="G39" s="159">
        <f>IFERROR(__xludf.DUMMYFUNCTION("""COMPUTED_VALUE"""),2.0)</f>
        <v>2</v>
      </c>
      <c r="H39" s="159">
        <f>IFERROR(__xludf.DUMMYFUNCTION("""COMPUTED_VALUE"""),2.0)</f>
        <v>2</v>
      </c>
      <c r="I39" s="160">
        <f t="shared" si="1"/>
        <v>0.5</v>
      </c>
      <c r="J39" s="159">
        <f t="shared" si="2"/>
        <v>4</v>
      </c>
      <c r="K39" s="161">
        <f t="shared" si="3"/>
        <v>0.1500357088</v>
      </c>
      <c r="P39" s="91">
        <f>IFERROR(__xludf.DUMMYFUNCTION("COUNTUNIQUE(
 FILTER(
  'Raw Data'!C:C,
  'Raw Data'!D:D=N39,
  'Raw Data'!B:B&gt;=DATE(YEAR(TODAY()),MONTH(TODAY()),1)
 )
)"),1.0)</f>
        <v>1</v>
      </c>
      <c r="T39" s="162"/>
      <c r="U39" s="162"/>
      <c r="V39" s="160">
        <f t="shared" si="4"/>
        <v>0</v>
      </c>
      <c r="W39" s="162">
        <f t="shared" si="5"/>
        <v>0</v>
      </c>
    </row>
    <row r="40" ht="22.5" customHeight="1">
      <c r="C40" s="91">
        <f>IFERROR(__xludf.DUMMYFUNCTION("COUNTUNIQUE(
 FILTER(
  'Raw Data'!C:C,
  'Raw Data'!D:D=A40
 )
)"),1.0)</f>
        <v>1</v>
      </c>
      <c r="E40" s="91" t="str">
        <f>IFERROR(__xludf.DUMMYFUNCTION("""COMPUTED_VALUE"""),"BAV")</f>
        <v>BAV</v>
      </c>
      <c r="F40" s="91" t="str">
        <f>IFERROR(__xludf.DUMMYFUNCTION("""COMPUTED_VALUE"""),"Izuna Hifumi")</f>
        <v>Izuna Hifumi</v>
      </c>
      <c r="G40" s="159">
        <f>IFERROR(__xludf.DUMMYFUNCTION("""COMPUTED_VALUE"""),1.0)</f>
        <v>1</v>
      </c>
      <c r="H40" s="159">
        <f>IFERROR(__xludf.DUMMYFUNCTION("""COMPUTED_VALUE"""),3.0)</f>
        <v>3</v>
      </c>
      <c r="I40" s="160">
        <f t="shared" si="1"/>
        <v>0.25</v>
      </c>
      <c r="J40" s="159">
        <f t="shared" si="2"/>
        <v>4</v>
      </c>
      <c r="K40" s="161">
        <f t="shared" si="3"/>
        <v>0.04558606264</v>
      </c>
      <c r="P40" s="91">
        <f>IFERROR(__xludf.DUMMYFUNCTION("COUNTUNIQUE(
 FILTER(
  'Raw Data'!C:C,
  'Raw Data'!D:D=N40,
  'Raw Data'!B:B&gt;=DATE(YEAR(TODAY()),MONTH(TODAY()),1)
 )
)"),1.0)</f>
        <v>1</v>
      </c>
      <c r="T40" s="162"/>
      <c r="U40" s="162"/>
      <c r="V40" s="160">
        <f t="shared" si="4"/>
        <v>0</v>
      </c>
      <c r="W40" s="162">
        <f t="shared" si="5"/>
        <v>0</v>
      </c>
    </row>
    <row r="41" ht="22.5" customHeight="1">
      <c r="C41" s="91">
        <f>IFERROR(__xludf.DUMMYFUNCTION("COUNTUNIQUE(
 FILTER(
  'Raw Data'!C:C,
  'Raw Data'!D:D=A41
 )
)"),1.0)</f>
        <v>1</v>
      </c>
      <c r="E41" s="91" t="str">
        <f>IFERROR(__xludf.DUMMYFUNCTION("""COMPUTED_VALUE"""),"BTR")</f>
        <v>BTR</v>
      </c>
      <c r="F41" s="91" t="str">
        <f>IFERROR(__xludf.DUMMYFUNCTION("""COMPUTED_VALUE"""),"Door Bar")</f>
        <v>Door Bar</v>
      </c>
      <c r="G41" s="159">
        <f>IFERROR(__xludf.DUMMYFUNCTION("""COMPUTED_VALUE"""),1.0)</f>
        <v>1</v>
      </c>
      <c r="H41" s="159">
        <f>IFERROR(__xludf.DUMMYFUNCTION("""COMPUTED_VALUE"""),3.0)</f>
        <v>3</v>
      </c>
      <c r="I41" s="160">
        <f t="shared" si="1"/>
        <v>0.25</v>
      </c>
      <c r="J41" s="159">
        <f t="shared" si="2"/>
        <v>4</v>
      </c>
      <c r="K41" s="161">
        <f t="shared" si="3"/>
        <v>0.04558606264</v>
      </c>
      <c r="P41" s="91">
        <f>IFERROR(__xludf.DUMMYFUNCTION("COUNTUNIQUE(
 FILTER(
  'Raw Data'!C:C,
  'Raw Data'!D:D=N41,
  'Raw Data'!B:B&gt;=DATE(YEAR(TODAY()),MONTH(TODAY()),1)
 )
)"),1.0)</f>
        <v>1</v>
      </c>
    </row>
    <row r="42" ht="22.5" customHeight="1">
      <c r="E42" s="91" t="str">
        <f>IFERROR(__xludf.DUMMYFUNCTION("""COMPUTED_VALUE"""),"EIS")</f>
        <v>EIS</v>
      </c>
      <c r="F42" s="91" t="str">
        <f>IFERROR(__xludf.DUMMYFUNCTION("""COMPUTED_VALUE"""),"StockSoul Bar")</f>
        <v>StockSoul Bar</v>
      </c>
      <c r="G42" s="159">
        <f>IFERROR(__xludf.DUMMYFUNCTION("""COMPUTED_VALUE"""),1.0)</f>
        <v>1</v>
      </c>
      <c r="H42" s="159">
        <f>IFERROR(__xludf.DUMMYFUNCTION("""COMPUTED_VALUE"""),3.0)</f>
        <v>3</v>
      </c>
      <c r="I42" s="160">
        <f t="shared" si="1"/>
        <v>0.25</v>
      </c>
      <c r="J42" s="159">
        <f t="shared" si="2"/>
        <v>4</v>
      </c>
      <c r="K42" s="161">
        <f t="shared" si="3"/>
        <v>0.04558606264</v>
      </c>
      <c r="P42" s="91">
        <f>IFERROR(__xludf.DUMMYFUNCTION("COUNTUNIQUE(
 FILTER(
  'Raw Data'!C:C,
  'Raw Data'!D:D=N42,
  'Raw Data'!B:B&gt;=DATE(YEAR(TODAY()),MONTH(TODAY()),1)
 )
)"),1.0)</f>
        <v>1</v>
      </c>
    </row>
    <row r="43" ht="22.5" customHeight="1">
      <c r="E43" s="91" t="str">
        <f>IFERROR(__xludf.DUMMYFUNCTION("""COMPUTED_VALUE"""),"MDE")</f>
        <v>MDE</v>
      </c>
      <c r="F43" s="91" t="str">
        <f>IFERROR(__xludf.DUMMYFUNCTION("""COMPUTED_VALUE"""),"Link")</f>
        <v>Link</v>
      </c>
      <c r="G43" s="91">
        <f>IFERROR(__xludf.DUMMYFUNCTION("""COMPUTED_VALUE"""),1.0)</f>
        <v>1</v>
      </c>
      <c r="H43" s="91">
        <f>IFERROR(__xludf.DUMMYFUNCTION("""COMPUTED_VALUE"""),3.0)</f>
        <v>3</v>
      </c>
      <c r="I43" s="160">
        <f t="shared" si="1"/>
        <v>0.25</v>
      </c>
      <c r="J43" s="159">
        <f t="shared" si="2"/>
        <v>4</v>
      </c>
      <c r="K43" s="161">
        <f t="shared" si="3"/>
        <v>0.04558606264</v>
      </c>
      <c r="P43" s="91">
        <f>IFERROR(__xludf.DUMMYFUNCTION("COUNTUNIQUE(
 FILTER(
  'Raw Data'!C:C,
  'Raw Data'!D:D=N43,
  'Raw Data'!B:B&gt;=DATE(YEAR(TODAY()),MONTH(TODAY()),1)
 )
)"),1.0)</f>
        <v>1</v>
      </c>
    </row>
    <row r="44" ht="22.5" customHeight="1">
      <c r="E44" s="91" t="str">
        <f>IFERROR(__xludf.DUMMYFUNCTION("""COMPUTED_VALUE"""),"NIK")</f>
        <v>NIK</v>
      </c>
      <c r="F44" s="91" t="str">
        <f>IFERROR(__xludf.DUMMYFUNCTION("""COMPUTED_VALUE"""),"Pants Bag")</f>
        <v>Pants Bag</v>
      </c>
      <c r="G44" s="91">
        <f>IFERROR(__xludf.DUMMYFUNCTION("""COMPUTED_VALUE"""),1.0)</f>
        <v>1</v>
      </c>
      <c r="H44" s="91">
        <f>IFERROR(__xludf.DUMMYFUNCTION("""COMPUTED_VALUE"""),3.0)</f>
        <v>3</v>
      </c>
      <c r="I44" s="160">
        <f t="shared" si="1"/>
        <v>0.25</v>
      </c>
      <c r="J44" s="159">
        <f t="shared" si="2"/>
        <v>4</v>
      </c>
      <c r="K44" s="161">
        <f t="shared" si="3"/>
        <v>0.04558606264</v>
      </c>
      <c r="P44" s="91">
        <f>IFERROR(__xludf.DUMMYFUNCTION("COUNTUNIQUE(
 FILTER(
  'Raw Data'!C:C,
  'Raw Data'!D:D=N44,
  'Raw Data'!B:B&gt;=DATE(YEAR(TODAY()),MONTH(TODAY()),1)
 )
)"),1.0)</f>
        <v>1</v>
      </c>
    </row>
    <row r="45" ht="22.5" customHeight="1">
      <c r="E45" s="91" t="str">
        <f>IFERROR(__xludf.DUMMYFUNCTION("""COMPUTED_VALUE"""),"RKN")</f>
        <v>RKN</v>
      </c>
      <c r="F45" s="91" t="str">
        <f>IFERROR(__xludf.DUMMYFUNCTION("""COMPUTED_VALUE"""),"8 StockSoul")</f>
        <v>8 StockSoul</v>
      </c>
      <c r="G45" s="91">
        <f>IFERROR(__xludf.DUMMYFUNCTION("""COMPUTED_VALUE"""),1.0)</f>
        <v>1</v>
      </c>
      <c r="H45" s="91">
        <f>IFERROR(__xludf.DUMMYFUNCTION("""COMPUTED_VALUE"""),4.0)</f>
        <v>4</v>
      </c>
      <c r="I45" s="160">
        <f t="shared" si="1"/>
        <v>0.2</v>
      </c>
      <c r="J45" s="159">
        <f t="shared" si="2"/>
        <v>5</v>
      </c>
      <c r="K45" s="161">
        <f t="shared" si="3"/>
        <v>0.03622316097</v>
      </c>
      <c r="P45" s="91">
        <f>IFERROR(__xludf.DUMMYFUNCTION("COUNTUNIQUE(
 FILTER(
  'Raw Data'!C:C,
  'Raw Data'!D:D=N45,
  'Raw Data'!B:B&gt;=DATE(YEAR(TODAY()),MONTH(TODAY()),1)
 )
)"),1.0)</f>
        <v>1</v>
      </c>
    </row>
    <row r="46" ht="22.5" customHeight="1">
      <c r="E46" s="91" t="str">
        <f>IFERROR(__xludf.DUMMYFUNCTION("""COMPUTED_VALUE"""),"SAO")</f>
        <v>SAO</v>
      </c>
      <c r="F46" s="91" t="str">
        <f>IFERROR(__xludf.DUMMYFUNCTION("""COMPUTED_VALUE"""),"8 Bar Yuna")</f>
        <v>8 Bar Yuna</v>
      </c>
      <c r="G46" s="91">
        <f>IFERROR(__xludf.DUMMYFUNCTION("""COMPUTED_VALUE"""),1.0)</f>
        <v>1</v>
      </c>
      <c r="H46" s="91">
        <f>IFERROR(__xludf.DUMMYFUNCTION("""COMPUTED_VALUE"""),4.0)</f>
        <v>4</v>
      </c>
      <c r="I46" s="160">
        <f t="shared" si="1"/>
        <v>0.2</v>
      </c>
      <c r="J46" s="159">
        <f t="shared" si="2"/>
        <v>5</v>
      </c>
      <c r="K46" s="161">
        <f t="shared" si="3"/>
        <v>0.03622316097</v>
      </c>
      <c r="P46" s="91">
        <f>IFERROR(__xludf.DUMMYFUNCTION("COUNTUNIQUE(
 FILTER(
  'Raw Data'!C:C,
  'Raw Data'!D:D=N46,
  'Raw Data'!B:B&gt;=DATE(YEAR(TODAY()),MONTH(TODAY()),1)
 )
)"),1.0)</f>
        <v>1</v>
      </c>
    </row>
    <row r="47" ht="22.5" customHeight="1">
      <c r="E47" s="91" t="str">
        <f>IFERROR(__xludf.DUMMYFUNCTION("""COMPUTED_VALUE"""),"SS")</f>
        <v>SS</v>
      </c>
      <c r="F47" s="91" t="str">
        <f>IFERROR(__xludf.DUMMYFUNCTION("""COMPUTED_VALUE"""),"Choice Door")</f>
        <v>Choice Door</v>
      </c>
      <c r="G47" s="91">
        <f>IFERROR(__xludf.DUMMYFUNCTION("""COMPUTED_VALUE"""),1.0)</f>
        <v>1</v>
      </c>
      <c r="H47" s="91">
        <f>IFERROR(__xludf.DUMMYFUNCTION("""COMPUTED_VALUE"""),3.0)</f>
        <v>3</v>
      </c>
      <c r="I47" s="160">
        <f t="shared" si="1"/>
        <v>0.25</v>
      </c>
      <c r="J47" s="159">
        <f t="shared" si="2"/>
        <v>4</v>
      </c>
      <c r="K47" s="161">
        <f t="shared" si="3"/>
        <v>0.04558606264</v>
      </c>
      <c r="P47" s="91">
        <f>IFERROR(__xludf.DUMMYFUNCTION("COUNTUNIQUE(
 FILTER(
  'Raw Data'!C:C,
  'Raw Data'!D:D=N47,
  'Raw Data'!B:B&gt;=DATE(YEAR(TODAY()),MONTH(TODAY()),1)
 )
)"),1.0)</f>
        <v>1</v>
      </c>
    </row>
    <row r="48" ht="22.5" customHeight="1">
      <c r="E48" s="91" t="str">
        <f>IFERROR(__xludf.DUMMYFUNCTION("""COMPUTED_VALUE"""),"PJS")</f>
        <v>PJS</v>
      </c>
      <c r="F48" s="91" t="str">
        <f>IFERROR(__xludf.DUMMYFUNCTION("""COMPUTED_VALUE"""),"8 Bar")</f>
        <v>8 Bar</v>
      </c>
      <c r="G48" s="91">
        <f>IFERROR(__xludf.DUMMYFUNCTION("""COMPUTED_VALUE"""),0.0)</f>
        <v>0</v>
      </c>
      <c r="H48" s="91">
        <f>IFERROR(__xludf.DUMMYFUNCTION("""COMPUTED_VALUE"""),4.0)</f>
        <v>4</v>
      </c>
      <c r="I48" s="160">
        <f t="shared" si="1"/>
        <v>0</v>
      </c>
      <c r="J48" s="159">
        <f t="shared" si="2"/>
        <v>4</v>
      </c>
      <c r="K48" s="161">
        <f t="shared" si="3"/>
        <v>0</v>
      </c>
      <c r="P48" s="91">
        <f>IFERROR(__xludf.DUMMYFUNCTION("COUNTUNIQUE(
 FILTER(
  'Raw Data'!C:C,
  'Raw Data'!D:D=N48,
  'Raw Data'!B:B&gt;=DATE(YEAR(TODAY()),MONTH(TODAY()),1)
 )
)"),1.0)</f>
        <v>1</v>
      </c>
    </row>
    <row r="49" ht="22.5" customHeight="1">
      <c r="I49" s="160">
        <f t="shared" si="1"/>
        <v>0</v>
      </c>
      <c r="J49" s="159">
        <f t="shared" si="2"/>
        <v>0</v>
      </c>
      <c r="K49" s="161" t="str">
        <f t="shared" si="3"/>
        <v>#DIV/0!</v>
      </c>
      <c r="P49" s="91">
        <f>IFERROR(__xludf.DUMMYFUNCTION("COUNTUNIQUE(
 FILTER(
  'Raw Data'!C:C,
  'Raw Data'!D:D=N49,
  'Raw Data'!B:B&gt;=DATE(YEAR(TODAY()),MONTH(TODAY()),1)
 )
)"),1.0)</f>
        <v>1</v>
      </c>
    </row>
    <row r="50" ht="22.5" customHeight="1">
      <c r="I50" s="160">
        <f t="shared" si="1"/>
        <v>0</v>
      </c>
      <c r="J50" s="159">
        <f t="shared" si="2"/>
        <v>0</v>
      </c>
      <c r="K50" s="161" t="str">
        <f t="shared" si="3"/>
        <v>#DIV/0!</v>
      </c>
      <c r="P50" s="91">
        <f>IFERROR(__xludf.DUMMYFUNCTION("COUNTUNIQUE(
 FILTER(
  'Raw Data'!C:C,
  'Raw Data'!D:D=N50,
  'Raw Data'!B:B&gt;=DATE(YEAR(TODAY()),MONTH(TODAY()),1)
 )
)"),1.0)</f>
        <v>1</v>
      </c>
    </row>
    <row r="51" ht="22.5" customHeight="1">
      <c r="I51" s="160">
        <f t="shared" si="1"/>
        <v>0</v>
      </c>
      <c r="J51" s="159">
        <f t="shared" si="2"/>
        <v>0</v>
      </c>
      <c r="K51" s="161" t="str">
        <f t="shared" si="3"/>
        <v>#DIV/0!</v>
      </c>
      <c r="P51" s="91">
        <f>IFERROR(__xludf.DUMMYFUNCTION("COUNTUNIQUE(
 FILTER(
  'Raw Data'!C:C,
  'Raw Data'!D:D=N51,
  'Raw Data'!B:B&gt;=DATE(YEAR(TODAY()),MONTH(TODAY()),1)
 )
)"),1.0)</f>
        <v>1</v>
      </c>
    </row>
    <row r="52" ht="22.5" customHeight="1">
      <c r="I52" s="160">
        <f t="shared" si="1"/>
        <v>0</v>
      </c>
      <c r="J52" s="159">
        <f t="shared" si="2"/>
        <v>0</v>
      </c>
      <c r="K52" s="161" t="str">
        <f t="shared" si="3"/>
        <v>#DIV/0!</v>
      </c>
      <c r="P52" s="91">
        <f>IFERROR(__xludf.DUMMYFUNCTION("COUNTUNIQUE(
 FILTER(
  'Raw Data'!C:C,
  'Raw Data'!D:D=N52,
  'Raw Data'!B:B&gt;=DATE(YEAR(TODAY()),MONTH(TODAY()),1)
 )
)"),1.0)</f>
        <v>1</v>
      </c>
    </row>
    <row r="53" ht="22.5" customHeight="1">
      <c r="I53" s="160">
        <f t="shared" si="1"/>
        <v>0</v>
      </c>
      <c r="J53" s="159">
        <f t="shared" si="2"/>
        <v>0</v>
      </c>
      <c r="K53" s="161" t="str">
        <f t="shared" si="3"/>
        <v>#DIV/0!</v>
      </c>
      <c r="P53" s="91">
        <f>IFERROR(__xludf.DUMMYFUNCTION("COUNTUNIQUE(
 FILTER(
  'Raw Data'!C:C,
  'Raw Data'!D:D=N53,
  'Raw Data'!B:B&gt;=DATE(YEAR(TODAY()),MONTH(TODAY()),1)
 )
)"),1.0)</f>
        <v>1</v>
      </c>
    </row>
    <row r="54" ht="22.5" customHeight="1">
      <c r="I54" s="160">
        <f t="shared" si="1"/>
        <v>0</v>
      </c>
      <c r="J54" s="159">
        <f t="shared" si="2"/>
        <v>0</v>
      </c>
      <c r="K54" s="161" t="str">
        <f t="shared" si="3"/>
        <v>#DIV/0!</v>
      </c>
      <c r="P54" s="91">
        <f>IFERROR(__xludf.DUMMYFUNCTION("COUNTUNIQUE(
 FILTER(
  'Raw Data'!C:C,
  'Raw Data'!D:D=N54,
  'Raw Data'!B:B&gt;=DATE(YEAR(TODAY()),MONTH(TODAY()),1)
 )
)"),1.0)</f>
        <v>1</v>
      </c>
    </row>
    <row r="55" ht="22.5" customHeight="1">
      <c r="I55" s="160">
        <f t="shared" si="1"/>
        <v>0</v>
      </c>
      <c r="J55" s="159">
        <f t="shared" si="2"/>
        <v>0</v>
      </c>
      <c r="K55" s="161" t="str">
        <f t="shared" si="3"/>
        <v>#DIV/0!</v>
      </c>
      <c r="P55" s="91">
        <f>IFERROR(__xludf.DUMMYFUNCTION("COUNTUNIQUE(
 FILTER(
  'Raw Data'!C:C,
  'Raw Data'!D:D=N55,
  'Raw Data'!B:B&gt;=DATE(YEAR(TODAY()),MONTH(TODAY()),1)
 )
)"),1.0)</f>
        <v>1</v>
      </c>
    </row>
    <row r="56" ht="22.5" customHeight="1">
      <c r="I56" s="160">
        <f t="shared" si="1"/>
        <v>0</v>
      </c>
      <c r="J56" s="159">
        <f t="shared" si="2"/>
        <v>0</v>
      </c>
      <c r="K56" s="161" t="str">
        <f t="shared" si="3"/>
        <v>#DIV/0!</v>
      </c>
      <c r="P56" s="91">
        <f>IFERROR(__xludf.DUMMYFUNCTION("COUNTUNIQUE(
 FILTER(
  'Raw Data'!C:C,
  'Raw Data'!D:D=N56,
  'Raw Data'!B:B&gt;=DATE(YEAR(TODAY()),MONTH(TODAY()),1)
 )
)"),1.0)</f>
        <v>1</v>
      </c>
    </row>
    <row r="57" ht="22.5" customHeight="1">
      <c r="I57" s="160">
        <f t="shared" si="1"/>
        <v>0</v>
      </c>
      <c r="J57" s="159">
        <f t="shared" si="2"/>
        <v>0</v>
      </c>
      <c r="K57" s="161" t="str">
        <f t="shared" si="3"/>
        <v>#DIV/0!</v>
      </c>
      <c r="P57" s="91">
        <f>IFERROR(__xludf.DUMMYFUNCTION("COUNTUNIQUE(
 FILTER(
  'Raw Data'!C:C,
  'Raw Data'!D:D=N57,
  'Raw Data'!B:B&gt;=DATE(YEAR(TODAY()),MONTH(TODAY()),1)
 )
)"),1.0)</f>
        <v>1</v>
      </c>
    </row>
    <row r="58" ht="22.5" customHeight="1">
      <c r="I58" s="160">
        <f t="shared" si="1"/>
        <v>0</v>
      </c>
      <c r="J58" s="159">
        <f t="shared" si="2"/>
        <v>0</v>
      </c>
      <c r="K58" s="161" t="str">
        <f t="shared" si="3"/>
        <v>#DIV/0!</v>
      </c>
      <c r="P58" s="91">
        <f>IFERROR(__xludf.DUMMYFUNCTION("COUNTUNIQUE(
 FILTER(
  'Raw Data'!C:C,
  'Raw Data'!D:D=N58,
  'Raw Data'!B:B&gt;=DATE(YEAR(TODAY()),MONTH(TODAY()),1)
 )
)"),1.0)</f>
        <v>1</v>
      </c>
    </row>
    <row r="59" ht="22.5" customHeight="1">
      <c r="I59" s="160"/>
      <c r="P59" s="91">
        <f>IFERROR(__xludf.DUMMYFUNCTION("COUNTUNIQUE(
 FILTER(
  'Raw Data'!C:C,
  'Raw Data'!D:D=N59,
  'Raw Data'!B:B&gt;=DATE(YEAR(TODAY()),MONTH(TODAY()),1)
 )
)"),1.0)</f>
        <v>1</v>
      </c>
    </row>
    <row r="60" ht="22.5" customHeight="1">
      <c r="I60" s="160"/>
      <c r="P60" s="91">
        <f>IFERROR(__xludf.DUMMYFUNCTION("COUNTUNIQUE(
 FILTER(
  'Raw Data'!C:C,
  'Raw Data'!D:D=N60,
  'Raw Data'!B:B&gt;=DATE(YEAR(TODAY()),MONTH(TODAY()),1)
 )
)"),1.0)</f>
        <v>1</v>
      </c>
    </row>
    <row r="61" ht="22.5" customHeight="1">
      <c r="I61" s="160"/>
    </row>
    <row r="62" ht="22.5" customHeight="1">
      <c r="I62" s="160"/>
    </row>
    <row r="63" ht="22.5" customHeight="1">
      <c r="I63" s="160"/>
    </row>
    <row r="64" ht="22.5" customHeight="1">
      <c r="I64" s="160"/>
    </row>
    <row r="65" ht="22.5" customHeight="1">
      <c r="I65" s="160"/>
    </row>
    <row r="66" ht="22.5" customHeight="1">
      <c r="I66" s="160"/>
    </row>
    <row r="67" ht="22.5" customHeight="1">
      <c r="I67" s="160"/>
    </row>
    <row r="68" ht="22.5" customHeight="1">
      <c r="I68" s="160"/>
    </row>
    <row r="69" ht="22.5" customHeight="1">
      <c r="I69" s="160"/>
    </row>
    <row r="70" ht="22.5" customHeight="1">
      <c r="I70" s="160"/>
    </row>
    <row r="71" ht="22.5" customHeight="1">
      <c r="I71" s="160"/>
    </row>
    <row r="72" ht="22.5" customHeight="1">
      <c r="I72" s="160"/>
    </row>
    <row r="73" ht="22.5" customHeight="1">
      <c r="I73" s="160"/>
    </row>
    <row r="74" ht="22.5" customHeight="1">
      <c r="I74" s="160"/>
    </row>
    <row r="75" ht="22.5" customHeight="1">
      <c r="I75" s="160"/>
    </row>
    <row r="76" ht="22.5" customHeight="1">
      <c r="I76" s="160"/>
    </row>
    <row r="77" ht="22.5" customHeight="1">
      <c r="I77" s="160"/>
    </row>
    <row r="78" ht="22.5" customHeight="1">
      <c r="I78" s="160"/>
    </row>
    <row r="79" ht="22.5" customHeight="1">
      <c r="I79" s="160"/>
    </row>
    <row r="80" ht="22.5" customHeight="1">
      <c r="I80" s="160"/>
    </row>
    <row r="81" ht="22.5" customHeight="1">
      <c r="I81" s="160"/>
    </row>
    <row r="82" ht="22.5" customHeight="1">
      <c r="I82" s="160"/>
    </row>
    <row r="83" ht="22.5" customHeight="1">
      <c r="I83" s="160"/>
    </row>
    <row r="84" ht="22.5" customHeight="1">
      <c r="I84" s="160"/>
    </row>
    <row r="85" ht="22.5" customHeight="1">
      <c r="I85" s="160"/>
    </row>
    <row r="86" ht="22.5" customHeight="1">
      <c r="I86" s="160"/>
    </row>
    <row r="87" ht="22.5" customHeight="1">
      <c r="I87" s="160"/>
    </row>
    <row r="88" ht="22.5" customHeight="1">
      <c r="I88" s="160"/>
    </row>
    <row r="89" ht="22.5" customHeight="1">
      <c r="I89" s="160"/>
    </row>
    <row r="90" ht="22.5" customHeight="1">
      <c r="I90" s="160"/>
    </row>
    <row r="91" ht="22.5" customHeight="1">
      <c r="I91" s="160"/>
    </row>
    <row r="92" ht="22.5" customHeight="1">
      <c r="I92" s="160"/>
    </row>
    <row r="93" ht="22.5" customHeight="1">
      <c r="I93" s="160"/>
    </row>
    <row r="94" ht="22.5" customHeight="1">
      <c r="I94" s="160"/>
    </row>
    <row r="95" ht="22.5" customHeight="1">
      <c r="I95" s="160"/>
    </row>
    <row r="96" ht="22.5" customHeight="1">
      <c r="I96" s="160"/>
    </row>
    <row r="97" ht="22.5" customHeight="1">
      <c r="I97" s="160"/>
    </row>
    <row r="98" ht="22.5" customHeight="1">
      <c r="I98" s="160"/>
    </row>
    <row r="99" ht="22.5" customHeight="1">
      <c r="I99" s="160"/>
    </row>
    <row r="100" ht="22.5" customHeight="1">
      <c r="I100" s="160"/>
    </row>
    <row r="101" ht="22.5" customHeight="1">
      <c r="I101" s="160"/>
    </row>
    <row r="102" ht="22.5" customHeight="1">
      <c r="I102" s="160"/>
    </row>
    <row r="103" ht="22.5" customHeight="1">
      <c r="I103" s="160"/>
    </row>
    <row r="104" ht="22.5" customHeight="1">
      <c r="I104" s="160"/>
    </row>
    <row r="105" ht="22.5" customHeight="1">
      <c r="I105" s="160"/>
    </row>
    <row r="106" ht="22.5" customHeight="1">
      <c r="I106" s="160"/>
    </row>
    <row r="107" ht="22.5" customHeight="1">
      <c r="I107" s="160"/>
    </row>
    <row r="108" ht="22.5" customHeight="1">
      <c r="I108" s="160"/>
    </row>
    <row r="109" ht="22.5" customHeight="1">
      <c r="I109" s="160"/>
    </row>
    <row r="110" ht="22.5" customHeight="1">
      <c r="I110" s="160"/>
    </row>
    <row r="111" ht="22.5" customHeight="1">
      <c r="I111" s="160"/>
    </row>
    <row r="112" ht="22.5" customHeight="1">
      <c r="I112" s="160"/>
    </row>
    <row r="113" ht="22.5" customHeight="1">
      <c r="I113" s="160"/>
    </row>
    <row r="114" ht="22.5" customHeight="1">
      <c r="I114" s="160"/>
    </row>
    <row r="115" ht="22.5" customHeight="1">
      <c r="I115" s="160"/>
    </row>
    <row r="116" ht="22.5" customHeight="1">
      <c r="I116" s="160"/>
    </row>
    <row r="117" ht="22.5" customHeight="1">
      <c r="I117" s="160"/>
    </row>
    <row r="118" ht="22.5" customHeight="1">
      <c r="I118" s="160"/>
    </row>
    <row r="119" ht="22.5" customHeight="1">
      <c r="I119" s="160"/>
    </row>
    <row r="120" ht="22.5" customHeight="1">
      <c r="I120" s="160"/>
    </row>
    <row r="121" ht="22.5" customHeight="1">
      <c r="I121" s="160"/>
    </row>
    <row r="122" ht="22.5" customHeight="1">
      <c r="I122" s="160"/>
    </row>
    <row r="123" ht="22.5" customHeight="1">
      <c r="I123" s="160"/>
    </row>
    <row r="124" ht="22.5" customHeight="1">
      <c r="I124" s="160"/>
    </row>
    <row r="125" ht="22.5" customHeight="1">
      <c r="I125" s="160"/>
    </row>
    <row r="126" ht="22.5" customHeight="1">
      <c r="I126" s="160"/>
    </row>
    <row r="127" ht="22.5" customHeight="1">
      <c r="I127" s="160"/>
    </row>
    <row r="128" ht="22.5" customHeight="1">
      <c r="I128" s="160"/>
    </row>
    <row r="129" ht="22.5" customHeight="1">
      <c r="I129" s="160"/>
    </row>
    <row r="130" ht="22.5" customHeight="1">
      <c r="I130" s="160"/>
    </row>
    <row r="131" ht="22.5" customHeight="1">
      <c r="I131" s="160"/>
    </row>
    <row r="132" ht="22.5" customHeight="1">
      <c r="I132" s="160"/>
    </row>
    <row r="133" ht="22.5" customHeight="1">
      <c r="I133" s="160"/>
    </row>
    <row r="134" ht="22.5" customHeight="1">
      <c r="I134" s="160"/>
    </row>
    <row r="135" ht="22.5" customHeight="1">
      <c r="I135" s="160"/>
    </row>
    <row r="136" ht="22.5" customHeight="1">
      <c r="I136" s="160"/>
    </row>
    <row r="137" ht="22.5" customHeight="1">
      <c r="I137" s="160"/>
    </row>
    <row r="138" ht="22.5" customHeight="1">
      <c r="I138" s="160"/>
    </row>
    <row r="139" ht="22.5" customHeight="1">
      <c r="I139" s="160"/>
    </row>
    <row r="140" ht="22.5" customHeight="1">
      <c r="I140" s="160"/>
    </row>
    <row r="141" ht="22.5" customHeight="1">
      <c r="I141" s="160"/>
    </row>
    <row r="142" ht="22.5" customHeight="1">
      <c r="I142" s="160"/>
    </row>
    <row r="143" ht="22.5" customHeight="1">
      <c r="I143" s="160"/>
    </row>
    <row r="144" ht="22.5" customHeight="1">
      <c r="I144" s="160"/>
    </row>
    <row r="145" ht="22.5" customHeight="1">
      <c r="I145" s="160"/>
    </row>
    <row r="146">
      <c r="I146" s="123"/>
    </row>
    <row r="147">
      <c r="I147" s="123"/>
    </row>
    <row r="148">
      <c r="I148" s="123"/>
    </row>
    <row r="149">
      <c r="I149" s="123"/>
    </row>
    <row r="150">
      <c r="I150" s="123"/>
    </row>
    <row r="151">
      <c r="I151" s="123"/>
    </row>
    <row r="152">
      <c r="I152" s="123"/>
    </row>
    <row r="153">
      <c r="I153" s="123"/>
    </row>
    <row r="154">
      <c r="I154" s="123"/>
    </row>
    <row r="155">
      <c r="I155" s="123"/>
    </row>
    <row r="156">
      <c r="I156" s="123"/>
    </row>
    <row r="157">
      <c r="I157" s="123"/>
    </row>
    <row r="158">
      <c r="I158" s="123"/>
    </row>
    <row r="159">
      <c r="I159" s="123"/>
    </row>
    <row r="160">
      <c r="I160" s="123"/>
    </row>
    <row r="161">
      <c r="I161" s="123"/>
    </row>
    <row r="162">
      <c r="I162" s="123"/>
    </row>
    <row r="163">
      <c r="I163" s="123"/>
    </row>
    <row r="164">
      <c r="I164" s="123"/>
    </row>
    <row r="165">
      <c r="I165" s="123"/>
    </row>
    <row r="166">
      <c r="I166" s="123"/>
    </row>
    <row r="167">
      <c r="I167" s="123"/>
    </row>
    <row r="168">
      <c r="I168" s="123"/>
    </row>
    <row r="169">
      <c r="I169" s="123"/>
    </row>
    <row r="170">
      <c r="I170" s="123"/>
    </row>
    <row r="171">
      <c r="I171" s="123"/>
    </row>
    <row r="172">
      <c r="I172" s="123"/>
    </row>
    <row r="173">
      <c r="I173" s="123"/>
    </row>
    <row r="174">
      <c r="I174" s="123"/>
    </row>
    <row r="175">
      <c r="I175" s="123"/>
    </row>
    <row r="176">
      <c r="I176" s="123"/>
    </row>
    <row r="177">
      <c r="I177" s="123"/>
    </row>
    <row r="178">
      <c r="I178" s="123"/>
    </row>
    <row r="179">
      <c r="I179" s="123"/>
    </row>
    <row r="180">
      <c r="I180" s="123"/>
    </row>
    <row r="181">
      <c r="I181" s="123"/>
    </row>
    <row r="182">
      <c r="I182" s="123"/>
    </row>
    <row r="183">
      <c r="I183" s="123"/>
    </row>
    <row r="184">
      <c r="I184" s="123"/>
    </row>
    <row r="185">
      <c r="I185" s="123"/>
    </row>
    <row r="186">
      <c r="I186" s="123"/>
    </row>
    <row r="187">
      <c r="I187" s="123"/>
    </row>
    <row r="188">
      <c r="I188" s="123"/>
    </row>
    <row r="189">
      <c r="I189" s="123"/>
    </row>
    <row r="190">
      <c r="I190" s="123"/>
    </row>
    <row r="191">
      <c r="I191" s="123"/>
    </row>
    <row r="192">
      <c r="I192" s="123"/>
    </row>
    <row r="193">
      <c r="I193" s="123"/>
    </row>
    <row r="194">
      <c r="I194" s="123"/>
    </row>
    <row r="195">
      <c r="I195" s="123"/>
    </row>
    <row r="196">
      <c r="I196" s="123"/>
    </row>
    <row r="197">
      <c r="I197" s="123"/>
    </row>
    <row r="198">
      <c r="I198" s="123"/>
    </row>
    <row r="199">
      <c r="I199" s="123"/>
    </row>
    <row r="200">
      <c r="I200" s="123"/>
    </row>
    <row r="201">
      <c r="I201" s="123"/>
    </row>
    <row r="202">
      <c r="I202" s="123"/>
    </row>
    <row r="203">
      <c r="I203" s="123"/>
    </row>
    <row r="204">
      <c r="I204" s="123"/>
    </row>
    <row r="205">
      <c r="I205" s="123"/>
    </row>
    <row r="206">
      <c r="I206" s="123"/>
    </row>
    <row r="207">
      <c r="I207" s="123"/>
    </row>
    <row r="208">
      <c r="I208" s="123"/>
    </row>
    <row r="209">
      <c r="I209" s="123"/>
    </row>
    <row r="210">
      <c r="I210" s="123"/>
    </row>
    <row r="211">
      <c r="I211" s="123"/>
    </row>
    <row r="212">
      <c r="I212" s="123"/>
    </row>
    <row r="213">
      <c r="I213" s="123"/>
    </row>
    <row r="214">
      <c r="I214" s="123"/>
    </row>
    <row r="215">
      <c r="I215" s="123"/>
    </row>
    <row r="216">
      <c r="I216" s="123"/>
    </row>
    <row r="217">
      <c r="I217" s="123"/>
    </row>
    <row r="218">
      <c r="I218" s="123"/>
    </row>
    <row r="219">
      <c r="I219" s="123"/>
    </row>
    <row r="220">
      <c r="I220" s="123"/>
    </row>
    <row r="221">
      <c r="I221" s="123"/>
    </row>
    <row r="222">
      <c r="I222" s="123"/>
    </row>
    <row r="223">
      <c r="I223" s="123"/>
    </row>
    <row r="224">
      <c r="I224" s="123"/>
    </row>
    <row r="225">
      <c r="I225" s="123"/>
    </row>
    <row r="226">
      <c r="I226" s="123"/>
    </row>
    <row r="227">
      <c r="I227" s="123"/>
    </row>
    <row r="228">
      <c r="I228" s="123"/>
    </row>
    <row r="229">
      <c r="I229" s="123"/>
    </row>
    <row r="230">
      <c r="I230" s="123"/>
    </row>
    <row r="231">
      <c r="I231" s="123"/>
    </row>
    <row r="232">
      <c r="I232" s="123"/>
    </row>
    <row r="233">
      <c r="I233" s="123"/>
    </row>
    <row r="234">
      <c r="I234" s="123"/>
    </row>
    <row r="235">
      <c r="I235" s="123"/>
    </row>
    <row r="236">
      <c r="I236" s="123"/>
    </row>
    <row r="237">
      <c r="I237" s="123"/>
    </row>
    <row r="238">
      <c r="I238" s="123"/>
    </row>
    <row r="239">
      <c r="I239" s="123"/>
    </row>
    <row r="240">
      <c r="I240" s="123"/>
    </row>
    <row r="241">
      <c r="I241" s="123"/>
    </row>
    <row r="242">
      <c r="I242" s="123"/>
    </row>
    <row r="243">
      <c r="I243" s="123"/>
    </row>
    <row r="244">
      <c r="I244" s="123"/>
    </row>
    <row r="245">
      <c r="I245" s="123"/>
    </row>
    <row r="246">
      <c r="I246" s="123"/>
    </row>
    <row r="247">
      <c r="I247" s="123"/>
    </row>
    <row r="248">
      <c r="I248" s="123"/>
    </row>
    <row r="249">
      <c r="I249" s="123"/>
    </row>
    <row r="250">
      <c r="I250" s="123"/>
    </row>
    <row r="251">
      <c r="I251" s="123"/>
    </row>
    <row r="252">
      <c r="I252" s="123"/>
    </row>
    <row r="253">
      <c r="I253" s="123"/>
    </row>
    <row r="254">
      <c r="I254" s="123"/>
    </row>
    <row r="255">
      <c r="I255" s="123"/>
    </row>
    <row r="256">
      <c r="I256" s="123"/>
    </row>
    <row r="257">
      <c r="I257" s="123"/>
    </row>
    <row r="258">
      <c r="I258" s="123"/>
    </row>
    <row r="259">
      <c r="I259" s="123"/>
    </row>
    <row r="260">
      <c r="I260" s="123"/>
    </row>
    <row r="261">
      <c r="I261" s="123"/>
    </row>
    <row r="262">
      <c r="I262" s="123"/>
    </row>
    <row r="263">
      <c r="I263" s="123"/>
    </row>
    <row r="264">
      <c r="I264" s="123"/>
    </row>
    <row r="265">
      <c r="I265" s="123"/>
    </row>
    <row r="266">
      <c r="I266" s="123"/>
    </row>
    <row r="267">
      <c r="I267" s="123"/>
    </row>
    <row r="268">
      <c r="I268" s="123"/>
    </row>
    <row r="269">
      <c r="I269" s="123"/>
    </row>
    <row r="270">
      <c r="I270" s="123"/>
    </row>
    <row r="271">
      <c r="I271" s="123"/>
    </row>
    <row r="272">
      <c r="I272" s="123"/>
    </row>
    <row r="273">
      <c r="I273" s="123"/>
    </row>
    <row r="274">
      <c r="I274" s="123"/>
    </row>
    <row r="275">
      <c r="I275" s="123"/>
    </row>
    <row r="276">
      <c r="I276" s="123"/>
    </row>
    <row r="277">
      <c r="I277" s="123"/>
    </row>
    <row r="278">
      <c r="I278" s="123"/>
    </row>
    <row r="279">
      <c r="I279" s="123"/>
    </row>
    <row r="280">
      <c r="I280" s="123"/>
    </row>
    <row r="281">
      <c r="I281" s="123"/>
    </row>
    <row r="282">
      <c r="I282" s="123"/>
    </row>
    <row r="283">
      <c r="I283" s="123"/>
    </row>
    <row r="284">
      <c r="I284" s="123"/>
    </row>
    <row r="285">
      <c r="I285" s="123"/>
    </row>
    <row r="286">
      <c r="I286" s="123"/>
    </row>
    <row r="287">
      <c r="I287" s="123"/>
    </row>
    <row r="288">
      <c r="I288" s="123"/>
    </row>
    <row r="289">
      <c r="I289" s="123"/>
    </row>
    <row r="290">
      <c r="I290" s="123"/>
    </row>
    <row r="291">
      <c r="I291" s="123"/>
    </row>
    <row r="292">
      <c r="I292" s="123"/>
    </row>
    <row r="293">
      <c r="I293" s="123"/>
    </row>
    <row r="294">
      <c r="I294" s="123"/>
    </row>
    <row r="295">
      <c r="I295" s="123"/>
    </row>
    <row r="296">
      <c r="I296" s="123"/>
    </row>
    <row r="297">
      <c r="I297" s="123"/>
    </row>
    <row r="298">
      <c r="I298" s="123"/>
    </row>
    <row r="299">
      <c r="I299" s="123"/>
    </row>
    <row r="300">
      <c r="I300" s="123"/>
    </row>
    <row r="301">
      <c r="I301" s="123"/>
    </row>
    <row r="302">
      <c r="I302" s="123"/>
    </row>
    <row r="303">
      <c r="I303" s="123"/>
    </row>
    <row r="304">
      <c r="I304" s="123"/>
    </row>
    <row r="305">
      <c r="I305" s="123"/>
    </row>
    <row r="306">
      <c r="I306" s="123"/>
    </row>
    <row r="307">
      <c r="I307" s="123"/>
    </row>
    <row r="308">
      <c r="I308" s="123"/>
    </row>
    <row r="309">
      <c r="I309" s="123"/>
    </row>
    <row r="310">
      <c r="I310" s="123"/>
    </row>
    <row r="311">
      <c r="I311" s="123"/>
    </row>
    <row r="312">
      <c r="I312" s="123"/>
    </row>
    <row r="313">
      <c r="I313" s="123"/>
    </row>
    <row r="314">
      <c r="I314" s="123"/>
    </row>
    <row r="315">
      <c r="I315" s="123"/>
    </row>
    <row r="316">
      <c r="I316" s="123"/>
    </row>
    <row r="317">
      <c r="I317" s="123"/>
    </row>
    <row r="318">
      <c r="I318" s="123"/>
    </row>
    <row r="319">
      <c r="I319" s="123"/>
    </row>
    <row r="320">
      <c r="I320" s="123"/>
    </row>
    <row r="321">
      <c r="I321" s="123"/>
    </row>
    <row r="322">
      <c r="I322" s="123"/>
    </row>
    <row r="323">
      <c r="I323" s="123"/>
    </row>
    <row r="324">
      <c r="I324" s="123"/>
    </row>
    <row r="325">
      <c r="I325" s="123"/>
    </row>
    <row r="326">
      <c r="I326" s="123"/>
    </row>
    <row r="327">
      <c r="I327" s="123"/>
    </row>
    <row r="328">
      <c r="I328" s="123"/>
    </row>
    <row r="329">
      <c r="I329" s="123"/>
    </row>
    <row r="330">
      <c r="I330" s="123"/>
    </row>
    <row r="331">
      <c r="I331" s="123"/>
    </row>
    <row r="332">
      <c r="I332" s="123"/>
    </row>
    <row r="333">
      <c r="I333" s="123"/>
    </row>
    <row r="334">
      <c r="I334" s="123"/>
    </row>
    <row r="335">
      <c r="I335" s="123"/>
    </row>
    <row r="336">
      <c r="I336" s="123"/>
    </row>
    <row r="337">
      <c r="I337" s="123"/>
    </row>
    <row r="338">
      <c r="I338" s="123"/>
    </row>
    <row r="339">
      <c r="I339" s="123"/>
    </row>
    <row r="340">
      <c r="I340" s="123"/>
    </row>
    <row r="341">
      <c r="I341" s="123"/>
    </row>
    <row r="342">
      <c r="I342" s="123"/>
    </row>
    <row r="343">
      <c r="I343" s="123"/>
    </row>
    <row r="344">
      <c r="I344" s="123"/>
    </row>
    <row r="345">
      <c r="I345" s="123"/>
    </row>
    <row r="346">
      <c r="I346" s="123"/>
    </row>
    <row r="347">
      <c r="I347" s="123"/>
    </row>
    <row r="348">
      <c r="I348" s="123"/>
    </row>
    <row r="349">
      <c r="I349" s="123"/>
    </row>
    <row r="350">
      <c r="I350" s="123"/>
    </row>
    <row r="351">
      <c r="I351" s="123"/>
    </row>
    <row r="352">
      <c r="I352" s="123"/>
    </row>
    <row r="353">
      <c r="I353" s="123"/>
    </row>
    <row r="354">
      <c r="I354" s="123"/>
    </row>
    <row r="355">
      <c r="I355" s="123"/>
    </row>
    <row r="356">
      <c r="I356" s="123"/>
    </row>
    <row r="357">
      <c r="I357" s="123"/>
    </row>
    <row r="358">
      <c r="I358" s="123"/>
    </row>
    <row r="359">
      <c r="I359" s="123"/>
    </row>
    <row r="360">
      <c r="I360" s="123"/>
    </row>
    <row r="361">
      <c r="I361" s="123"/>
    </row>
    <row r="362">
      <c r="I362" s="123"/>
    </row>
    <row r="363">
      <c r="I363" s="123"/>
    </row>
    <row r="364">
      <c r="I364" s="123"/>
    </row>
    <row r="365">
      <c r="I365" s="123"/>
    </row>
    <row r="366">
      <c r="I366" s="123"/>
    </row>
    <row r="367">
      <c r="I367" s="123"/>
    </row>
    <row r="368">
      <c r="I368" s="123"/>
    </row>
    <row r="369">
      <c r="I369" s="123"/>
    </row>
    <row r="370">
      <c r="I370" s="123"/>
    </row>
    <row r="371">
      <c r="I371" s="123"/>
    </row>
    <row r="372">
      <c r="I372" s="123"/>
    </row>
    <row r="373">
      <c r="I373" s="123"/>
    </row>
    <row r="374">
      <c r="I374" s="123"/>
    </row>
    <row r="375">
      <c r="I375" s="123"/>
    </row>
    <row r="376">
      <c r="I376" s="123"/>
    </row>
    <row r="377">
      <c r="I377" s="123"/>
    </row>
    <row r="378">
      <c r="I378" s="123"/>
    </row>
    <row r="379">
      <c r="I379" s="123"/>
    </row>
    <row r="380">
      <c r="I380" s="123"/>
    </row>
    <row r="381">
      <c r="I381" s="123"/>
    </row>
    <row r="382">
      <c r="I382" s="123"/>
    </row>
    <row r="383">
      <c r="I383" s="123"/>
    </row>
    <row r="384">
      <c r="I384" s="123"/>
    </row>
    <row r="385">
      <c r="I385" s="123"/>
    </row>
    <row r="386">
      <c r="I386" s="123"/>
    </row>
    <row r="387">
      <c r="I387" s="123"/>
    </row>
    <row r="388">
      <c r="I388" s="123"/>
    </row>
    <row r="389">
      <c r="I389" s="123"/>
    </row>
    <row r="390">
      <c r="I390" s="123"/>
    </row>
    <row r="391">
      <c r="I391" s="123"/>
    </row>
    <row r="392">
      <c r="I392" s="123"/>
    </row>
    <row r="393">
      <c r="I393" s="123"/>
    </row>
    <row r="394">
      <c r="I394" s="123"/>
    </row>
    <row r="395">
      <c r="I395" s="123"/>
    </row>
    <row r="396">
      <c r="I396" s="123"/>
    </row>
    <row r="397">
      <c r="I397" s="123"/>
    </row>
    <row r="398">
      <c r="I398" s="123"/>
    </row>
    <row r="399">
      <c r="I399" s="123"/>
    </row>
    <row r="400">
      <c r="I400" s="123"/>
    </row>
    <row r="401">
      <c r="I401" s="123"/>
    </row>
    <row r="402">
      <c r="I402" s="123"/>
    </row>
    <row r="403">
      <c r="I403" s="123"/>
    </row>
    <row r="404">
      <c r="I404" s="123"/>
    </row>
    <row r="405">
      <c r="I405" s="123"/>
    </row>
    <row r="406">
      <c r="I406" s="123"/>
    </row>
    <row r="407">
      <c r="I407" s="123"/>
    </row>
    <row r="408">
      <c r="I408" s="123"/>
    </row>
    <row r="409">
      <c r="I409" s="123"/>
    </row>
    <row r="410">
      <c r="I410" s="123"/>
    </row>
    <row r="411">
      <c r="I411" s="123"/>
    </row>
    <row r="412">
      <c r="I412" s="123"/>
    </row>
    <row r="413">
      <c r="I413" s="123"/>
    </row>
    <row r="414">
      <c r="I414" s="123"/>
    </row>
    <row r="415">
      <c r="I415" s="123"/>
    </row>
    <row r="416">
      <c r="I416" s="123"/>
    </row>
    <row r="417">
      <c r="I417" s="123"/>
    </row>
    <row r="418">
      <c r="I418" s="123"/>
    </row>
    <row r="419">
      <c r="I419" s="123"/>
    </row>
    <row r="420">
      <c r="I420" s="123"/>
    </row>
    <row r="421">
      <c r="I421" s="123"/>
    </row>
    <row r="422">
      <c r="I422" s="123"/>
    </row>
    <row r="423">
      <c r="I423" s="123"/>
    </row>
    <row r="424">
      <c r="I424" s="123"/>
    </row>
    <row r="425">
      <c r="I425" s="123"/>
    </row>
    <row r="426">
      <c r="I426" s="123"/>
    </row>
    <row r="427">
      <c r="I427" s="123"/>
    </row>
    <row r="428">
      <c r="I428" s="123"/>
    </row>
    <row r="429">
      <c r="I429" s="123"/>
    </row>
    <row r="430">
      <c r="I430" s="123"/>
    </row>
    <row r="431">
      <c r="I431" s="123"/>
    </row>
    <row r="432">
      <c r="I432" s="123"/>
    </row>
    <row r="433">
      <c r="I433" s="123"/>
    </row>
    <row r="434">
      <c r="I434" s="123"/>
    </row>
    <row r="435">
      <c r="I435" s="123"/>
    </row>
    <row r="436">
      <c r="I436" s="123"/>
    </row>
    <row r="437">
      <c r="I437" s="123"/>
    </row>
    <row r="438">
      <c r="I438" s="123"/>
    </row>
    <row r="439">
      <c r="I439" s="123"/>
    </row>
    <row r="440">
      <c r="I440" s="123"/>
    </row>
    <row r="441">
      <c r="I441" s="123"/>
    </row>
    <row r="442">
      <c r="I442" s="123"/>
    </row>
    <row r="443">
      <c r="I443" s="123"/>
    </row>
    <row r="444">
      <c r="I444" s="123"/>
    </row>
    <row r="445">
      <c r="I445" s="123"/>
    </row>
    <row r="446">
      <c r="I446" s="123"/>
    </row>
    <row r="447">
      <c r="I447" s="123"/>
    </row>
    <row r="448">
      <c r="I448" s="123"/>
    </row>
    <row r="449">
      <c r="I449" s="123"/>
    </row>
    <row r="450">
      <c r="I450" s="123"/>
    </row>
    <row r="451">
      <c r="I451" s="123"/>
    </row>
    <row r="452">
      <c r="I452" s="123"/>
    </row>
    <row r="453">
      <c r="I453" s="123"/>
    </row>
    <row r="454">
      <c r="I454" s="123"/>
    </row>
    <row r="455">
      <c r="I455" s="123"/>
    </row>
    <row r="456">
      <c r="I456" s="123"/>
    </row>
    <row r="457">
      <c r="I457" s="123"/>
    </row>
    <row r="458">
      <c r="I458" s="123"/>
    </row>
    <row r="459">
      <c r="I459" s="123"/>
    </row>
    <row r="460">
      <c r="I460" s="123"/>
    </row>
    <row r="461">
      <c r="I461" s="123"/>
    </row>
    <row r="462">
      <c r="I462" s="123"/>
    </row>
    <row r="463">
      <c r="I463" s="123"/>
    </row>
    <row r="464">
      <c r="I464" s="123"/>
    </row>
    <row r="465">
      <c r="I465" s="123"/>
    </row>
    <row r="466">
      <c r="I466" s="123"/>
    </row>
    <row r="467">
      <c r="I467" s="123"/>
    </row>
    <row r="468">
      <c r="I468" s="123"/>
    </row>
    <row r="469">
      <c r="I469" s="123"/>
    </row>
    <row r="470">
      <c r="I470" s="123"/>
    </row>
    <row r="471">
      <c r="I471" s="123"/>
    </row>
    <row r="472">
      <c r="I472" s="123"/>
    </row>
    <row r="473">
      <c r="I473" s="123"/>
    </row>
    <row r="474">
      <c r="I474" s="123"/>
    </row>
    <row r="475">
      <c r="I475" s="123"/>
    </row>
    <row r="476">
      <c r="I476" s="123"/>
    </row>
    <row r="477">
      <c r="I477" s="123"/>
    </row>
    <row r="478">
      <c r="I478" s="123"/>
    </row>
    <row r="479">
      <c r="I479" s="123"/>
    </row>
    <row r="480">
      <c r="I480" s="123"/>
    </row>
    <row r="481">
      <c r="I481" s="123"/>
    </row>
    <row r="482">
      <c r="I482" s="123"/>
    </row>
    <row r="483">
      <c r="I483" s="123"/>
    </row>
    <row r="484">
      <c r="I484" s="123"/>
    </row>
    <row r="485">
      <c r="I485" s="123"/>
    </row>
    <row r="486">
      <c r="I486" s="123"/>
    </row>
    <row r="487">
      <c r="I487" s="123"/>
    </row>
    <row r="488">
      <c r="I488" s="123"/>
    </row>
    <row r="489">
      <c r="I489" s="123"/>
    </row>
    <row r="490">
      <c r="I490" s="123"/>
    </row>
    <row r="491">
      <c r="I491" s="123"/>
    </row>
    <row r="492">
      <c r="I492" s="123"/>
    </row>
    <row r="493">
      <c r="I493" s="123"/>
    </row>
    <row r="494">
      <c r="I494" s="123"/>
    </row>
    <row r="495">
      <c r="I495" s="123"/>
    </row>
    <row r="496">
      <c r="I496" s="123"/>
    </row>
    <row r="497">
      <c r="I497" s="123"/>
    </row>
    <row r="498">
      <c r="I498" s="123"/>
    </row>
    <row r="499">
      <c r="I499" s="123"/>
    </row>
    <row r="500">
      <c r="I500" s="123"/>
    </row>
    <row r="501">
      <c r="I501" s="123"/>
    </row>
    <row r="502">
      <c r="I502" s="123"/>
    </row>
    <row r="503">
      <c r="I503" s="123"/>
    </row>
    <row r="504">
      <c r="I504" s="123"/>
    </row>
    <row r="505">
      <c r="I505" s="123"/>
    </row>
    <row r="506">
      <c r="I506" s="123"/>
    </row>
    <row r="507">
      <c r="I507" s="123"/>
    </row>
    <row r="508">
      <c r="I508" s="123"/>
    </row>
    <row r="509">
      <c r="I509" s="123"/>
    </row>
    <row r="510">
      <c r="I510" s="123"/>
    </row>
    <row r="511">
      <c r="I511" s="123"/>
    </row>
    <row r="512">
      <c r="I512" s="123"/>
    </row>
    <row r="513">
      <c r="I513" s="123"/>
    </row>
    <row r="514">
      <c r="I514" s="123"/>
    </row>
    <row r="515">
      <c r="I515" s="123"/>
    </row>
    <row r="516">
      <c r="I516" s="123"/>
    </row>
    <row r="517">
      <c r="I517" s="123"/>
    </row>
    <row r="518">
      <c r="I518" s="123"/>
    </row>
    <row r="519">
      <c r="I519" s="123"/>
    </row>
    <row r="520">
      <c r="I520" s="123"/>
    </row>
    <row r="521">
      <c r="I521" s="123"/>
    </row>
    <row r="522">
      <c r="I522" s="123"/>
    </row>
    <row r="523">
      <c r="I523" s="123"/>
    </row>
    <row r="524">
      <c r="I524" s="123"/>
    </row>
    <row r="525">
      <c r="I525" s="123"/>
    </row>
    <row r="526">
      <c r="I526" s="123"/>
    </row>
    <row r="527">
      <c r="I527" s="123"/>
    </row>
    <row r="528">
      <c r="I528" s="123"/>
    </row>
    <row r="529">
      <c r="I529" s="123"/>
    </row>
    <row r="530">
      <c r="I530" s="123"/>
    </row>
    <row r="531">
      <c r="I531" s="123"/>
    </row>
    <row r="532">
      <c r="I532" s="123"/>
    </row>
    <row r="533">
      <c r="I533" s="123"/>
    </row>
    <row r="534">
      <c r="I534" s="123"/>
    </row>
    <row r="535">
      <c r="I535" s="123"/>
    </row>
    <row r="536">
      <c r="I536" s="123"/>
    </row>
    <row r="537">
      <c r="I537" s="123"/>
    </row>
    <row r="538">
      <c r="I538" s="123"/>
    </row>
    <row r="539">
      <c r="I539" s="123"/>
    </row>
    <row r="540">
      <c r="I540" s="123"/>
    </row>
    <row r="541">
      <c r="I541" s="123"/>
    </row>
    <row r="542">
      <c r="I542" s="123"/>
    </row>
    <row r="543">
      <c r="I543" s="123"/>
    </row>
    <row r="544">
      <c r="I544" s="123"/>
    </row>
    <row r="545">
      <c r="I545" s="123"/>
    </row>
    <row r="546">
      <c r="I546" s="123"/>
    </row>
    <row r="547">
      <c r="I547" s="123"/>
    </row>
    <row r="548">
      <c r="I548" s="123"/>
    </row>
    <row r="549">
      <c r="I549" s="123"/>
    </row>
    <row r="550">
      <c r="I550" s="123"/>
    </row>
    <row r="551">
      <c r="I551" s="123"/>
    </row>
    <row r="552">
      <c r="I552" s="123"/>
    </row>
    <row r="553">
      <c r="I553" s="123"/>
    </row>
    <row r="554">
      <c r="I554" s="123"/>
    </row>
    <row r="555">
      <c r="I555" s="123"/>
    </row>
    <row r="556">
      <c r="I556" s="123"/>
    </row>
    <row r="557">
      <c r="I557" s="123"/>
    </row>
    <row r="558">
      <c r="I558" s="123"/>
    </row>
    <row r="559">
      <c r="I559" s="123"/>
    </row>
    <row r="560">
      <c r="I560" s="123"/>
    </row>
    <row r="561">
      <c r="I561" s="123"/>
    </row>
    <row r="562">
      <c r="I562" s="123"/>
    </row>
    <row r="563">
      <c r="I563" s="123"/>
    </row>
    <row r="564">
      <c r="I564" s="123"/>
    </row>
    <row r="565">
      <c r="I565" s="123"/>
    </row>
    <row r="566">
      <c r="I566" s="123"/>
    </row>
    <row r="567">
      <c r="I567" s="123"/>
    </row>
    <row r="568">
      <c r="I568" s="123"/>
    </row>
    <row r="569">
      <c r="I569" s="123"/>
    </row>
    <row r="570">
      <c r="I570" s="123"/>
    </row>
    <row r="571">
      <c r="I571" s="123"/>
    </row>
    <row r="572">
      <c r="I572" s="123"/>
    </row>
    <row r="573">
      <c r="I573" s="123"/>
    </row>
    <row r="574">
      <c r="I574" s="123"/>
    </row>
    <row r="575">
      <c r="I575" s="123"/>
    </row>
    <row r="576">
      <c r="I576" s="123"/>
    </row>
    <row r="577">
      <c r="I577" s="123"/>
    </row>
    <row r="578">
      <c r="I578" s="123"/>
    </row>
    <row r="579">
      <c r="I579" s="123"/>
    </row>
    <row r="580">
      <c r="I580" s="123"/>
    </row>
    <row r="581">
      <c r="I581" s="123"/>
    </row>
    <row r="582">
      <c r="I582" s="123"/>
    </row>
    <row r="583">
      <c r="I583" s="123"/>
    </row>
    <row r="584">
      <c r="I584" s="123"/>
    </row>
    <row r="585">
      <c r="I585" s="123"/>
    </row>
    <row r="586">
      <c r="I586" s="123"/>
    </row>
    <row r="587">
      <c r="I587" s="123"/>
    </row>
    <row r="588">
      <c r="I588" s="123"/>
    </row>
    <row r="589">
      <c r="I589" s="123"/>
    </row>
    <row r="590">
      <c r="I590" s="123"/>
    </row>
    <row r="591">
      <c r="I591" s="123"/>
    </row>
    <row r="592">
      <c r="I592" s="123"/>
    </row>
    <row r="593">
      <c r="I593" s="123"/>
    </row>
    <row r="594">
      <c r="I594" s="123"/>
    </row>
    <row r="595">
      <c r="I595" s="123"/>
    </row>
    <row r="596">
      <c r="I596" s="123"/>
    </row>
    <row r="597">
      <c r="I597" s="123"/>
    </row>
    <row r="598">
      <c r="I598" s="123"/>
    </row>
    <row r="599">
      <c r="I599" s="123"/>
    </row>
    <row r="600">
      <c r="I600" s="123"/>
    </row>
    <row r="601">
      <c r="I601" s="123"/>
    </row>
    <row r="602">
      <c r="I602" s="123"/>
    </row>
    <row r="603">
      <c r="I603" s="123"/>
    </row>
    <row r="604">
      <c r="I604" s="123"/>
    </row>
    <row r="605">
      <c r="I605" s="123"/>
    </row>
    <row r="606">
      <c r="I606" s="123"/>
    </row>
    <row r="607">
      <c r="I607" s="123"/>
    </row>
    <row r="608">
      <c r="I608" s="123"/>
    </row>
    <row r="609">
      <c r="I609" s="123"/>
    </row>
    <row r="610">
      <c r="I610" s="123"/>
    </row>
    <row r="611">
      <c r="I611" s="123"/>
    </row>
    <row r="612">
      <c r="I612" s="123"/>
    </row>
    <row r="613">
      <c r="I613" s="123"/>
    </row>
    <row r="614">
      <c r="I614" s="123"/>
    </row>
    <row r="615">
      <c r="I615" s="123"/>
    </row>
    <row r="616">
      <c r="I616" s="123"/>
    </row>
    <row r="617">
      <c r="I617" s="123"/>
    </row>
    <row r="618">
      <c r="I618" s="123"/>
    </row>
    <row r="619">
      <c r="I619" s="123"/>
    </row>
    <row r="620">
      <c r="I620" s="123"/>
    </row>
    <row r="621">
      <c r="I621" s="123"/>
    </row>
    <row r="622">
      <c r="I622" s="123"/>
    </row>
    <row r="623">
      <c r="I623" s="123"/>
    </row>
    <row r="624">
      <c r="I624" s="123"/>
    </row>
    <row r="625">
      <c r="I625" s="123"/>
    </row>
    <row r="626">
      <c r="I626" s="123"/>
    </row>
    <row r="627">
      <c r="I627" s="123"/>
    </row>
    <row r="628">
      <c r="I628" s="123"/>
    </row>
    <row r="629">
      <c r="I629" s="123"/>
    </row>
    <row r="630">
      <c r="I630" s="123"/>
    </row>
    <row r="631">
      <c r="I631" s="123"/>
    </row>
    <row r="632">
      <c r="I632" s="123"/>
    </row>
    <row r="633">
      <c r="I633" s="123"/>
    </row>
    <row r="634">
      <c r="I634" s="123"/>
    </row>
    <row r="635">
      <c r="I635" s="123"/>
    </row>
    <row r="636">
      <c r="I636" s="123"/>
    </row>
    <row r="637">
      <c r="I637" s="123"/>
    </row>
    <row r="638">
      <c r="I638" s="123"/>
    </row>
    <row r="639">
      <c r="I639" s="123"/>
    </row>
    <row r="640">
      <c r="I640" s="123"/>
    </row>
    <row r="641">
      <c r="I641" s="123"/>
    </row>
    <row r="642">
      <c r="I642" s="123"/>
    </row>
    <row r="643">
      <c r="I643" s="123"/>
    </row>
    <row r="644">
      <c r="I644" s="123"/>
    </row>
    <row r="645">
      <c r="I645" s="123"/>
    </row>
    <row r="646">
      <c r="I646" s="123"/>
    </row>
    <row r="647">
      <c r="I647" s="123"/>
    </row>
    <row r="648">
      <c r="I648" s="123"/>
    </row>
    <row r="649">
      <c r="I649" s="123"/>
    </row>
    <row r="650">
      <c r="I650" s="123"/>
    </row>
    <row r="651">
      <c r="I651" s="123"/>
    </row>
    <row r="652">
      <c r="I652" s="123"/>
    </row>
    <row r="653">
      <c r="I653" s="123"/>
    </row>
    <row r="654">
      <c r="I654" s="123"/>
    </row>
    <row r="655">
      <c r="I655" s="123"/>
    </row>
    <row r="656">
      <c r="I656" s="123"/>
    </row>
    <row r="657">
      <c r="I657" s="123"/>
    </row>
    <row r="658">
      <c r="I658" s="123"/>
    </row>
    <row r="659">
      <c r="I659" s="123"/>
    </row>
    <row r="660">
      <c r="I660" s="123"/>
    </row>
    <row r="661">
      <c r="I661" s="123"/>
    </row>
    <row r="662">
      <c r="I662" s="123"/>
    </row>
    <row r="663">
      <c r="I663" s="123"/>
    </row>
    <row r="664">
      <c r="I664" s="123"/>
    </row>
    <row r="665">
      <c r="I665" s="123"/>
    </row>
    <row r="666">
      <c r="I666" s="123"/>
    </row>
    <row r="667">
      <c r="I667" s="123"/>
    </row>
    <row r="668">
      <c r="I668" s="123"/>
    </row>
    <row r="669">
      <c r="I669" s="123"/>
    </row>
    <row r="670">
      <c r="I670" s="123"/>
    </row>
    <row r="671">
      <c r="I671" s="123"/>
    </row>
    <row r="672">
      <c r="I672" s="123"/>
    </row>
    <row r="673">
      <c r="I673" s="123"/>
    </row>
    <row r="674">
      <c r="I674" s="123"/>
    </row>
    <row r="675">
      <c r="I675" s="123"/>
    </row>
    <row r="676">
      <c r="I676" s="123"/>
    </row>
    <row r="677">
      <c r="I677" s="123"/>
    </row>
    <row r="678">
      <c r="I678" s="123"/>
    </row>
    <row r="679">
      <c r="I679" s="123"/>
    </row>
    <row r="680">
      <c r="I680" s="123"/>
    </row>
    <row r="681">
      <c r="I681" s="123"/>
    </row>
    <row r="682">
      <c r="I682" s="123"/>
    </row>
    <row r="683">
      <c r="I683" s="123"/>
    </row>
    <row r="684">
      <c r="I684" s="123"/>
    </row>
    <row r="685">
      <c r="I685" s="123"/>
    </row>
    <row r="686">
      <c r="I686" s="123"/>
    </row>
    <row r="687">
      <c r="I687" s="123"/>
    </row>
    <row r="688">
      <c r="I688" s="123"/>
    </row>
    <row r="689">
      <c r="I689" s="123"/>
    </row>
    <row r="690">
      <c r="I690" s="123"/>
    </row>
    <row r="691">
      <c r="I691" s="123"/>
    </row>
    <row r="692">
      <c r="I692" s="123"/>
    </row>
    <row r="693">
      <c r="I693" s="123"/>
    </row>
    <row r="694">
      <c r="I694" s="123"/>
    </row>
    <row r="695">
      <c r="I695" s="123"/>
    </row>
    <row r="696">
      <c r="I696" s="123"/>
    </row>
    <row r="697">
      <c r="I697" s="123"/>
    </row>
    <row r="698">
      <c r="I698" s="123"/>
    </row>
    <row r="699">
      <c r="I699" s="123"/>
    </row>
    <row r="700">
      <c r="I700" s="123"/>
    </row>
    <row r="701">
      <c r="I701" s="123"/>
    </row>
    <row r="702">
      <c r="I702" s="123"/>
    </row>
    <row r="703">
      <c r="I703" s="123"/>
    </row>
    <row r="704">
      <c r="I704" s="123"/>
    </row>
    <row r="705">
      <c r="I705" s="123"/>
    </row>
    <row r="706">
      <c r="I706" s="123"/>
    </row>
    <row r="707">
      <c r="I707" s="123"/>
    </row>
    <row r="708">
      <c r="I708" s="123"/>
    </row>
    <row r="709">
      <c r="I709" s="123"/>
    </row>
    <row r="710">
      <c r="I710" s="123"/>
    </row>
    <row r="711">
      <c r="I711" s="123"/>
    </row>
    <row r="712">
      <c r="I712" s="123"/>
    </row>
    <row r="713">
      <c r="I713" s="123"/>
    </row>
    <row r="714">
      <c r="I714" s="123"/>
    </row>
    <row r="715">
      <c r="I715" s="123"/>
    </row>
    <row r="716">
      <c r="I716" s="123"/>
    </row>
    <row r="717">
      <c r="I717" s="123"/>
    </row>
    <row r="718">
      <c r="I718" s="123"/>
    </row>
    <row r="719">
      <c r="I719" s="123"/>
    </row>
    <row r="720">
      <c r="I720" s="123"/>
    </row>
    <row r="721">
      <c r="I721" s="123"/>
    </row>
    <row r="722">
      <c r="I722" s="123"/>
    </row>
    <row r="723">
      <c r="I723" s="123"/>
    </row>
    <row r="724">
      <c r="I724" s="123"/>
    </row>
    <row r="725">
      <c r="I725" s="123"/>
    </row>
    <row r="726">
      <c r="I726" s="123"/>
    </row>
    <row r="727">
      <c r="I727" s="123"/>
    </row>
    <row r="728">
      <c r="I728" s="123"/>
    </row>
    <row r="729">
      <c r="I729" s="123"/>
    </row>
    <row r="730">
      <c r="I730" s="123"/>
    </row>
    <row r="731">
      <c r="I731" s="123"/>
    </row>
    <row r="732">
      <c r="I732" s="123"/>
    </row>
    <row r="733">
      <c r="I733" s="123"/>
    </row>
    <row r="734">
      <c r="I734" s="123"/>
    </row>
    <row r="735">
      <c r="I735" s="123"/>
    </row>
    <row r="736">
      <c r="I736" s="123"/>
    </row>
    <row r="737">
      <c r="I737" s="123"/>
    </row>
    <row r="738">
      <c r="I738" s="123"/>
    </row>
    <row r="739">
      <c r="I739" s="123"/>
    </row>
    <row r="740">
      <c r="I740" s="123"/>
    </row>
    <row r="741">
      <c r="I741" s="123"/>
    </row>
    <row r="742">
      <c r="I742" s="123"/>
    </row>
    <row r="743">
      <c r="I743" s="123"/>
    </row>
    <row r="744">
      <c r="I744" s="123"/>
    </row>
    <row r="745">
      <c r="I745" s="123"/>
    </row>
    <row r="746">
      <c r="I746" s="123"/>
    </row>
    <row r="747">
      <c r="I747" s="123"/>
    </row>
    <row r="748">
      <c r="I748" s="123"/>
    </row>
    <row r="749">
      <c r="I749" s="123"/>
    </row>
    <row r="750">
      <c r="I750" s="123"/>
    </row>
    <row r="751">
      <c r="I751" s="123"/>
    </row>
    <row r="752">
      <c r="I752" s="123"/>
    </row>
    <row r="753">
      <c r="I753" s="123"/>
    </row>
    <row r="754">
      <c r="I754" s="123"/>
    </row>
    <row r="755">
      <c r="I755" s="123"/>
    </row>
    <row r="756">
      <c r="I756" s="123"/>
    </row>
    <row r="757">
      <c r="I757" s="123"/>
    </row>
    <row r="758">
      <c r="I758" s="123"/>
    </row>
    <row r="759">
      <c r="I759" s="123"/>
    </row>
    <row r="760">
      <c r="I760" s="123"/>
    </row>
    <row r="761">
      <c r="I761" s="123"/>
    </row>
    <row r="762">
      <c r="I762" s="123"/>
    </row>
    <row r="763">
      <c r="I763" s="123"/>
    </row>
    <row r="764">
      <c r="I764" s="123"/>
    </row>
    <row r="765">
      <c r="I765" s="123"/>
    </row>
    <row r="766">
      <c r="I766" s="123"/>
    </row>
    <row r="767">
      <c r="I767" s="123"/>
    </row>
    <row r="768">
      <c r="I768" s="123"/>
    </row>
    <row r="769">
      <c r="I769" s="123"/>
    </row>
    <row r="770">
      <c r="I770" s="123"/>
    </row>
    <row r="771">
      <c r="I771" s="123"/>
    </row>
    <row r="772">
      <c r="I772" s="123"/>
    </row>
    <row r="773">
      <c r="I773" s="123"/>
    </row>
    <row r="774">
      <c r="I774" s="123"/>
    </row>
    <row r="775">
      <c r="I775" s="123"/>
    </row>
    <row r="776">
      <c r="I776" s="123"/>
    </row>
    <row r="777">
      <c r="I777" s="123"/>
    </row>
    <row r="778">
      <c r="I778" s="123"/>
    </row>
    <row r="779">
      <c r="I779" s="123"/>
    </row>
    <row r="780">
      <c r="I780" s="123"/>
    </row>
    <row r="781">
      <c r="I781" s="123"/>
    </row>
    <row r="782">
      <c r="I782" s="123"/>
    </row>
    <row r="783">
      <c r="I783" s="123"/>
    </row>
    <row r="784">
      <c r="I784" s="123"/>
    </row>
    <row r="785">
      <c r="I785" s="123"/>
    </row>
    <row r="786">
      <c r="I786" s="123"/>
    </row>
    <row r="787">
      <c r="I787" s="123"/>
    </row>
    <row r="788">
      <c r="I788" s="123"/>
    </row>
    <row r="789">
      <c r="I789" s="123"/>
    </row>
    <row r="790">
      <c r="I790" s="123"/>
    </row>
    <row r="791">
      <c r="I791" s="123"/>
    </row>
    <row r="792">
      <c r="I792" s="123"/>
    </row>
    <row r="793">
      <c r="I793" s="123"/>
    </row>
    <row r="794">
      <c r="I794" s="123"/>
    </row>
    <row r="795">
      <c r="I795" s="123"/>
    </row>
    <row r="796">
      <c r="I796" s="123"/>
    </row>
    <row r="797">
      <c r="I797" s="123"/>
    </row>
    <row r="798">
      <c r="I798" s="123"/>
    </row>
    <row r="799">
      <c r="I799" s="123"/>
    </row>
    <row r="800">
      <c r="I800" s="123"/>
    </row>
    <row r="801">
      <c r="I801" s="123"/>
    </row>
    <row r="802">
      <c r="I802" s="123"/>
    </row>
    <row r="803">
      <c r="I803" s="123"/>
    </row>
    <row r="804">
      <c r="I804" s="123"/>
    </row>
    <row r="805">
      <c r="I805" s="123"/>
    </row>
    <row r="806">
      <c r="I806" s="123"/>
    </row>
    <row r="807">
      <c r="I807" s="123"/>
    </row>
    <row r="808">
      <c r="I808" s="123"/>
    </row>
    <row r="809">
      <c r="I809" s="123"/>
    </row>
    <row r="810">
      <c r="I810" s="123"/>
    </row>
    <row r="811">
      <c r="I811" s="123"/>
    </row>
    <row r="812">
      <c r="I812" s="123"/>
    </row>
    <row r="813">
      <c r="I813" s="123"/>
    </row>
    <row r="814">
      <c r="I814" s="123"/>
    </row>
    <row r="815">
      <c r="I815" s="123"/>
    </row>
    <row r="816">
      <c r="I816" s="123"/>
    </row>
    <row r="817">
      <c r="I817" s="123"/>
    </row>
    <row r="818">
      <c r="I818" s="123"/>
    </row>
    <row r="819">
      <c r="I819" s="123"/>
    </row>
    <row r="820">
      <c r="I820" s="123"/>
    </row>
    <row r="821">
      <c r="I821" s="123"/>
    </row>
    <row r="822">
      <c r="I822" s="123"/>
    </row>
    <row r="823">
      <c r="I823" s="123"/>
    </row>
    <row r="824">
      <c r="I824" s="123"/>
    </row>
    <row r="825">
      <c r="I825" s="123"/>
    </row>
    <row r="826">
      <c r="I826" s="123"/>
    </row>
    <row r="827">
      <c r="I827" s="123"/>
    </row>
    <row r="828">
      <c r="I828" s="123"/>
    </row>
    <row r="829">
      <c r="I829" s="123"/>
    </row>
    <row r="830">
      <c r="I830" s="123"/>
    </row>
    <row r="831">
      <c r="I831" s="123"/>
    </row>
    <row r="832">
      <c r="I832" s="123"/>
    </row>
    <row r="833">
      <c r="I833" s="123"/>
    </row>
    <row r="834">
      <c r="I834" s="123"/>
    </row>
    <row r="835">
      <c r="I835" s="123"/>
    </row>
    <row r="836">
      <c r="I836" s="123"/>
    </row>
    <row r="837">
      <c r="I837" s="123"/>
    </row>
    <row r="838">
      <c r="I838" s="123"/>
    </row>
    <row r="839">
      <c r="I839" s="123"/>
    </row>
    <row r="840">
      <c r="I840" s="123"/>
    </row>
    <row r="841">
      <c r="I841" s="123"/>
    </row>
    <row r="842">
      <c r="I842" s="123"/>
    </row>
    <row r="843">
      <c r="I843" s="123"/>
    </row>
    <row r="844">
      <c r="I844" s="123"/>
    </row>
    <row r="845">
      <c r="I845" s="123"/>
    </row>
    <row r="846">
      <c r="I846" s="123"/>
    </row>
    <row r="847">
      <c r="I847" s="123"/>
    </row>
    <row r="848">
      <c r="I848" s="123"/>
    </row>
    <row r="849">
      <c r="I849" s="123"/>
    </row>
    <row r="850">
      <c r="I850" s="123"/>
    </row>
    <row r="851">
      <c r="I851" s="123"/>
    </row>
    <row r="852">
      <c r="I852" s="123"/>
    </row>
    <row r="853">
      <c r="I853" s="123"/>
    </row>
    <row r="854">
      <c r="I854" s="123"/>
    </row>
    <row r="855">
      <c r="I855" s="123"/>
    </row>
    <row r="856">
      <c r="I856" s="123"/>
    </row>
    <row r="857">
      <c r="I857" s="123"/>
    </row>
    <row r="858">
      <c r="I858" s="123"/>
    </row>
    <row r="859">
      <c r="I859" s="123"/>
    </row>
    <row r="860">
      <c r="I860" s="123"/>
    </row>
    <row r="861">
      <c r="I861" s="123"/>
    </row>
    <row r="862">
      <c r="I862" s="123"/>
    </row>
    <row r="863">
      <c r="I863" s="123"/>
    </row>
    <row r="864">
      <c r="I864" s="123"/>
    </row>
    <row r="865">
      <c r="I865" s="123"/>
    </row>
    <row r="866">
      <c r="I866" s="123"/>
    </row>
    <row r="867">
      <c r="I867" s="123"/>
    </row>
    <row r="868">
      <c r="I868" s="123"/>
    </row>
    <row r="869">
      <c r="I869" s="123"/>
    </row>
    <row r="870">
      <c r="I870" s="123"/>
    </row>
    <row r="871">
      <c r="I871" s="123"/>
    </row>
    <row r="872">
      <c r="I872" s="123"/>
    </row>
    <row r="873">
      <c r="I873" s="123"/>
    </row>
    <row r="874">
      <c r="I874" s="123"/>
    </row>
    <row r="875">
      <c r="I875" s="123"/>
    </row>
    <row r="876">
      <c r="I876" s="123"/>
    </row>
    <row r="877">
      <c r="I877" s="123"/>
    </row>
    <row r="878">
      <c r="I878" s="123"/>
    </row>
    <row r="879">
      <c r="I879" s="123"/>
    </row>
    <row r="880">
      <c r="I880" s="123"/>
    </row>
    <row r="881">
      <c r="I881" s="123"/>
    </row>
    <row r="882">
      <c r="I882" s="123"/>
    </row>
    <row r="883">
      <c r="I883" s="123"/>
    </row>
    <row r="884">
      <c r="I884" s="123"/>
    </row>
    <row r="885">
      <c r="I885" s="123"/>
    </row>
    <row r="886">
      <c r="I886" s="123"/>
    </row>
    <row r="887">
      <c r="I887" s="123"/>
    </row>
    <row r="888">
      <c r="I888" s="123"/>
    </row>
    <row r="889">
      <c r="I889" s="123"/>
    </row>
    <row r="890">
      <c r="I890" s="123"/>
    </row>
    <row r="891">
      <c r="I891" s="123"/>
    </row>
    <row r="892">
      <c r="I892" s="123"/>
    </row>
    <row r="893">
      <c r="I893" s="123"/>
    </row>
    <row r="894">
      <c r="I894" s="123"/>
    </row>
    <row r="895">
      <c r="I895" s="123"/>
    </row>
    <row r="896">
      <c r="I896" s="123"/>
    </row>
    <row r="897">
      <c r="I897" s="123"/>
    </row>
    <row r="898">
      <c r="I898" s="123"/>
    </row>
    <row r="899">
      <c r="I899" s="123"/>
    </row>
    <row r="900">
      <c r="I900" s="123"/>
    </row>
    <row r="901">
      <c r="I901" s="123"/>
    </row>
    <row r="902">
      <c r="I902" s="123"/>
    </row>
    <row r="903">
      <c r="I903" s="123"/>
    </row>
    <row r="904">
      <c r="I904" s="123"/>
    </row>
    <row r="905">
      <c r="I905" s="123"/>
    </row>
    <row r="906">
      <c r="I906" s="123"/>
    </row>
    <row r="907">
      <c r="I907" s="123"/>
    </row>
    <row r="908">
      <c r="I908" s="123"/>
    </row>
    <row r="909">
      <c r="I909" s="123"/>
    </row>
    <row r="910">
      <c r="I910" s="123"/>
    </row>
    <row r="911">
      <c r="I911" s="123"/>
    </row>
    <row r="912">
      <c r="I912" s="123"/>
    </row>
    <row r="913">
      <c r="I913" s="123"/>
    </row>
    <row r="914">
      <c r="I914" s="123"/>
    </row>
    <row r="915">
      <c r="I915" s="123"/>
    </row>
    <row r="916">
      <c r="I916" s="123"/>
    </row>
    <row r="917">
      <c r="I917" s="123"/>
    </row>
    <row r="918">
      <c r="I918" s="123"/>
    </row>
    <row r="919">
      <c r="I919" s="123"/>
    </row>
    <row r="920">
      <c r="I920" s="123"/>
    </row>
    <row r="921">
      <c r="I921" s="123"/>
    </row>
    <row r="922">
      <c r="I922" s="123"/>
    </row>
    <row r="923">
      <c r="I923" s="123"/>
    </row>
    <row r="924">
      <c r="I924" s="123"/>
    </row>
    <row r="925">
      <c r="I925" s="123"/>
    </row>
    <row r="926">
      <c r="I926" s="123"/>
    </row>
    <row r="927">
      <c r="I927" s="123"/>
    </row>
    <row r="928">
      <c r="I928" s="123"/>
    </row>
    <row r="929">
      <c r="I929" s="123"/>
    </row>
    <row r="930">
      <c r="I930" s="123"/>
    </row>
    <row r="931">
      <c r="I931" s="123"/>
    </row>
    <row r="932">
      <c r="I932" s="123"/>
    </row>
    <row r="933">
      <c r="I933" s="123"/>
    </row>
    <row r="934">
      <c r="I934" s="123"/>
    </row>
    <row r="935">
      <c r="I935" s="123"/>
    </row>
    <row r="936">
      <c r="I936" s="123"/>
    </row>
    <row r="937">
      <c r="I937" s="123"/>
    </row>
    <row r="938">
      <c r="I938" s="123"/>
    </row>
    <row r="939">
      <c r="I939" s="123"/>
    </row>
    <row r="940">
      <c r="I940" s="123"/>
    </row>
    <row r="941">
      <c r="I941" s="123"/>
    </row>
    <row r="942">
      <c r="I942" s="123"/>
    </row>
    <row r="943">
      <c r="I943" s="123"/>
    </row>
    <row r="944">
      <c r="I944" s="123"/>
    </row>
    <row r="945">
      <c r="I945" s="123"/>
    </row>
    <row r="946">
      <c r="I946" s="123"/>
    </row>
    <row r="947">
      <c r="I947" s="123"/>
    </row>
    <row r="948">
      <c r="I948" s="123"/>
    </row>
    <row r="949">
      <c r="I949" s="123"/>
    </row>
    <row r="950">
      <c r="I950" s="123"/>
    </row>
    <row r="951">
      <c r="I951" s="123"/>
    </row>
    <row r="952">
      <c r="I952" s="123"/>
    </row>
    <row r="953">
      <c r="I953" s="123"/>
    </row>
    <row r="954">
      <c r="I954" s="123"/>
    </row>
    <row r="955">
      <c r="I955" s="123"/>
    </row>
    <row r="956">
      <c r="I956" s="123"/>
    </row>
    <row r="957">
      <c r="I957" s="123"/>
    </row>
    <row r="958">
      <c r="I958" s="123"/>
    </row>
    <row r="959">
      <c r="I959" s="123"/>
    </row>
    <row r="960">
      <c r="I960" s="123"/>
    </row>
    <row r="961">
      <c r="I961" s="123"/>
    </row>
    <row r="962">
      <c r="I962" s="123"/>
    </row>
    <row r="963">
      <c r="I963" s="123"/>
    </row>
    <row r="964">
      <c r="I964" s="123"/>
    </row>
    <row r="965">
      <c r="I965" s="123"/>
    </row>
    <row r="966">
      <c r="I966" s="123"/>
    </row>
    <row r="967">
      <c r="I967" s="123"/>
    </row>
    <row r="968">
      <c r="I968" s="123"/>
    </row>
    <row r="969">
      <c r="I969" s="123"/>
    </row>
    <row r="970">
      <c r="I970" s="123"/>
    </row>
    <row r="971">
      <c r="I971" s="123"/>
    </row>
    <row r="972">
      <c r="I972" s="123"/>
    </row>
    <row r="973">
      <c r="I973" s="123"/>
    </row>
    <row r="974">
      <c r="I974" s="123"/>
    </row>
    <row r="975">
      <c r="I975" s="123"/>
    </row>
    <row r="976">
      <c r="I976" s="123"/>
    </row>
    <row r="977">
      <c r="I977" s="123"/>
    </row>
    <row r="978">
      <c r="I978" s="123"/>
    </row>
    <row r="979">
      <c r="I979" s="123"/>
    </row>
    <row r="980">
      <c r="I980" s="123"/>
    </row>
    <row r="981">
      <c r="I981" s="123"/>
    </row>
    <row r="982">
      <c r="I982" s="123"/>
    </row>
    <row r="983">
      <c r="I983" s="123"/>
    </row>
    <row r="984">
      <c r="I984" s="123"/>
    </row>
    <row r="985">
      <c r="I985" s="123"/>
    </row>
    <row r="986">
      <c r="I986" s="123"/>
    </row>
    <row r="987">
      <c r="I987" s="123"/>
    </row>
    <row r="988">
      <c r="I988" s="123"/>
    </row>
    <row r="989">
      <c r="I989" s="123"/>
    </row>
    <row r="990">
      <c r="I990" s="123"/>
    </row>
    <row r="991">
      <c r="I991" s="123"/>
    </row>
    <row r="992">
      <c r="I992" s="123"/>
    </row>
    <row r="993">
      <c r="I993" s="123"/>
    </row>
    <row r="994">
      <c r="I994" s="123"/>
    </row>
    <row r="995">
      <c r="I995" s="123"/>
    </row>
    <row r="996">
      <c r="I996" s="123"/>
    </row>
    <row r="997">
      <c r="I997" s="123"/>
    </row>
    <row r="998">
      <c r="I998" s="123"/>
    </row>
    <row r="999">
      <c r="I999" s="123"/>
    </row>
    <row r="1000">
      <c r="I1000" s="123"/>
    </row>
    <row r="1001">
      <c r="I1001" s="123"/>
    </row>
  </sheetData>
  <mergeCells count="2">
    <mergeCell ref="A1:B1"/>
    <mergeCell ref="E1:J1"/>
  </mergeCells>
  <dataValidations>
    <dataValidation type="custom" allowBlank="1" showDropDown="1" sqref="T4:W40 I4:I145">
      <formula1>AND(ISNUMBER(I4),(NOT(OR(NOT(ISERROR(DATEVALUE(I4))), AND(ISNUMBER(I4), LEFT(CELL("format", I4))="D")))))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4" max="4" width="15.5"/>
    <col customWidth="1" min="5" max="5" width="10.75"/>
    <col customWidth="1" min="6" max="6" width="18.5"/>
    <col customWidth="1" min="7" max="7" width="15.5"/>
    <col customWidth="1" min="8" max="8" width="10.75"/>
    <col customWidth="1" min="9" max="9" width="39.5"/>
    <col customWidth="1" min="10" max="10" width="10.38"/>
    <col customWidth="1" min="11" max="11" width="10.75"/>
    <col customWidth="1" min="12" max="12" width="11.38"/>
    <col customWidth="1" min="13" max="13" width="23.25"/>
    <col customWidth="1" min="14" max="14" width="11.13"/>
    <col customWidth="1" min="15" max="15" width="13.13"/>
    <col customWidth="1" min="16" max="16" width="10.63"/>
    <col customWidth="1" min="17" max="17" width="7.63"/>
    <col customWidth="1" min="18" max="18" width="15.38"/>
    <col customWidth="1" min="19" max="19" width="17.75"/>
    <col customWidth="1" min="20" max="20" width="7.63"/>
    <col customWidth="1" min="21" max="21" width="12.25"/>
    <col customWidth="1" min="22" max="22" width="15.38"/>
    <col customWidth="1" min="23" max="23" width="9.88"/>
    <col customWidth="1" min="24" max="26" width="7.63"/>
    <col customWidth="1" min="27" max="27" width="15.25"/>
    <col customWidth="1" min="28" max="28" width="13.25"/>
    <col customWidth="1" min="29" max="33" width="7.63"/>
  </cols>
  <sheetData>
    <row r="1">
      <c r="A1" s="155" t="s">
        <v>25</v>
      </c>
      <c r="B1" s="163" t="s">
        <v>26</v>
      </c>
      <c r="C1" s="155" t="s">
        <v>40</v>
      </c>
      <c r="D1" s="155" t="s">
        <v>12</v>
      </c>
      <c r="E1" s="155" t="s">
        <v>163</v>
      </c>
      <c r="F1" s="155" t="s">
        <v>164</v>
      </c>
      <c r="G1" s="155" t="s">
        <v>165</v>
      </c>
      <c r="H1" s="155" t="s">
        <v>166</v>
      </c>
      <c r="I1" s="155" t="s">
        <v>167</v>
      </c>
      <c r="J1" s="155" t="s">
        <v>43</v>
      </c>
      <c r="K1" s="164"/>
      <c r="L1" s="164"/>
      <c r="M1" s="164"/>
      <c r="N1" s="164"/>
      <c r="O1" s="164"/>
      <c r="P1" s="164"/>
      <c r="R1" s="165"/>
      <c r="S1" s="166"/>
      <c r="AC1" s="146"/>
    </row>
    <row r="2">
      <c r="A2" s="155">
        <v>5.0</v>
      </c>
      <c r="B2" s="163">
        <v>46172.0</v>
      </c>
      <c r="C2" s="155">
        <v>1.0</v>
      </c>
      <c r="D2" s="155" t="s">
        <v>97</v>
      </c>
      <c r="E2" s="155" t="s">
        <v>98</v>
      </c>
      <c r="F2" s="155" t="s">
        <v>79</v>
      </c>
      <c r="G2" s="155" t="s">
        <v>128</v>
      </c>
      <c r="H2" s="155" t="s">
        <v>92</v>
      </c>
      <c r="I2" s="155" t="s">
        <v>93</v>
      </c>
      <c r="J2" s="155" t="s">
        <v>168</v>
      </c>
      <c r="K2" s="164"/>
      <c r="L2" s="164"/>
      <c r="M2" s="164"/>
      <c r="N2" s="164"/>
      <c r="O2" s="164"/>
      <c r="P2" s="164"/>
      <c r="AC2" s="146"/>
    </row>
    <row r="3">
      <c r="A3" s="155">
        <v>5.0</v>
      </c>
      <c r="B3" s="163">
        <v>46172.0</v>
      </c>
      <c r="C3" s="155">
        <v>2.0</v>
      </c>
      <c r="D3" s="155" t="s">
        <v>97</v>
      </c>
      <c r="E3" s="155" t="s">
        <v>98</v>
      </c>
      <c r="F3" s="155" t="s">
        <v>79</v>
      </c>
      <c r="G3" s="155" t="s">
        <v>118</v>
      </c>
      <c r="H3" s="155" t="s">
        <v>68</v>
      </c>
      <c r="I3" s="155" t="s">
        <v>73</v>
      </c>
      <c r="J3" s="155" t="s">
        <v>168</v>
      </c>
      <c r="K3" s="164"/>
      <c r="L3" s="164"/>
      <c r="M3" s="164"/>
      <c r="N3" s="164"/>
      <c r="O3" s="164"/>
      <c r="P3" s="164"/>
      <c r="AC3" s="146"/>
    </row>
    <row r="4">
      <c r="A4" s="155">
        <v>5.0</v>
      </c>
      <c r="B4" s="163">
        <v>46172.0</v>
      </c>
      <c r="C4" s="155">
        <v>3.0</v>
      </c>
      <c r="D4" s="155" t="s">
        <v>97</v>
      </c>
      <c r="E4" s="155" t="s">
        <v>98</v>
      </c>
      <c r="F4" s="155" t="s">
        <v>79</v>
      </c>
      <c r="G4" s="155" t="s">
        <v>72</v>
      </c>
      <c r="H4" s="155" t="s">
        <v>92</v>
      </c>
      <c r="I4" s="155" t="s">
        <v>93</v>
      </c>
      <c r="J4" s="155" t="s">
        <v>169</v>
      </c>
      <c r="K4" s="164"/>
      <c r="L4" s="164"/>
      <c r="M4" s="164"/>
      <c r="N4" s="164"/>
      <c r="O4" s="164"/>
      <c r="P4" s="164"/>
      <c r="AC4" s="146"/>
    </row>
    <row r="5">
      <c r="A5" s="155">
        <v>5.0</v>
      </c>
      <c r="B5" s="163">
        <v>46172.0</v>
      </c>
      <c r="C5" s="155">
        <v>4.0</v>
      </c>
      <c r="D5" s="155" t="s">
        <v>97</v>
      </c>
      <c r="E5" s="155" t="s">
        <v>98</v>
      </c>
      <c r="F5" s="155" t="s">
        <v>79</v>
      </c>
      <c r="G5" s="155" t="s">
        <v>91</v>
      </c>
      <c r="H5" s="155" t="s">
        <v>68</v>
      </c>
      <c r="I5" s="155" t="s">
        <v>134</v>
      </c>
      <c r="J5" s="155" t="s">
        <v>169</v>
      </c>
      <c r="K5" s="164"/>
      <c r="L5" s="164"/>
      <c r="M5" s="164"/>
      <c r="N5" s="164"/>
      <c r="O5" s="164"/>
      <c r="P5" s="164"/>
      <c r="AC5" s="146"/>
    </row>
    <row r="6">
      <c r="A6" s="155">
        <v>5.0</v>
      </c>
      <c r="B6" s="163">
        <v>46172.0</v>
      </c>
      <c r="C6" s="155">
        <v>1.0</v>
      </c>
      <c r="D6" s="155" t="s">
        <v>88</v>
      </c>
      <c r="E6" s="155" t="s">
        <v>68</v>
      </c>
      <c r="F6" s="155" t="s">
        <v>73</v>
      </c>
      <c r="G6" s="155" t="s">
        <v>70</v>
      </c>
      <c r="H6" s="155" t="s">
        <v>170</v>
      </c>
      <c r="I6" s="155" t="s">
        <v>171</v>
      </c>
      <c r="J6" s="155" t="s">
        <v>169</v>
      </c>
      <c r="K6" s="164"/>
      <c r="L6" s="164"/>
      <c r="M6" s="164"/>
      <c r="N6" s="164"/>
      <c r="O6" s="164"/>
      <c r="P6" s="164"/>
      <c r="AC6" s="146"/>
    </row>
    <row r="7">
      <c r="A7" s="155">
        <v>5.0</v>
      </c>
      <c r="B7" s="163">
        <v>46172.0</v>
      </c>
      <c r="C7" s="155">
        <v>2.0</v>
      </c>
      <c r="D7" s="155" t="s">
        <v>88</v>
      </c>
      <c r="E7" s="155" t="s">
        <v>68</v>
      </c>
      <c r="F7" s="155" t="s">
        <v>73</v>
      </c>
      <c r="G7" s="155" t="s">
        <v>105</v>
      </c>
      <c r="H7" s="155" t="s">
        <v>92</v>
      </c>
      <c r="I7" s="155" t="s">
        <v>93</v>
      </c>
      <c r="J7" s="155" t="s">
        <v>168</v>
      </c>
      <c r="K7" s="164"/>
      <c r="L7" s="164"/>
      <c r="M7" s="164"/>
      <c r="N7" s="164"/>
      <c r="O7" s="164"/>
      <c r="P7" s="164"/>
      <c r="AC7" s="146"/>
    </row>
    <row r="8">
      <c r="A8" s="155">
        <v>5.0</v>
      </c>
      <c r="B8" s="163">
        <v>46172.0</v>
      </c>
      <c r="C8" s="155">
        <v>3.0</v>
      </c>
      <c r="D8" s="155" t="s">
        <v>88</v>
      </c>
      <c r="E8" s="155" t="s">
        <v>68</v>
      </c>
      <c r="F8" s="155" t="s">
        <v>73</v>
      </c>
      <c r="G8" s="155" t="s">
        <v>34</v>
      </c>
      <c r="H8" s="155" t="s">
        <v>78</v>
      </c>
      <c r="I8" s="155" t="s">
        <v>79</v>
      </c>
      <c r="J8" s="155" t="s">
        <v>169</v>
      </c>
      <c r="K8" s="164"/>
      <c r="L8" s="164"/>
      <c r="N8" s="164"/>
      <c r="O8" s="164"/>
      <c r="P8" s="164"/>
      <c r="AC8" s="146"/>
    </row>
    <row r="9">
      <c r="A9" s="155">
        <v>5.0</v>
      </c>
      <c r="B9" s="163">
        <v>46172.0</v>
      </c>
      <c r="C9" s="155">
        <v>4.0</v>
      </c>
      <c r="D9" s="155" t="s">
        <v>88</v>
      </c>
      <c r="E9" s="155" t="s">
        <v>68</v>
      </c>
      <c r="F9" s="155" t="s">
        <v>73</v>
      </c>
      <c r="G9" s="155" t="s">
        <v>172</v>
      </c>
      <c r="H9" s="155" t="s">
        <v>92</v>
      </c>
      <c r="I9" s="155" t="s">
        <v>93</v>
      </c>
      <c r="J9" s="155" t="s">
        <v>168</v>
      </c>
      <c r="K9" s="164"/>
      <c r="L9" s="164"/>
      <c r="N9" s="164"/>
      <c r="O9" s="164"/>
      <c r="P9" s="164"/>
      <c r="AC9" s="146"/>
    </row>
    <row r="10">
      <c r="A10" s="155">
        <v>5.0</v>
      </c>
      <c r="B10" s="163">
        <v>46172.0</v>
      </c>
      <c r="C10" s="155">
        <v>1.0</v>
      </c>
      <c r="D10" s="155" t="s">
        <v>70</v>
      </c>
      <c r="E10" s="155" t="s">
        <v>170</v>
      </c>
      <c r="F10" s="155" t="s">
        <v>171</v>
      </c>
      <c r="G10" s="155" t="s">
        <v>88</v>
      </c>
      <c r="H10" s="155" t="s">
        <v>68</v>
      </c>
      <c r="I10" s="155" t="s">
        <v>73</v>
      </c>
      <c r="J10" s="155" t="s">
        <v>168</v>
      </c>
      <c r="K10" s="164"/>
      <c r="L10" s="164"/>
      <c r="N10" s="164"/>
      <c r="O10" s="164"/>
      <c r="P10" s="164"/>
      <c r="AC10" s="146"/>
    </row>
    <row r="11">
      <c r="A11" s="155">
        <v>5.0</v>
      </c>
      <c r="B11" s="163">
        <v>46172.0</v>
      </c>
      <c r="C11" s="155">
        <v>2.0</v>
      </c>
      <c r="D11" s="155" t="s">
        <v>70</v>
      </c>
      <c r="E11" s="155" t="s">
        <v>170</v>
      </c>
      <c r="F11" s="155" t="s">
        <v>171</v>
      </c>
      <c r="G11" s="155" t="s">
        <v>77</v>
      </c>
      <c r="H11" s="155" t="s">
        <v>139</v>
      </c>
      <c r="I11" s="155" t="s">
        <v>131</v>
      </c>
      <c r="J11" s="155" t="s">
        <v>169</v>
      </c>
      <c r="K11" s="164"/>
      <c r="L11" s="164"/>
      <c r="N11" s="164"/>
      <c r="O11" s="164"/>
      <c r="P11" s="164"/>
      <c r="AC11" s="146"/>
    </row>
    <row r="12">
      <c r="A12" s="155">
        <v>5.0</v>
      </c>
      <c r="B12" s="163">
        <v>46172.0</v>
      </c>
      <c r="C12" s="155">
        <v>3.0</v>
      </c>
      <c r="D12" s="155" t="s">
        <v>70</v>
      </c>
      <c r="E12" s="155" t="s">
        <v>170</v>
      </c>
      <c r="F12" s="155" t="s">
        <v>171</v>
      </c>
      <c r="G12" s="155" t="s">
        <v>81</v>
      </c>
      <c r="H12" s="155" t="s">
        <v>68</v>
      </c>
      <c r="I12" s="155" t="s">
        <v>73</v>
      </c>
      <c r="J12" s="155" t="s">
        <v>168</v>
      </c>
      <c r="K12" s="164"/>
      <c r="L12" s="164"/>
      <c r="N12" s="164"/>
      <c r="O12" s="164"/>
      <c r="P12" s="164"/>
      <c r="AC12" s="146"/>
    </row>
    <row r="13">
      <c r="A13" s="155">
        <v>5.0</v>
      </c>
      <c r="B13" s="163">
        <v>46172.0</v>
      </c>
      <c r="C13" s="155">
        <v>4.0</v>
      </c>
      <c r="D13" s="155" t="s">
        <v>70</v>
      </c>
      <c r="E13" s="155" t="s">
        <v>170</v>
      </c>
      <c r="F13" s="155" t="s">
        <v>171</v>
      </c>
      <c r="G13" s="155" t="s">
        <v>34</v>
      </c>
      <c r="H13" s="155" t="s">
        <v>78</v>
      </c>
      <c r="I13" s="155" t="s">
        <v>79</v>
      </c>
      <c r="J13" s="155" t="s">
        <v>168</v>
      </c>
      <c r="K13" s="164"/>
      <c r="L13" s="164"/>
      <c r="N13" s="164"/>
      <c r="O13" s="164"/>
      <c r="P13" s="164"/>
      <c r="AC13" s="146"/>
    </row>
    <row r="14">
      <c r="A14" s="155">
        <v>5.0</v>
      </c>
      <c r="B14" s="163">
        <v>46172.0</v>
      </c>
      <c r="C14" s="155">
        <v>1.0</v>
      </c>
      <c r="D14" s="155" t="s">
        <v>72</v>
      </c>
      <c r="E14" s="155" t="s">
        <v>92</v>
      </c>
      <c r="F14" s="155" t="s">
        <v>93</v>
      </c>
      <c r="G14" s="155" t="s">
        <v>81</v>
      </c>
      <c r="H14" s="155" t="s">
        <v>92</v>
      </c>
      <c r="I14" s="155" t="s">
        <v>93</v>
      </c>
      <c r="J14" s="155" t="s">
        <v>168</v>
      </c>
      <c r="K14" s="164"/>
      <c r="L14" s="164"/>
      <c r="N14" s="164"/>
      <c r="O14" s="164"/>
      <c r="P14" s="164"/>
      <c r="AC14" s="146"/>
    </row>
    <row r="15">
      <c r="A15" s="155">
        <v>5.0</v>
      </c>
      <c r="B15" s="163">
        <v>46172.0</v>
      </c>
      <c r="C15" s="155">
        <v>2.0</v>
      </c>
      <c r="D15" s="155" t="s">
        <v>72</v>
      </c>
      <c r="E15" s="155" t="s">
        <v>92</v>
      </c>
      <c r="F15" s="155" t="s">
        <v>93</v>
      </c>
      <c r="G15" s="155" t="s">
        <v>81</v>
      </c>
      <c r="H15" s="155" t="s">
        <v>68</v>
      </c>
      <c r="I15" s="155" t="s">
        <v>134</v>
      </c>
      <c r="J15" s="155" t="s">
        <v>168</v>
      </c>
      <c r="K15" s="164"/>
      <c r="L15" s="164"/>
      <c r="N15" s="164"/>
      <c r="O15" s="164"/>
      <c r="P15" s="164"/>
      <c r="AC15" s="146"/>
    </row>
    <row r="16">
      <c r="A16" s="155">
        <v>5.0</v>
      </c>
      <c r="B16" s="163">
        <v>46172.0</v>
      </c>
      <c r="C16" s="155">
        <v>3.0</v>
      </c>
      <c r="D16" s="155" t="s">
        <v>72</v>
      </c>
      <c r="E16" s="155" t="s">
        <v>92</v>
      </c>
      <c r="F16" s="155" t="s">
        <v>93</v>
      </c>
      <c r="G16" s="155" t="s">
        <v>97</v>
      </c>
      <c r="H16" s="155" t="s">
        <v>98</v>
      </c>
      <c r="I16" s="155" t="s">
        <v>79</v>
      </c>
      <c r="J16" s="155" t="s">
        <v>168</v>
      </c>
      <c r="K16" s="164"/>
      <c r="L16" s="164"/>
      <c r="M16" s="164"/>
      <c r="N16" s="164"/>
      <c r="O16" s="164"/>
      <c r="P16" s="164"/>
      <c r="AC16" s="146"/>
    </row>
    <row r="17">
      <c r="A17" s="155">
        <v>5.0</v>
      </c>
      <c r="B17" s="163">
        <v>46172.0</v>
      </c>
      <c r="C17" s="155">
        <v>4.0</v>
      </c>
      <c r="D17" s="155" t="s">
        <v>72</v>
      </c>
      <c r="E17" s="155" t="s">
        <v>92</v>
      </c>
      <c r="F17" s="155" t="s">
        <v>93</v>
      </c>
      <c r="G17" s="155" t="s">
        <v>77</v>
      </c>
      <c r="H17" s="155" t="s">
        <v>139</v>
      </c>
      <c r="I17" s="155" t="s">
        <v>131</v>
      </c>
      <c r="J17" s="155" t="s">
        <v>168</v>
      </c>
      <c r="K17" s="164"/>
      <c r="L17" s="164"/>
      <c r="M17" s="164"/>
      <c r="N17" s="164"/>
      <c r="O17" s="164"/>
      <c r="P17" s="164"/>
      <c r="AC17" s="146"/>
    </row>
    <row r="18">
      <c r="A18" s="155">
        <v>5.0</v>
      </c>
      <c r="B18" s="163">
        <v>46172.0</v>
      </c>
      <c r="C18" s="155">
        <v>1.0</v>
      </c>
      <c r="D18" s="155" t="s">
        <v>77</v>
      </c>
      <c r="E18" s="155" t="s">
        <v>139</v>
      </c>
      <c r="F18" s="155" t="s">
        <v>131</v>
      </c>
      <c r="G18" s="155" t="s">
        <v>105</v>
      </c>
      <c r="H18" s="155" t="s">
        <v>92</v>
      </c>
      <c r="I18" s="155" t="s">
        <v>93</v>
      </c>
      <c r="J18" s="155" t="s">
        <v>168</v>
      </c>
      <c r="K18" s="164"/>
      <c r="L18" s="164"/>
      <c r="M18" s="164"/>
      <c r="N18" s="164"/>
      <c r="O18" s="164"/>
      <c r="P18" s="164"/>
      <c r="AC18" s="146"/>
    </row>
    <row r="19">
      <c r="A19" s="155">
        <v>5.0</v>
      </c>
      <c r="B19" s="163">
        <v>46172.0</v>
      </c>
      <c r="C19" s="155">
        <v>2.0</v>
      </c>
      <c r="D19" s="155" t="s">
        <v>77</v>
      </c>
      <c r="E19" s="155" t="s">
        <v>139</v>
      </c>
      <c r="F19" s="155" t="s">
        <v>131</v>
      </c>
      <c r="G19" s="155" t="s">
        <v>70</v>
      </c>
      <c r="H19" s="155" t="s">
        <v>170</v>
      </c>
      <c r="I19" s="155" t="s">
        <v>171</v>
      </c>
      <c r="J19" s="155" t="s">
        <v>168</v>
      </c>
      <c r="K19" s="164"/>
      <c r="L19" s="164"/>
      <c r="M19" s="164"/>
      <c r="N19" s="164"/>
      <c r="O19" s="164"/>
      <c r="P19" s="164"/>
      <c r="AC19" s="146"/>
    </row>
    <row r="20">
      <c r="A20" s="155">
        <v>5.0</v>
      </c>
      <c r="B20" s="163">
        <v>46172.0</v>
      </c>
      <c r="C20" s="155">
        <v>3.0</v>
      </c>
      <c r="D20" s="155" t="s">
        <v>77</v>
      </c>
      <c r="E20" s="155" t="s">
        <v>139</v>
      </c>
      <c r="F20" s="155" t="s">
        <v>131</v>
      </c>
      <c r="G20" s="155" t="s">
        <v>128</v>
      </c>
      <c r="H20" s="155" t="s">
        <v>92</v>
      </c>
      <c r="I20" s="155" t="s">
        <v>93</v>
      </c>
      <c r="J20" s="155" t="s">
        <v>168</v>
      </c>
      <c r="K20" s="164"/>
      <c r="L20" s="164"/>
      <c r="M20" s="164"/>
      <c r="N20" s="164"/>
      <c r="O20" s="164"/>
      <c r="P20" s="164"/>
      <c r="AC20" s="146"/>
    </row>
    <row r="21" ht="15.75" customHeight="1">
      <c r="A21" s="155">
        <v>5.0</v>
      </c>
      <c r="B21" s="163">
        <v>46172.0</v>
      </c>
      <c r="C21" s="155">
        <v>4.0</v>
      </c>
      <c r="D21" s="155" t="s">
        <v>77</v>
      </c>
      <c r="E21" s="155" t="s">
        <v>139</v>
      </c>
      <c r="F21" s="155" t="s">
        <v>131</v>
      </c>
      <c r="G21" s="155" t="s">
        <v>72</v>
      </c>
      <c r="H21" s="155" t="s">
        <v>92</v>
      </c>
      <c r="I21" s="155" t="s">
        <v>93</v>
      </c>
      <c r="J21" s="155" t="s">
        <v>169</v>
      </c>
      <c r="K21" s="164"/>
      <c r="L21" s="164"/>
      <c r="M21" s="164"/>
      <c r="N21" s="164"/>
      <c r="O21" s="164"/>
      <c r="P21" s="164"/>
      <c r="AC21" s="146"/>
    </row>
    <row r="22" ht="15.75" customHeight="1">
      <c r="A22" s="155">
        <v>5.0</v>
      </c>
      <c r="B22" s="163">
        <v>46172.0</v>
      </c>
      <c r="C22" s="155">
        <v>1.0</v>
      </c>
      <c r="D22" s="155" t="s">
        <v>34</v>
      </c>
      <c r="E22" s="155" t="s">
        <v>78</v>
      </c>
      <c r="F22" s="155" t="s">
        <v>79</v>
      </c>
      <c r="G22" s="155" t="s">
        <v>91</v>
      </c>
      <c r="H22" s="155" t="s">
        <v>68</v>
      </c>
      <c r="I22" s="155" t="s">
        <v>134</v>
      </c>
      <c r="J22" s="155" t="s">
        <v>169</v>
      </c>
      <c r="K22" s="164"/>
      <c r="L22" s="164"/>
      <c r="M22" s="164"/>
      <c r="N22" s="164"/>
      <c r="O22" s="164"/>
      <c r="P22" s="164"/>
      <c r="AC22" s="146"/>
    </row>
    <row r="23" ht="15.75" customHeight="1">
      <c r="A23" s="155">
        <v>5.0</v>
      </c>
      <c r="B23" s="163">
        <v>46172.0</v>
      </c>
      <c r="C23" s="155">
        <v>2.0</v>
      </c>
      <c r="D23" s="155" t="s">
        <v>34</v>
      </c>
      <c r="E23" s="155" t="s">
        <v>78</v>
      </c>
      <c r="F23" s="155" t="s">
        <v>79</v>
      </c>
      <c r="G23" s="155" t="s">
        <v>81</v>
      </c>
      <c r="H23" s="155" t="s">
        <v>92</v>
      </c>
      <c r="I23" s="155" t="s">
        <v>93</v>
      </c>
      <c r="J23" s="155" t="s">
        <v>168</v>
      </c>
      <c r="K23" s="164"/>
      <c r="L23" s="164"/>
      <c r="M23" s="164"/>
      <c r="N23" s="164"/>
      <c r="O23" s="164"/>
      <c r="P23" s="164"/>
      <c r="AC23" s="146"/>
    </row>
    <row r="24" ht="15.75" customHeight="1">
      <c r="A24" s="155">
        <v>5.0</v>
      </c>
      <c r="B24" s="163">
        <v>46172.0</v>
      </c>
      <c r="C24" s="155">
        <v>3.0</v>
      </c>
      <c r="D24" s="155" t="s">
        <v>34</v>
      </c>
      <c r="E24" s="155" t="s">
        <v>78</v>
      </c>
      <c r="F24" s="155" t="s">
        <v>79</v>
      </c>
      <c r="G24" s="155" t="s">
        <v>81</v>
      </c>
      <c r="H24" s="155" t="s">
        <v>68</v>
      </c>
      <c r="I24" s="155" t="s">
        <v>73</v>
      </c>
      <c r="J24" s="155" t="s">
        <v>168</v>
      </c>
      <c r="K24" s="164"/>
      <c r="L24" s="164"/>
      <c r="M24" s="164"/>
      <c r="N24" s="164"/>
      <c r="O24" s="164"/>
      <c r="P24" s="164"/>
      <c r="AC24" s="146"/>
    </row>
    <row r="25" ht="15.75" customHeight="1">
      <c r="A25" s="155">
        <v>5.0</v>
      </c>
      <c r="B25" s="163">
        <v>46172.0</v>
      </c>
      <c r="C25" s="155">
        <v>4.0</v>
      </c>
      <c r="D25" s="155" t="s">
        <v>34</v>
      </c>
      <c r="E25" s="155" t="s">
        <v>78</v>
      </c>
      <c r="F25" s="155" t="s">
        <v>79</v>
      </c>
      <c r="G25" s="155" t="s">
        <v>70</v>
      </c>
      <c r="H25" s="155" t="s">
        <v>170</v>
      </c>
      <c r="I25" s="155" t="s">
        <v>171</v>
      </c>
      <c r="J25" s="155" t="s">
        <v>169</v>
      </c>
      <c r="K25" s="164"/>
      <c r="L25" s="164"/>
      <c r="M25" s="164"/>
      <c r="N25" s="164"/>
      <c r="O25" s="164"/>
      <c r="P25" s="164"/>
      <c r="AC25" s="146"/>
    </row>
    <row r="26" ht="15.75" customHeight="1">
      <c r="A26" s="155">
        <v>4.0</v>
      </c>
      <c r="B26" s="163">
        <v>46165.0</v>
      </c>
      <c r="C26" s="155">
        <v>1.0</v>
      </c>
      <c r="D26" s="155" t="s">
        <v>34</v>
      </c>
      <c r="E26" s="155" t="s">
        <v>78</v>
      </c>
      <c r="F26" s="155" t="s">
        <v>79</v>
      </c>
      <c r="G26" s="155" t="s">
        <v>90</v>
      </c>
      <c r="H26" s="155" t="s">
        <v>121</v>
      </c>
      <c r="I26" s="155" t="s">
        <v>73</v>
      </c>
      <c r="J26" s="155" t="s">
        <v>168</v>
      </c>
      <c r="K26" s="164"/>
      <c r="L26" s="164"/>
      <c r="M26" s="164"/>
      <c r="N26" s="164"/>
      <c r="O26" s="164"/>
      <c r="P26" s="164"/>
      <c r="AC26" s="146"/>
    </row>
    <row r="27" ht="15.75" customHeight="1">
      <c r="A27" s="155">
        <v>4.0</v>
      </c>
      <c r="B27" s="163">
        <v>46165.0</v>
      </c>
      <c r="C27" s="155">
        <v>2.0</v>
      </c>
      <c r="D27" s="155" t="s">
        <v>34</v>
      </c>
      <c r="E27" s="155" t="s">
        <v>78</v>
      </c>
      <c r="F27" s="155" t="s">
        <v>79</v>
      </c>
      <c r="G27" s="155" t="s">
        <v>132</v>
      </c>
      <c r="H27" s="155" t="s">
        <v>68</v>
      </c>
      <c r="I27" s="155" t="s">
        <v>115</v>
      </c>
      <c r="J27" s="155" t="s">
        <v>169</v>
      </c>
      <c r="K27" s="164"/>
      <c r="L27" s="164"/>
      <c r="M27" s="164"/>
      <c r="N27" s="164"/>
      <c r="O27" s="164"/>
      <c r="P27" s="164"/>
      <c r="AC27" s="146"/>
    </row>
    <row r="28" ht="15.75" customHeight="1">
      <c r="A28" s="155">
        <v>4.0</v>
      </c>
      <c r="B28" s="163">
        <v>46165.0</v>
      </c>
      <c r="C28" s="155">
        <v>3.0</v>
      </c>
      <c r="D28" s="155" t="s">
        <v>34</v>
      </c>
      <c r="E28" s="155" t="s">
        <v>78</v>
      </c>
      <c r="F28" s="155" t="s">
        <v>79</v>
      </c>
      <c r="G28" s="155" t="s">
        <v>102</v>
      </c>
      <c r="H28" s="155" t="s">
        <v>95</v>
      </c>
      <c r="I28" s="155" t="s">
        <v>173</v>
      </c>
      <c r="J28" s="155" t="s">
        <v>169</v>
      </c>
      <c r="K28" s="164"/>
      <c r="L28" s="164"/>
      <c r="M28" s="164"/>
      <c r="N28" s="164"/>
      <c r="O28" s="164"/>
      <c r="P28" s="164"/>
      <c r="AC28" s="146"/>
    </row>
    <row r="29" ht="15.75" customHeight="1">
      <c r="A29" s="155">
        <v>4.0</v>
      </c>
      <c r="B29" s="163">
        <v>46165.0</v>
      </c>
      <c r="C29" s="155">
        <v>4.0</v>
      </c>
      <c r="D29" s="155" t="s">
        <v>34</v>
      </c>
      <c r="E29" s="155" t="s">
        <v>78</v>
      </c>
      <c r="F29" s="155" t="s">
        <v>79</v>
      </c>
      <c r="G29" s="155" t="s">
        <v>94</v>
      </c>
      <c r="H29" s="155" t="s">
        <v>95</v>
      </c>
      <c r="I29" s="155" t="s">
        <v>173</v>
      </c>
      <c r="J29" s="155" t="s">
        <v>169</v>
      </c>
      <c r="K29" s="164"/>
      <c r="L29" s="164"/>
      <c r="M29" s="164"/>
      <c r="N29" s="164"/>
      <c r="O29" s="164"/>
      <c r="P29" s="164"/>
      <c r="AC29" s="146"/>
    </row>
    <row r="30" ht="15.75" customHeight="1">
      <c r="A30" s="155">
        <v>4.0</v>
      </c>
      <c r="B30" s="163">
        <v>46165.0</v>
      </c>
      <c r="C30" s="155">
        <v>5.0</v>
      </c>
      <c r="D30" s="155" t="s">
        <v>34</v>
      </c>
      <c r="E30" s="155" t="s">
        <v>78</v>
      </c>
      <c r="F30" s="155" t="s">
        <v>79</v>
      </c>
      <c r="G30" s="155" t="s">
        <v>81</v>
      </c>
      <c r="H30" s="155" t="s">
        <v>95</v>
      </c>
      <c r="I30" s="155" t="s">
        <v>173</v>
      </c>
      <c r="J30" s="155" t="s">
        <v>169</v>
      </c>
      <c r="K30" s="164"/>
      <c r="L30" s="164"/>
      <c r="M30" s="164"/>
      <c r="N30" s="164"/>
      <c r="O30" s="164"/>
      <c r="P30" s="164"/>
      <c r="AC30" s="146"/>
    </row>
    <row r="31" ht="15.75" customHeight="1">
      <c r="A31" s="155">
        <v>4.0</v>
      </c>
      <c r="B31" s="163">
        <v>46165.0</v>
      </c>
      <c r="C31" s="155">
        <v>1.0</v>
      </c>
      <c r="D31" s="155" t="s">
        <v>105</v>
      </c>
      <c r="E31" s="155" t="s">
        <v>135</v>
      </c>
      <c r="F31" s="155" t="s">
        <v>136</v>
      </c>
      <c r="G31" s="155" t="s">
        <v>81</v>
      </c>
      <c r="H31" s="155" t="s">
        <v>81</v>
      </c>
      <c r="I31" s="155" t="s">
        <v>73</v>
      </c>
      <c r="J31" s="155" t="s">
        <v>168</v>
      </c>
      <c r="AC31" s="146"/>
    </row>
    <row r="32" ht="15.75" customHeight="1">
      <c r="A32" s="155">
        <v>4.0</v>
      </c>
      <c r="B32" s="163">
        <v>46165.0</v>
      </c>
      <c r="C32" s="155">
        <v>2.0</v>
      </c>
      <c r="D32" s="155" t="s">
        <v>105</v>
      </c>
      <c r="E32" s="155" t="s">
        <v>135</v>
      </c>
      <c r="F32" s="155" t="s">
        <v>136</v>
      </c>
      <c r="G32" s="155" t="s">
        <v>87</v>
      </c>
      <c r="H32" s="155" t="s">
        <v>129</v>
      </c>
      <c r="I32" s="155" t="s">
        <v>79</v>
      </c>
      <c r="J32" s="155" t="s">
        <v>169</v>
      </c>
      <c r="AC32" s="146"/>
    </row>
    <row r="33" ht="15.75" customHeight="1">
      <c r="A33" s="155">
        <v>4.0</v>
      </c>
      <c r="B33" s="163">
        <v>46165.0</v>
      </c>
      <c r="C33" s="155">
        <v>3.0</v>
      </c>
      <c r="D33" s="155" t="s">
        <v>105</v>
      </c>
      <c r="E33" s="155" t="s">
        <v>135</v>
      </c>
      <c r="F33" s="155" t="s">
        <v>136</v>
      </c>
      <c r="G33" s="155" t="s">
        <v>90</v>
      </c>
      <c r="H33" s="155" t="s">
        <v>121</v>
      </c>
      <c r="I33" s="155" t="s">
        <v>73</v>
      </c>
      <c r="J33" s="155" t="s">
        <v>169</v>
      </c>
      <c r="AC33" s="146"/>
    </row>
    <row r="34" ht="15.75" customHeight="1">
      <c r="A34" s="155">
        <v>4.0</v>
      </c>
      <c r="B34" s="163">
        <v>46165.0</v>
      </c>
      <c r="C34" s="155">
        <v>4.0</v>
      </c>
      <c r="D34" s="155" t="s">
        <v>105</v>
      </c>
      <c r="E34" s="155" t="s">
        <v>135</v>
      </c>
      <c r="F34" s="155" t="s">
        <v>136</v>
      </c>
      <c r="G34" s="155" t="s">
        <v>81</v>
      </c>
      <c r="H34" s="155" t="s">
        <v>92</v>
      </c>
      <c r="I34" s="155" t="s">
        <v>93</v>
      </c>
      <c r="J34" s="155" t="s">
        <v>169</v>
      </c>
      <c r="AC34" s="146"/>
    </row>
    <row r="35" ht="15.75" customHeight="1">
      <c r="A35" s="155">
        <v>4.0</v>
      </c>
      <c r="B35" s="163">
        <v>46165.0</v>
      </c>
      <c r="C35" s="155">
        <v>5.0</v>
      </c>
      <c r="D35" s="155" t="s">
        <v>105</v>
      </c>
      <c r="E35" s="155" t="s">
        <v>135</v>
      </c>
      <c r="F35" s="155" t="s">
        <v>136</v>
      </c>
      <c r="G35" s="155" t="s">
        <v>132</v>
      </c>
      <c r="H35" s="155" t="s">
        <v>68</v>
      </c>
      <c r="I35" s="155" t="s">
        <v>115</v>
      </c>
      <c r="J35" s="155" t="s">
        <v>169</v>
      </c>
      <c r="AC35" s="146"/>
    </row>
    <row r="36" ht="15.75" customHeight="1">
      <c r="A36" s="155">
        <v>4.0</v>
      </c>
      <c r="B36" s="163">
        <v>46165.0</v>
      </c>
      <c r="C36" s="155">
        <v>1.0</v>
      </c>
      <c r="D36" s="155" t="s">
        <v>72</v>
      </c>
      <c r="E36" s="155" t="s">
        <v>113</v>
      </c>
      <c r="F36" s="155" t="s">
        <v>114</v>
      </c>
      <c r="G36" s="155" t="s">
        <v>97</v>
      </c>
      <c r="H36" s="155" t="s">
        <v>98</v>
      </c>
      <c r="I36" s="155" t="s">
        <v>133</v>
      </c>
      <c r="J36" s="155" t="s">
        <v>168</v>
      </c>
      <c r="AC36" s="146"/>
    </row>
    <row r="37" ht="15.75" customHeight="1">
      <c r="A37" s="155">
        <v>4.0</v>
      </c>
      <c r="B37" s="163">
        <v>46165.0</v>
      </c>
      <c r="C37" s="155">
        <v>2.0</v>
      </c>
      <c r="D37" s="155" t="s">
        <v>72</v>
      </c>
      <c r="E37" s="155" t="s">
        <v>113</v>
      </c>
      <c r="F37" s="155" t="s">
        <v>114</v>
      </c>
      <c r="G37" s="155" t="s">
        <v>81</v>
      </c>
      <c r="H37" s="155" t="s">
        <v>68</v>
      </c>
      <c r="I37" s="155" t="s">
        <v>134</v>
      </c>
      <c r="J37" s="155" t="s">
        <v>168</v>
      </c>
      <c r="AC37" s="146"/>
    </row>
    <row r="38" ht="15.75" customHeight="1">
      <c r="A38" s="155">
        <v>4.0</v>
      </c>
      <c r="B38" s="163">
        <v>46165.0</v>
      </c>
      <c r="C38" s="155">
        <v>3.0</v>
      </c>
      <c r="D38" s="155" t="s">
        <v>72</v>
      </c>
      <c r="E38" s="155" t="s">
        <v>113</v>
      </c>
      <c r="F38" s="155" t="s">
        <v>114</v>
      </c>
      <c r="G38" s="155" t="s">
        <v>67</v>
      </c>
      <c r="H38" s="155" t="s">
        <v>130</v>
      </c>
      <c r="I38" s="155" t="s">
        <v>73</v>
      </c>
      <c r="J38" s="155" t="s">
        <v>168</v>
      </c>
      <c r="AC38" s="146"/>
    </row>
    <row r="39" ht="15.75" customHeight="1">
      <c r="A39" s="155">
        <v>4.0</v>
      </c>
      <c r="B39" s="163">
        <v>46165.0</v>
      </c>
      <c r="C39" s="155">
        <v>4.0</v>
      </c>
      <c r="D39" s="155" t="s">
        <v>72</v>
      </c>
      <c r="E39" s="155" t="s">
        <v>113</v>
      </c>
      <c r="F39" s="155" t="s">
        <v>114</v>
      </c>
      <c r="G39" s="155" t="s">
        <v>87</v>
      </c>
      <c r="H39" s="155" t="s">
        <v>129</v>
      </c>
      <c r="I39" s="155" t="s">
        <v>79</v>
      </c>
      <c r="J39" s="155" t="s">
        <v>169</v>
      </c>
      <c r="AC39" s="146"/>
    </row>
    <row r="40" ht="15.75" customHeight="1">
      <c r="A40" s="155">
        <v>4.0</v>
      </c>
      <c r="B40" s="163">
        <v>46165.0</v>
      </c>
      <c r="C40" s="155">
        <v>5.0</v>
      </c>
      <c r="D40" s="155" t="s">
        <v>72</v>
      </c>
      <c r="E40" s="155" t="s">
        <v>113</v>
      </c>
      <c r="F40" s="155" t="s">
        <v>114</v>
      </c>
      <c r="G40" s="155" t="s">
        <v>90</v>
      </c>
      <c r="H40" s="155" t="s">
        <v>121</v>
      </c>
      <c r="I40" s="155" t="s">
        <v>73</v>
      </c>
      <c r="J40" s="155" t="s">
        <v>169</v>
      </c>
      <c r="AC40" s="146"/>
    </row>
    <row r="41" ht="15.75" customHeight="1">
      <c r="A41" s="155">
        <v>4.0</v>
      </c>
      <c r="B41" s="163">
        <v>46165.0</v>
      </c>
      <c r="C41" s="155">
        <v>1.0</v>
      </c>
      <c r="D41" s="155" t="s">
        <v>99</v>
      </c>
      <c r="E41" s="155" t="s">
        <v>100</v>
      </c>
      <c r="F41" s="155" t="s">
        <v>101</v>
      </c>
      <c r="G41" s="155" t="s">
        <v>87</v>
      </c>
      <c r="H41" s="155" t="s">
        <v>129</v>
      </c>
      <c r="I41" s="155" t="s">
        <v>79</v>
      </c>
      <c r="J41" s="155" t="s">
        <v>169</v>
      </c>
      <c r="AC41" s="146"/>
    </row>
    <row r="42" ht="15.75" customHeight="1">
      <c r="A42" s="155">
        <v>4.0</v>
      </c>
      <c r="B42" s="163">
        <v>46165.0</v>
      </c>
      <c r="C42" s="155">
        <v>2.0</v>
      </c>
      <c r="D42" s="155" t="s">
        <v>99</v>
      </c>
      <c r="E42" s="155" t="s">
        <v>100</v>
      </c>
      <c r="F42" s="155" t="s">
        <v>101</v>
      </c>
      <c r="G42" s="155" t="s">
        <v>102</v>
      </c>
      <c r="H42" s="155" t="s">
        <v>95</v>
      </c>
      <c r="I42" s="155" t="s">
        <v>96</v>
      </c>
      <c r="J42" s="155" t="s">
        <v>169</v>
      </c>
      <c r="AC42" s="146"/>
    </row>
    <row r="43" ht="15.75" customHeight="1">
      <c r="A43" s="155">
        <v>4.0</v>
      </c>
      <c r="B43" s="163">
        <v>46165.0</v>
      </c>
      <c r="C43" s="155">
        <v>3.0</v>
      </c>
      <c r="D43" s="155" t="s">
        <v>99</v>
      </c>
      <c r="E43" s="155" t="s">
        <v>100</v>
      </c>
      <c r="F43" s="155" t="s">
        <v>101</v>
      </c>
      <c r="G43" s="155" t="s">
        <v>174</v>
      </c>
      <c r="H43" s="155" t="s">
        <v>174</v>
      </c>
      <c r="I43" s="155" t="s">
        <v>174</v>
      </c>
      <c r="J43" s="155" t="s">
        <v>168</v>
      </c>
      <c r="AC43" s="146"/>
    </row>
    <row r="44" ht="15.75" customHeight="1">
      <c r="A44" s="155">
        <v>4.0</v>
      </c>
      <c r="B44" s="163">
        <v>46165.0</v>
      </c>
      <c r="C44" s="155">
        <v>4.0</v>
      </c>
      <c r="D44" s="155" t="s">
        <v>99</v>
      </c>
      <c r="E44" s="155" t="s">
        <v>100</v>
      </c>
      <c r="F44" s="155" t="s">
        <v>101</v>
      </c>
      <c r="G44" s="155" t="s">
        <v>97</v>
      </c>
      <c r="H44" s="155" t="s">
        <v>98</v>
      </c>
      <c r="I44" s="155" t="s">
        <v>175</v>
      </c>
      <c r="J44" s="155" t="s">
        <v>168</v>
      </c>
      <c r="AC44" s="146"/>
    </row>
    <row r="45" ht="15.75" customHeight="1">
      <c r="A45" s="155">
        <v>4.0</v>
      </c>
      <c r="B45" s="163">
        <v>46165.0</v>
      </c>
      <c r="C45" s="155">
        <v>5.0</v>
      </c>
      <c r="D45" s="155" t="s">
        <v>99</v>
      </c>
      <c r="E45" s="155" t="s">
        <v>100</v>
      </c>
      <c r="F45" s="155" t="s">
        <v>101</v>
      </c>
      <c r="G45" s="155" t="s">
        <v>107</v>
      </c>
      <c r="H45" s="155" t="s">
        <v>116</v>
      </c>
      <c r="I45" s="155" t="s">
        <v>117</v>
      </c>
      <c r="J45" s="155" t="s">
        <v>168</v>
      </c>
      <c r="AC45" s="146"/>
    </row>
    <row r="46" ht="15.75" customHeight="1">
      <c r="A46" s="155">
        <v>4.0</v>
      </c>
      <c r="B46" s="163">
        <v>46165.0</v>
      </c>
      <c r="C46" s="155">
        <v>1.0</v>
      </c>
      <c r="D46" s="155" t="s">
        <v>97</v>
      </c>
      <c r="E46" s="155" t="s">
        <v>98</v>
      </c>
      <c r="F46" s="155" t="s">
        <v>133</v>
      </c>
      <c r="G46" s="155" t="s">
        <v>72</v>
      </c>
      <c r="H46" s="155" t="s">
        <v>113</v>
      </c>
      <c r="I46" s="155" t="s">
        <v>114</v>
      </c>
      <c r="J46" s="155" t="s">
        <v>169</v>
      </c>
      <c r="AC46" s="146"/>
    </row>
    <row r="47" ht="15.75" customHeight="1">
      <c r="A47" s="155">
        <v>4.0</v>
      </c>
      <c r="B47" s="163">
        <v>46165.0</v>
      </c>
      <c r="C47" s="155">
        <v>2.0</v>
      </c>
      <c r="D47" s="155" t="s">
        <v>97</v>
      </c>
      <c r="E47" s="155" t="s">
        <v>98</v>
      </c>
      <c r="F47" s="155" t="s">
        <v>133</v>
      </c>
      <c r="G47" s="155" t="s">
        <v>81</v>
      </c>
      <c r="H47" s="155" t="s">
        <v>92</v>
      </c>
      <c r="I47" s="155" t="s">
        <v>93</v>
      </c>
      <c r="J47" s="155" t="s">
        <v>168</v>
      </c>
      <c r="AC47" s="146"/>
    </row>
    <row r="48" ht="15.75" customHeight="1">
      <c r="A48" s="155">
        <v>4.0</v>
      </c>
      <c r="B48" s="163">
        <v>46165.0</v>
      </c>
      <c r="C48" s="155">
        <v>3.0</v>
      </c>
      <c r="D48" s="155" t="s">
        <v>97</v>
      </c>
      <c r="E48" s="155" t="s">
        <v>98</v>
      </c>
      <c r="F48" s="155" t="s">
        <v>133</v>
      </c>
      <c r="G48" s="155" t="s">
        <v>81</v>
      </c>
      <c r="H48" s="155" t="s">
        <v>95</v>
      </c>
      <c r="I48" s="155" t="s">
        <v>96</v>
      </c>
      <c r="J48" s="155" t="s">
        <v>169</v>
      </c>
      <c r="AC48" s="146"/>
    </row>
    <row r="49" ht="15.75" customHeight="1">
      <c r="A49" s="155">
        <v>4.0</v>
      </c>
      <c r="B49" s="163">
        <v>46165.0</v>
      </c>
      <c r="C49" s="155">
        <v>4.0</v>
      </c>
      <c r="D49" s="155" t="s">
        <v>97</v>
      </c>
      <c r="E49" s="155" t="s">
        <v>98</v>
      </c>
      <c r="F49" s="155" t="s">
        <v>133</v>
      </c>
      <c r="G49" s="155" t="s">
        <v>99</v>
      </c>
      <c r="H49" s="155" t="s">
        <v>100</v>
      </c>
      <c r="I49" s="155" t="s">
        <v>101</v>
      </c>
      <c r="J49" s="155" t="s">
        <v>169</v>
      </c>
      <c r="AC49" s="146"/>
    </row>
    <row r="50" ht="15.75" customHeight="1">
      <c r="A50" s="155">
        <v>4.0</v>
      </c>
      <c r="B50" s="163">
        <v>46165.0</v>
      </c>
      <c r="C50" s="155">
        <v>5.0</v>
      </c>
      <c r="D50" s="155" t="s">
        <v>97</v>
      </c>
      <c r="E50" s="155" t="s">
        <v>98</v>
      </c>
      <c r="F50" s="155" t="s">
        <v>133</v>
      </c>
      <c r="G50" s="155" t="s">
        <v>81</v>
      </c>
      <c r="H50" s="155" t="s">
        <v>95</v>
      </c>
      <c r="I50" s="155" t="s">
        <v>173</v>
      </c>
      <c r="J50" s="155" t="s">
        <v>168</v>
      </c>
      <c r="AC50" s="146"/>
    </row>
    <row r="51" ht="15.75" customHeight="1">
      <c r="A51" s="155">
        <v>4.0</v>
      </c>
      <c r="B51" s="163">
        <v>46165.0</v>
      </c>
      <c r="C51" s="155">
        <v>1.0</v>
      </c>
      <c r="D51" s="155" t="s">
        <v>77</v>
      </c>
      <c r="E51" s="155" t="s">
        <v>109</v>
      </c>
      <c r="F51" s="155" t="s">
        <v>79</v>
      </c>
      <c r="G51" s="155" t="s">
        <v>81</v>
      </c>
      <c r="H51" s="155" t="s">
        <v>81</v>
      </c>
      <c r="I51" s="155" t="s">
        <v>81</v>
      </c>
      <c r="J51" s="155" t="s">
        <v>169</v>
      </c>
      <c r="AC51" s="146"/>
    </row>
    <row r="52" ht="15.75" customHeight="1">
      <c r="A52" s="155">
        <v>4.0</v>
      </c>
      <c r="B52" s="163">
        <v>46165.0</v>
      </c>
      <c r="C52" s="155">
        <v>2.0</v>
      </c>
      <c r="D52" s="155" t="s">
        <v>77</v>
      </c>
      <c r="E52" s="155" t="s">
        <v>109</v>
      </c>
      <c r="F52" s="155" t="s">
        <v>79</v>
      </c>
      <c r="G52" s="155" t="s">
        <v>174</v>
      </c>
      <c r="H52" s="155" t="s">
        <v>174</v>
      </c>
      <c r="I52" s="155" t="s">
        <v>174</v>
      </c>
      <c r="J52" s="155" t="s">
        <v>168</v>
      </c>
      <c r="AC52" s="146"/>
    </row>
    <row r="53" ht="15.75" customHeight="1">
      <c r="A53" s="155">
        <v>4.0</v>
      </c>
      <c r="B53" s="163">
        <v>46165.0</v>
      </c>
      <c r="C53" s="155">
        <v>3.0</v>
      </c>
      <c r="D53" s="155" t="s">
        <v>77</v>
      </c>
      <c r="E53" s="155" t="s">
        <v>109</v>
      </c>
      <c r="F53" s="155" t="s">
        <v>79</v>
      </c>
      <c r="G53" s="155" t="s">
        <v>81</v>
      </c>
      <c r="H53" s="155" t="s">
        <v>68</v>
      </c>
      <c r="I53" s="155" t="s">
        <v>176</v>
      </c>
      <c r="J53" s="155" t="s">
        <v>168</v>
      </c>
      <c r="AC53" s="146"/>
    </row>
    <row r="54" ht="15.75" customHeight="1">
      <c r="A54" s="155">
        <v>4.0</v>
      </c>
      <c r="B54" s="163">
        <v>46165.0</v>
      </c>
      <c r="C54" s="155">
        <v>4.0</v>
      </c>
      <c r="D54" s="155" t="s">
        <v>77</v>
      </c>
      <c r="E54" s="155" t="s">
        <v>109</v>
      </c>
      <c r="F54" s="155" t="s">
        <v>79</v>
      </c>
      <c r="G54" s="155" t="s">
        <v>107</v>
      </c>
      <c r="H54" s="155" t="s">
        <v>116</v>
      </c>
      <c r="I54" s="155" t="s">
        <v>117</v>
      </c>
      <c r="J54" s="155" t="s">
        <v>168</v>
      </c>
      <c r="AC54" s="146"/>
    </row>
    <row r="55" ht="15.75" customHeight="1">
      <c r="A55" s="155">
        <v>4.0</v>
      </c>
      <c r="B55" s="163">
        <v>46165.0</v>
      </c>
      <c r="C55" s="155">
        <v>5.0</v>
      </c>
      <c r="D55" s="155" t="s">
        <v>77</v>
      </c>
      <c r="E55" s="155" t="s">
        <v>109</v>
      </c>
      <c r="F55" s="155" t="s">
        <v>79</v>
      </c>
      <c r="G55" s="155" t="s">
        <v>87</v>
      </c>
      <c r="H55" s="155" t="s">
        <v>129</v>
      </c>
      <c r="I55" s="155" t="s">
        <v>79</v>
      </c>
      <c r="J55" s="155" t="s">
        <v>168</v>
      </c>
      <c r="AC55" s="146"/>
    </row>
    <row r="56" ht="15.75" customHeight="1">
      <c r="A56" s="155">
        <v>4.0</v>
      </c>
      <c r="B56" s="163">
        <v>46165.0</v>
      </c>
      <c r="C56" s="155">
        <v>1.0</v>
      </c>
      <c r="D56" s="155" t="s">
        <v>88</v>
      </c>
      <c r="E56" s="155" t="s">
        <v>95</v>
      </c>
      <c r="F56" s="155" t="s">
        <v>96</v>
      </c>
      <c r="G56" s="155" t="s">
        <v>107</v>
      </c>
      <c r="H56" s="155" t="s">
        <v>116</v>
      </c>
      <c r="I56" s="155" t="s">
        <v>117</v>
      </c>
      <c r="J56" s="155" t="s">
        <v>169</v>
      </c>
      <c r="AC56" s="146"/>
    </row>
    <row r="57" ht="15.75" customHeight="1">
      <c r="A57" s="155">
        <v>4.0</v>
      </c>
      <c r="B57" s="163">
        <v>46165.0</v>
      </c>
      <c r="C57" s="155">
        <v>2.0</v>
      </c>
      <c r="D57" s="155" t="s">
        <v>88</v>
      </c>
      <c r="E57" s="155" t="s">
        <v>95</v>
      </c>
      <c r="F57" s="155" t="s">
        <v>96</v>
      </c>
      <c r="G57" s="155" t="s">
        <v>81</v>
      </c>
      <c r="H57" s="155" t="s">
        <v>95</v>
      </c>
      <c r="I57" s="155" t="s">
        <v>96</v>
      </c>
      <c r="J57" s="155" t="s">
        <v>168</v>
      </c>
      <c r="AC57" s="146"/>
    </row>
    <row r="58" ht="15.75" customHeight="1">
      <c r="A58" s="155">
        <v>4.0</v>
      </c>
      <c r="B58" s="163">
        <v>46165.0</v>
      </c>
      <c r="C58" s="155">
        <v>3.0</v>
      </c>
      <c r="D58" s="155" t="s">
        <v>88</v>
      </c>
      <c r="E58" s="155" t="s">
        <v>95</v>
      </c>
      <c r="F58" s="155" t="s">
        <v>96</v>
      </c>
      <c r="G58" s="155" t="s">
        <v>97</v>
      </c>
      <c r="H58" s="155" t="s">
        <v>98</v>
      </c>
      <c r="I58" s="155" t="s">
        <v>133</v>
      </c>
      <c r="J58" s="155" t="s">
        <v>168</v>
      </c>
      <c r="AC58" s="146"/>
    </row>
    <row r="59" ht="15.75" customHeight="1">
      <c r="A59" s="155">
        <v>4.0</v>
      </c>
      <c r="B59" s="163">
        <v>46165.0</v>
      </c>
      <c r="C59" s="155">
        <v>4.0</v>
      </c>
      <c r="D59" s="155" t="s">
        <v>88</v>
      </c>
      <c r="E59" s="155" t="s">
        <v>95</v>
      </c>
      <c r="F59" s="155" t="s">
        <v>96</v>
      </c>
      <c r="G59" s="155" t="s">
        <v>64</v>
      </c>
      <c r="H59" s="155" t="s">
        <v>130</v>
      </c>
      <c r="I59" s="155" t="s">
        <v>131</v>
      </c>
      <c r="J59" s="155" t="s">
        <v>169</v>
      </c>
      <c r="AC59" s="146"/>
    </row>
    <row r="60" ht="15.75" customHeight="1">
      <c r="A60" s="155">
        <v>4.0</v>
      </c>
      <c r="B60" s="163">
        <v>46165.0</v>
      </c>
      <c r="C60" s="155">
        <v>5.0</v>
      </c>
      <c r="D60" s="155" t="s">
        <v>88</v>
      </c>
      <c r="E60" s="155" t="s">
        <v>95</v>
      </c>
      <c r="F60" s="155" t="s">
        <v>96</v>
      </c>
      <c r="G60" s="155" t="s">
        <v>81</v>
      </c>
      <c r="H60" s="155" t="s">
        <v>124</v>
      </c>
      <c r="I60" s="155" t="s">
        <v>125</v>
      </c>
      <c r="J60" s="155" t="s">
        <v>168</v>
      </c>
      <c r="AC60" s="146"/>
    </row>
    <row r="61" ht="15.75" customHeight="1">
      <c r="A61" s="155">
        <v>4.0</v>
      </c>
      <c r="B61" s="163">
        <v>46165.0</v>
      </c>
      <c r="C61" s="155">
        <v>1.0</v>
      </c>
      <c r="D61" s="155" t="s">
        <v>90</v>
      </c>
      <c r="E61" s="155" t="s">
        <v>121</v>
      </c>
      <c r="F61" s="155" t="s">
        <v>73</v>
      </c>
      <c r="G61" s="155" t="s">
        <v>81</v>
      </c>
      <c r="H61" s="155" t="s">
        <v>124</v>
      </c>
      <c r="I61" s="155" t="s">
        <v>125</v>
      </c>
      <c r="J61" s="155" t="s">
        <v>168</v>
      </c>
      <c r="AC61" s="146"/>
    </row>
    <row r="62" ht="15.75" customHeight="1">
      <c r="A62" s="155">
        <v>4.0</v>
      </c>
      <c r="B62" s="163">
        <v>46165.0</v>
      </c>
      <c r="C62" s="155">
        <v>2.0</v>
      </c>
      <c r="D62" s="155" t="s">
        <v>90</v>
      </c>
      <c r="E62" s="155" t="s">
        <v>121</v>
      </c>
      <c r="F62" s="155" t="s">
        <v>73</v>
      </c>
      <c r="G62" s="155" t="s">
        <v>107</v>
      </c>
      <c r="H62" s="155" t="s">
        <v>116</v>
      </c>
      <c r="I62" s="155" t="s">
        <v>117</v>
      </c>
      <c r="J62" s="155" t="s">
        <v>169</v>
      </c>
      <c r="AC62" s="146"/>
    </row>
    <row r="63" ht="15.75" customHeight="1">
      <c r="A63" s="155">
        <v>4.0</v>
      </c>
      <c r="B63" s="163">
        <v>46165.0</v>
      </c>
      <c r="C63" s="155">
        <v>3.0</v>
      </c>
      <c r="D63" s="155" t="s">
        <v>90</v>
      </c>
      <c r="E63" s="155" t="s">
        <v>121</v>
      </c>
      <c r="F63" s="155" t="s">
        <v>73</v>
      </c>
      <c r="G63" s="155" t="s">
        <v>105</v>
      </c>
      <c r="H63" s="155" t="s">
        <v>135</v>
      </c>
      <c r="I63" s="155" t="s">
        <v>136</v>
      </c>
      <c r="J63" s="155" t="s">
        <v>168</v>
      </c>
      <c r="AC63" s="146"/>
    </row>
    <row r="64" ht="15.75" customHeight="1">
      <c r="A64" s="155">
        <v>4.0</v>
      </c>
      <c r="B64" s="163">
        <v>46165.0</v>
      </c>
      <c r="C64" s="155">
        <v>4.0</v>
      </c>
      <c r="D64" s="155" t="s">
        <v>90</v>
      </c>
      <c r="E64" s="155" t="s">
        <v>121</v>
      </c>
      <c r="F64" s="155" t="s">
        <v>73</v>
      </c>
      <c r="G64" s="155" t="s">
        <v>81</v>
      </c>
      <c r="H64" s="155" t="s">
        <v>92</v>
      </c>
      <c r="I64" s="155" t="s">
        <v>81</v>
      </c>
      <c r="J64" s="155" t="s">
        <v>168</v>
      </c>
      <c r="AC64" s="146"/>
    </row>
    <row r="65" ht="15.75" customHeight="1">
      <c r="A65" s="155">
        <v>4.0</v>
      </c>
      <c r="B65" s="163">
        <v>46165.0</v>
      </c>
      <c r="C65" s="155">
        <v>5.0</v>
      </c>
      <c r="D65" s="155" t="s">
        <v>90</v>
      </c>
      <c r="E65" s="155" t="s">
        <v>121</v>
      </c>
      <c r="F65" s="155" t="s">
        <v>73</v>
      </c>
      <c r="G65" s="155" t="s">
        <v>72</v>
      </c>
      <c r="H65" s="155" t="s">
        <v>113</v>
      </c>
      <c r="I65" s="155" t="s">
        <v>114</v>
      </c>
      <c r="J65" s="155" t="s">
        <v>168</v>
      </c>
      <c r="AC65" s="146"/>
    </row>
    <row r="66" ht="15.75" customHeight="1">
      <c r="A66" s="155">
        <v>3.0</v>
      </c>
      <c r="B66" s="163">
        <v>46158.0</v>
      </c>
      <c r="C66" s="155">
        <v>1.0</v>
      </c>
      <c r="D66" s="155" t="s">
        <v>118</v>
      </c>
      <c r="E66" s="155" t="s">
        <v>68</v>
      </c>
      <c r="F66" s="155" t="s">
        <v>73</v>
      </c>
      <c r="AC66" s="146"/>
    </row>
    <row r="67" ht="15.75" customHeight="1">
      <c r="A67" s="155">
        <v>3.0</v>
      </c>
      <c r="B67" s="163">
        <v>46158.0</v>
      </c>
      <c r="C67" s="155">
        <v>2.0</v>
      </c>
      <c r="D67" s="155" t="s">
        <v>118</v>
      </c>
      <c r="E67" s="155" t="s">
        <v>68</v>
      </c>
      <c r="F67" s="155" t="s">
        <v>73</v>
      </c>
      <c r="AC67" s="146"/>
    </row>
    <row r="68" ht="15.75" customHeight="1">
      <c r="A68" s="155">
        <v>3.0</v>
      </c>
      <c r="B68" s="163">
        <v>46158.0</v>
      </c>
      <c r="C68" s="155">
        <v>3.0</v>
      </c>
      <c r="D68" s="155" t="s">
        <v>118</v>
      </c>
      <c r="E68" s="155" t="s">
        <v>68</v>
      </c>
      <c r="F68" s="155" t="s">
        <v>73</v>
      </c>
      <c r="AC68" s="146"/>
    </row>
    <row r="69" ht="15.75" customHeight="1">
      <c r="A69" s="155">
        <v>3.0</v>
      </c>
      <c r="B69" s="163">
        <v>46158.0</v>
      </c>
      <c r="C69" s="155">
        <v>4.0</v>
      </c>
      <c r="D69" s="155" t="s">
        <v>118</v>
      </c>
      <c r="E69" s="155" t="s">
        <v>68</v>
      </c>
      <c r="F69" s="155" t="s">
        <v>73</v>
      </c>
      <c r="AC69" s="146"/>
    </row>
    <row r="70" ht="15.75" customHeight="1">
      <c r="A70" s="155">
        <v>3.0</v>
      </c>
      <c r="B70" s="163">
        <v>46158.0</v>
      </c>
      <c r="C70" s="155">
        <v>1.0</v>
      </c>
      <c r="D70" s="155" t="s">
        <v>88</v>
      </c>
      <c r="E70" s="155" t="s">
        <v>68</v>
      </c>
      <c r="F70" s="155" t="s">
        <v>73</v>
      </c>
      <c r="AC70" s="146"/>
    </row>
    <row r="71" ht="15.75" customHeight="1">
      <c r="A71" s="155">
        <v>3.0</v>
      </c>
      <c r="B71" s="163">
        <v>46158.0</v>
      </c>
      <c r="C71" s="155">
        <v>2.0</v>
      </c>
      <c r="D71" s="155" t="s">
        <v>88</v>
      </c>
      <c r="E71" s="155" t="s">
        <v>68</v>
      </c>
      <c r="F71" s="155" t="s">
        <v>73</v>
      </c>
      <c r="AC71" s="146"/>
    </row>
    <row r="72" ht="15.75" customHeight="1">
      <c r="A72" s="155">
        <v>3.0</v>
      </c>
      <c r="B72" s="163">
        <v>46158.0</v>
      </c>
      <c r="C72" s="155">
        <v>3.0</v>
      </c>
      <c r="D72" s="155" t="s">
        <v>88</v>
      </c>
      <c r="E72" s="155" t="s">
        <v>68</v>
      </c>
      <c r="F72" s="155" t="s">
        <v>73</v>
      </c>
      <c r="AC72" s="146"/>
    </row>
    <row r="73" ht="15.75" customHeight="1">
      <c r="A73" s="155">
        <v>3.0</v>
      </c>
      <c r="B73" s="163">
        <v>46158.0</v>
      </c>
      <c r="C73" s="155">
        <v>4.0</v>
      </c>
      <c r="D73" s="155" t="s">
        <v>88</v>
      </c>
      <c r="E73" s="155" t="s">
        <v>68</v>
      </c>
      <c r="F73" s="155" t="s">
        <v>73</v>
      </c>
      <c r="AC73" s="146"/>
    </row>
    <row r="74" ht="15.75" customHeight="1">
      <c r="A74" s="155">
        <v>3.0</v>
      </c>
      <c r="B74" s="163">
        <v>46158.0</v>
      </c>
      <c r="C74" s="155">
        <v>1.0</v>
      </c>
      <c r="D74" s="155" t="s">
        <v>105</v>
      </c>
      <c r="E74" s="155" t="s">
        <v>119</v>
      </c>
      <c r="F74" s="155" t="s">
        <v>120</v>
      </c>
      <c r="G74" s="155" t="s">
        <v>107</v>
      </c>
      <c r="H74" s="155" t="s">
        <v>116</v>
      </c>
      <c r="I74" s="155" t="s">
        <v>117</v>
      </c>
      <c r="J74" s="155" t="s">
        <v>169</v>
      </c>
      <c r="AC74" s="146"/>
    </row>
    <row r="75" ht="15.75" customHeight="1">
      <c r="A75" s="155">
        <v>3.0</v>
      </c>
      <c r="B75" s="163">
        <v>46158.0</v>
      </c>
      <c r="C75" s="155">
        <v>2.0</v>
      </c>
      <c r="D75" s="155" t="s">
        <v>105</v>
      </c>
      <c r="E75" s="155" t="s">
        <v>119</v>
      </c>
      <c r="F75" s="155" t="s">
        <v>120</v>
      </c>
      <c r="G75" s="155" t="s">
        <v>70</v>
      </c>
      <c r="H75" s="155" t="s">
        <v>68</v>
      </c>
      <c r="I75" s="155" t="s">
        <v>71</v>
      </c>
      <c r="J75" s="155" t="s">
        <v>168</v>
      </c>
      <c r="AC75" s="146"/>
    </row>
    <row r="76" ht="15.75" customHeight="1">
      <c r="A76" s="155">
        <v>3.0</v>
      </c>
      <c r="B76" s="163">
        <v>46158.0</v>
      </c>
      <c r="C76" s="155">
        <v>3.0</v>
      </c>
      <c r="D76" s="155" t="s">
        <v>105</v>
      </c>
      <c r="E76" s="155" t="s">
        <v>119</v>
      </c>
      <c r="F76" s="155" t="s">
        <v>120</v>
      </c>
      <c r="G76" s="155" t="s">
        <v>74</v>
      </c>
      <c r="H76" s="155" t="s">
        <v>65</v>
      </c>
      <c r="I76" s="155" t="s">
        <v>66</v>
      </c>
      <c r="J76" s="155" t="s">
        <v>168</v>
      </c>
      <c r="AC76" s="146"/>
    </row>
    <row r="77" ht="15.75" customHeight="1">
      <c r="A77" s="155">
        <v>3.0</v>
      </c>
      <c r="B77" s="163">
        <v>46158.0</v>
      </c>
      <c r="C77" s="155">
        <v>4.0</v>
      </c>
      <c r="D77" s="155" t="s">
        <v>105</v>
      </c>
      <c r="E77" s="155" t="s">
        <v>119</v>
      </c>
      <c r="F77" s="155" t="s">
        <v>120</v>
      </c>
      <c r="G77" s="155" t="s">
        <v>77</v>
      </c>
      <c r="H77" s="155" t="s">
        <v>109</v>
      </c>
      <c r="I77" s="155" t="s">
        <v>79</v>
      </c>
      <c r="J77" s="155" t="s">
        <v>169</v>
      </c>
      <c r="AC77" s="146"/>
    </row>
    <row r="78" ht="15.75" customHeight="1">
      <c r="A78" s="155">
        <v>3.0</v>
      </c>
      <c r="B78" s="163">
        <v>46158.0</v>
      </c>
      <c r="C78" s="155">
        <v>1.0</v>
      </c>
      <c r="D78" s="155" t="s">
        <v>72</v>
      </c>
      <c r="E78" s="155" t="s">
        <v>113</v>
      </c>
      <c r="F78" s="155" t="s">
        <v>114</v>
      </c>
      <c r="G78" s="155" t="s">
        <v>174</v>
      </c>
      <c r="H78" s="155" t="s">
        <v>174</v>
      </c>
      <c r="I78" s="155" t="s">
        <v>174</v>
      </c>
      <c r="J78" s="155" t="s">
        <v>168</v>
      </c>
      <c r="AC78" s="146"/>
    </row>
    <row r="79" ht="15.75" customHeight="1">
      <c r="A79" s="155">
        <v>3.0</v>
      </c>
      <c r="B79" s="163">
        <v>46158.0</v>
      </c>
      <c r="C79" s="155">
        <v>2.0</v>
      </c>
      <c r="D79" s="155" t="s">
        <v>72</v>
      </c>
      <c r="E79" s="155" t="s">
        <v>113</v>
      </c>
      <c r="F79" s="155" t="s">
        <v>114</v>
      </c>
      <c r="G79" s="155" t="s">
        <v>77</v>
      </c>
      <c r="H79" s="155" t="s">
        <v>109</v>
      </c>
      <c r="I79" s="155" t="s">
        <v>79</v>
      </c>
      <c r="J79" s="155" t="s">
        <v>168</v>
      </c>
      <c r="AC79" s="146"/>
    </row>
    <row r="80" ht="15.75" customHeight="1">
      <c r="A80" s="155">
        <v>3.0</v>
      </c>
      <c r="B80" s="163">
        <v>46158.0</v>
      </c>
      <c r="C80" s="155">
        <v>3.0</v>
      </c>
      <c r="D80" s="155" t="s">
        <v>72</v>
      </c>
      <c r="E80" s="155" t="s">
        <v>113</v>
      </c>
      <c r="F80" s="155" t="s">
        <v>114</v>
      </c>
      <c r="G80" s="155" t="s">
        <v>87</v>
      </c>
      <c r="H80" s="155" t="s">
        <v>100</v>
      </c>
      <c r="I80" s="155" t="s">
        <v>115</v>
      </c>
      <c r="J80" s="155" t="s">
        <v>169</v>
      </c>
      <c r="AC80" s="146"/>
    </row>
    <row r="81" ht="15.75" customHeight="1">
      <c r="A81" s="155">
        <v>3.0</v>
      </c>
      <c r="B81" s="163">
        <v>46158.0</v>
      </c>
      <c r="C81" s="155">
        <v>4.0</v>
      </c>
      <c r="D81" s="155" t="s">
        <v>72</v>
      </c>
      <c r="E81" s="155" t="s">
        <v>113</v>
      </c>
      <c r="F81" s="155" t="s">
        <v>114</v>
      </c>
      <c r="H81" s="155" t="s">
        <v>68</v>
      </c>
      <c r="I81" s="155" t="s">
        <v>73</v>
      </c>
      <c r="J81" s="155" t="s">
        <v>168</v>
      </c>
      <c r="AC81" s="146"/>
    </row>
    <row r="82" ht="15.75" customHeight="1">
      <c r="A82" s="155">
        <v>3.0</v>
      </c>
      <c r="B82" s="163">
        <v>46158.0</v>
      </c>
      <c r="C82" s="155">
        <v>1.0</v>
      </c>
      <c r="D82" s="155" t="s">
        <v>77</v>
      </c>
      <c r="E82" s="155" t="s">
        <v>109</v>
      </c>
      <c r="F82" s="155" t="s">
        <v>79</v>
      </c>
      <c r="G82" s="155" t="s">
        <v>90</v>
      </c>
      <c r="H82" s="155" t="s">
        <v>121</v>
      </c>
      <c r="I82" s="155" t="s">
        <v>73</v>
      </c>
      <c r="J82" s="155" t="s">
        <v>168</v>
      </c>
      <c r="AC82" s="146"/>
    </row>
    <row r="83" ht="15.75" customHeight="1">
      <c r="A83" s="155">
        <v>3.0</v>
      </c>
      <c r="B83" s="163">
        <v>46158.0</v>
      </c>
      <c r="C83" s="155">
        <v>2.0</v>
      </c>
      <c r="D83" s="155" t="s">
        <v>77</v>
      </c>
      <c r="E83" s="155" t="s">
        <v>109</v>
      </c>
      <c r="F83" s="155" t="s">
        <v>79</v>
      </c>
      <c r="G83" s="155" t="s">
        <v>72</v>
      </c>
      <c r="H83" s="155" t="s">
        <v>113</v>
      </c>
      <c r="I83" s="155" t="s">
        <v>114</v>
      </c>
      <c r="J83" s="155" t="s">
        <v>169</v>
      </c>
      <c r="AC83" s="146"/>
    </row>
    <row r="84" ht="15.75" customHeight="1">
      <c r="A84" s="155">
        <v>3.0</v>
      </c>
      <c r="B84" s="163">
        <v>46158.0</v>
      </c>
      <c r="C84" s="155">
        <v>3.0</v>
      </c>
      <c r="D84" s="155" t="s">
        <v>77</v>
      </c>
      <c r="E84" s="155" t="s">
        <v>109</v>
      </c>
      <c r="F84" s="155" t="s">
        <v>79</v>
      </c>
      <c r="G84" s="155" t="s">
        <v>82</v>
      </c>
      <c r="H84" s="155" t="s">
        <v>122</v>
      </c>
      <c r="I84" s="155" t="s">
        <v>123</v>
      </c>
      <c r="J84" s="155" t="s">
        <v>168</v>
      </c>
      <c r="AC84" s="146"/>
    </row>
    <row r="85" ht="15.75" customHeight="1">
      <c r="A85" s="155">
        <v>3.0</v>
      </c>
      <c r="B85" s="163">
        <v>46158.0</v>
      </c>
      <c r="C85" s="155">
        <v>4.0</v>
      </c>
      <c r="D85" s="155" t="s">
        <v>77</v>
      </c>
      <c r="E85" s="155" t="s">
        <v>109</v>
      </c>
      <c r="F85" s="155" t="s">
        <v>79</v>
      </c>
      <c r="G85" s="155" t="s">
        <v>105</v>
      </c>
      <c r="H85" s="155" t="s">
        <v>119</v>
      </c>
      <c r="I85" s="155" t="s">
        <v>120</v>
      </c>
      <c r="J85" s="155" t="s">
        <v>168</v>
      </c>
      <c r="AC85" s="146"/>
    </row>
    <row r="86" ht="15.75" customHeight="1">
      <c r="A86" s="155">
        <v>3.0</v>
      </c>
      <c r="B86" s="163">
        <v>46158.0</v>
      </c>
      <c r="C86" s="155">
        <v>1.0</v>
      </c>
      <c r="D86" s="155" t="s">
        <v>34</v>
      </c>
      <c r="E86" s="155" t="s">
        <v>124</v>
      </c>
      <c r="F86" s="155" t="s">
        <v>125</v>
      </c>
      <c r="G86" s="155" t="s">
        <v>82</v>
      </c>
      <c r="H86" s="155" t="s">
        <v>122</v>
      </c>
      <c r="I86" s="155" t="s">
        <v>123</v>
      </c>
      <c r="J86" s="155" t="s">
        <v>168</v>
      </c>
      <c r="AC86" s="146"/>
    </row>
    <row r="87" ht="15.75" customHeight="1">
      <c r="A87" s="155">
        <v>3.0</v>
      </c>
      <c r="B87" s="163">
        <v>46158.0</v>
      </c>
      <c r="C87" s="155">
        <v>2.0</v>
      </c>
      <c r="D87" s="155" t="s">
        <v>34</v>
      </c>
      <c r="E87" s="155" t="s">
        <v>124</v>
      </c>
      <c r="F87" s="155" t="s">
        <v>125</v>
      </c>
      <c r="G87" s="155" t="s">
        <v>87</v>
      </c>
      <c r="H87" s="155" t="s">
        <v>100</v>
      </c>
      <c r="I87" s="155" t="s">
        <v>115</v>
      </c>
      <c r="J87" s="155" t="s">
        <v>168</v>
      </c>
      <c r="AC87" s="146"/>
    </row>
    <row r="88" ht="15.75" customHeight="1">
      <c r="A88" s="155">
        <v>3.0</v>
      </c>
      <c r="B88" s="163">
        <v>46158.0</v>
      </c>
      <c r="C88" s="155">
        <v>3.0</v>
      </c>
      <c r="D88" s="155" t="s">
        <v>34</v>
      </c>
      <c r="E88" s="155" t="s">
        <v>124</v>
      </c>
      <c r="F88" s="155" t="s">
        <v>125</v>
      </c>
      <c r="G88" s="155"/>
      <c r="H88" s="155" t="s">
        <v>68</v>
      </c>
      <c r="I88" s="155" t="s">
        <v>73</v>
      </c>
      <c r="J88" s="155" t="s">
        <v>168</v>
      </c>
      <c r="AC88" s="146"/>
    </row>
    <row r="89" ht="15.75" customHeight="1">
      <c r="A89" s="155">
        <v>3.0</v>
      </c>
      <c r="B89" s="163">
        <v>46158.0</v>
      </c>
      <c r="C89" s="155">
        <v>4.0</v>
      </c>
      <c r="D89" s="155" t="s">
        <v>34</v>
      </c>
      <c r="E89" s="155" t="s">
        <v>124</v>
      </c>
      <c r="F89" s="155" t="s">
        <v>125</v>
      </c>
      <c r="G89" s="155" t="s">
        <v>90</v>
      </c>
      <c r="H89" s="155" t="s">
        <v>121</v>
      </c>
      <c r="I89" s="155" t="s">
        <v>73</v>
      </c>
      <c r="J89" s="155" t="s">
        <v>169</v>
      </c>
      <c r="AC89" s="146"/>
    </row>
    <row r="90" ht="15.75" customHeight="1">
      <c r="A90" s="155">
        <v>3.0</v>
      </c>
      <c r="B90" s="163">
        <v>46158.0</v>
      </c>
      <c r="C90" s="155">
        <v>1.0</v>
      </c>
      <c r="D90" s="155" t="s">
        <v>87</v>
      </c>
      <c r="E90" s="155" t="s">
        <v>100</v>
      </c>
      <c r="F90" s="155" t="s">
        <v>115</v>
      </c>
      <c r="H90" s="155" t="s">
        <v>68</v>
      </c>
      <c r="I90" s="155" t="s">
        <v>73</v>
      </c>
      <c r="J90" s="155" t="s">
        <v>168</v>
      </c>
      <c r="AC90" s="146"/>
    </row>
    <row r="91" ht="15.75" customHeight="1">
      <c r="A91" s="155">
        <v>3.0</v>
      </c>
      <c r="B91" s="163">
        <v>46158.0</v>
      </c>
      <c r="C91" s="155">
        <v>2.0</v>
      </c>
      <c r="D91" s="155" t="s">
        <v>87</v>
      </c>
      <c r="E91" s="155" t="s">
        <v>100</v>
      </c>
      <c r="F91" s="155" t="s">
        <v>115</v>
      </c>
      <c r="G91" s="155" t="s">
        <v>34</v>
      </c>
      <c r="H91" s="155" t="s">
        <v>124</v>
      </c>
      <c r="I91" s="155" t="s">
        <v>125</v>
      </c>
      <c r="J91" s="155" t="s">
        <v>168</v>
      </c>
      <c r="AC91" s="146"/>
    </row>
    <row r="92" ht="15.75" customHeight="1">
      <c r="A92" s="155">
        <v>3.0</v>
      </c>
      <c r="B92" s="163">
        <v>46158.0</v>
      </c>
      <c r="C92" s="155">
        <v>3.0</v>
      </c>
      <c r="D92" s="155" t="s">
        <v>87</v>
      </c>
      <c r="E92" s="155" t="s">
        <v>100</v>
      </c>
      <c r="F92" s="155" t="s">
        <v>115</v>
      </c>
      <c r="G92" s="155" t="s">
        <v>72</v>
      </c>
      <c r="H92" s="155" t="s">
        <v>113</v>
      </c>
      <c r="I92" s="155" t="s">
        <v>114</v>
      </c>
      <c r="J92" s="155" t="s">
        <v>168</v>
      </c>
      <c r="AC92" s="146"/>
    </row>
    <row r="93" ht="15.75" customHeight="1">
      <c r="A93" s="155">
        <v>3.0</v>
      </c>
      <c r="B93" s="163">
        <v>46158.0</v>
      </c>
      <c r="C93" s="155">
        <v>4.0</v>
      </c>
      <c r="D93" s="155" t="s">
        <v>87</v>
      </c>
      <c r="E93" s="155" t="s">
        <v>100</v>
      </c>
      <c r="F93" s="155" t="s">
        <v>115</v>
      </c>
      <c r="G93" s="155" t="s">
        <v>104</v>
      </c>
      <c r="H93" s="155" t="s">
        <v>95</v>
      </c>
      <c r="I93" s="155" t="s">
        <v>96</v>
      </c>
      <c r="J93" s="155" t="s">
        <v>169</v>
      </c>
      <c r="AC93" s="146"/>
    </row>
    <row r="94" ht="15.75" customHeight="1">
      <c r="A94" s="155">
        <v>3.0</v>
      </c>
      <c r="B94" s="163">
        <v>46158.0</v>
      </c>
      <c r="C94" s="155">
        <v>1.0</v>
      </c>
      <c r="D94" s="155" t="s">
        <v>104</v>
      </c>
      <c r="E94" s="155" t="s">
        <v>95</v>
      </c>
      <c r="F94" s="155" t="s">
        <v>96</v>
      </c>
      <c r="G94" s="155" t="s">
        <v>70</v>
      </c>
      <c r="H94" s="155" t="s">
        <v>68</v>
      </c>
      <c r="I94" s="155" t="s">
        <v>71</v>
      </c>
      <c r="J94" s="155" t="s">
        <v>168</v>
      </c>
      <c r="AC94" s="146"/>
    </row>
    <row r="95" ht="15.75" customHeight="1">
      <c r="A95" s="155">
        <v>3.0</v>
      </c>
      <c r="B95" s="163">
        <v>46158.0</v>
      </c>
      <c r="C95" s="155">
        <v>2.0</v>
      </c>
      <c r="D95" s="155" t="s">
        <v>104</v>
      </c>
      <c r="E95" s="155" t="s">
        <v>95</v>
      </c>
      <c r="F95" s="155" t="s">
        <v>96</v>
      </c>
      <c r="G95" s="155" t="s">
        <v>107</v>
      </c>
      <c r="H95" s="155" t="s">
        <v>116</v>
      </c>
      <c r="I95" s="155" t="s">
        <v>117</v>
      </c>
      <c r="J95" s="155" t="s">
        <v>168</v>
      </c>
      <c r="AC95" s="146"/>
    </row>
    <row r="96" ht="15.75" customHeight="1">
      <c r="A96" s="155">
        <v>3.0</v>
      </c>
      <c r="B96" s="163">
        <v>46158.0</v>
      </c>
      <c r="C96" s="155">
        <v>3.0</v>
      </c>
      <c r="D96" s="155" t="s">
        <v>104</v>
      </c>
      <c r="E96" s="155" t="s">
        <v>95</v>
      </c>
      <c r="F96" s="155" t="s">
        <v>96</v>
      </c>
      <c r="G96" s="155" t="s">
        <v>102</v>
      </c>
      <c r="H96" s="155" t="s">
        <v>92</v>
      </c>
      <c r="I96" s="155" t="s">
        <v>93</v>
      </c>
      <c r="J96" s="155" t="s">
        <v>168</v>
      </c>
      <c r="AC96" s="146"/>
    </row>
    <row r="97" ht="15.75" customHeight="1">
      <c r="A97" s="155">
        <v>3.0</v>
      </c>
      <c r="B97" s="163">
        <v>46158.0</v>
      </c>
      <c r="C97" s="155">
        <v>4.0</v>
      </c>
      <c r="D97" s="155" t="s">
        <v>104</v>
      </c>
      <c r="E97" s="155" t="s">
        <v>95</v>
      </c>
      <c r="F97" s="155" t="s">
        <v>96</v>
      </c>
      <c r="G97" s="155" t="s">
        <v>87</v>
      </c>
      <c r="H97" s="155" t="s">
        <v>100</v>
      </c>
      <c r="I97" s="155" t="s">
        <v>115</v>
      </c>
      <c r="J97" s="155" t="s">
        <v>168</v>
      </c>
      <c r="AC97" s="146"/>
    </row>
    <row r="98" ht="15.75" customHeight="1">
      <c r="A98" s="155">
        <v>3.0</v>
      </c>
      <c r="B98" s="163">
        <v>46158.0</v>
      </c>
      <c r="C98" s="155">
        <v>1.0</v>
      </c>
      <c r="D98" s="155" t="s">
        <v>70</v>
      </c>
      <c r="E98" s="155" t="s">
        <v>68</v>
      </c>
      <c r="F98" s="155" t="s">
        <v>71</v>
      </c>
      <c r="G98" s="155" t="s">
        <v>104</v>
      </c>
      <c r="H98" s="155" t="s">
        <v>95</v>
      </c>
      <c r="I98" s="155" t="s">
        <v>96</v>
      </c>
      <c r="J98" s="155" t="s">
        <v>169</v>
      </c>
      <c r="AC98" s="146"/>
    </row>
    <row r="99" ht="15.75" customHeight="1">
      <c r="A99" s="155">
        <v>3.0</v>
      </c>
      <c r="B99" s="163">
        <v>46158.0</v>
      </c>
      <c r="C99" s="155">
        <v>2.0</v>
      </c>
      <c r="D99" s="155" t="s">
        <v>70</v>
      </c>
      <c r="E99" s="155" t="s">
        <v>68</v>
      </c>
      <c r="F99" s="155" t="s">
        <v>71</v>
      </c>
      <c r="G99" s="155" t="s">
        <v>105</v>
      </c>
      <c r="H99" s="155" t="s">
        <v>119</v>
      </c>
      <c r="I99" s="155" t="s">
        <v>120</v>
      </c>
      <c r="J99" s="155" t="s">
        <v>169</v>
      </c>
      <c r="AC99" s="146"/>
    </row>
    <row r="100" ht="15.75" customHeight="1">
      <c r="A100" s="155">
        <v>3.0</v>
      </c>
      <c r="B100" s="163">
        <v>46158.0</v>
      </c>
      <c r="C100" s="155">
        <v>3.0</v>
      </c>
      <c r="D100" s="155" t="s">
        <v>70</v>
      </c>
      <c r="E100" s="155" t="s">
        <v>68</v>
      </c>
      <c r="F100" s="155" t="s">
        <v>71</v>
      </c>
      <c r="G100" s="155" t="s">
        <v>128</v>
      </c>
      <c r="H100" s="155" t="s">
        <v>92</v>
      </c>
      <c r="I100" s="155" t="s">
        <v>93</v>
      </c>
      <c r="J100" s="155" t="s">
        <v>168</v>
      </c>
      <c r="AC100" s="146"/>
    </row>
    <row r="101" ht="15.75" customHeight="1">
      <c r="A101" s="155">
        <v>3.0</v>
      </c>
      <c r="B101" s="163">
        <v>46158.0</v>
      </c>
      <c r="C101" s="155">
        <v>4.0</v>
      </c>
      <c r="D101" s="155" t="s">
        <v>70</v>
      </c>
      <c r="E101" s="155" t="s">
        <v>68</v>
      </c>
      <c r="F101" s="155" t="s">
        <v>71</v>
      </c>
      <c r="G101" s="155" t="s">
        <v>74</v>
      </c>
      <c r="H101" s="155" t="s">
        <v>65</v>
      </c>
      <c r="I101" s="155" t="s">
        <v>66</v>
      </c>
      <c r="J101" s="155" t="s">
        <v>169</v>
      </c>
      <c r="AC101" s="146"/>
    </row>
    <row r="102" ht="15.75" customHeight="1">
      <c r="A102" s="155">
        <v>3.0</v>
      </c>
      <c r="B102" s="163">
        <v>46158.0</v>
      </c>
      <c r="C102" s="155">
        <v>1.0</v>
      </c>
      <c r="D102" s="155" t="s">
        <v>74</v>
      </c>
      <c r="E102" s="155" t="s">
        <v>65</v>
      </c>
      <c r="F102" s="155" t="s">
        <v>66</v>
      </c>
      <c r="G102" s="155" t="s">
        <v>80</v>
      </c>
      <c r="H102" s="155" t="s">
        <v>126</v>
      </c>
      <c r="I102" s="155" t="s">
        <v>127</v>
      </c>
      <c r="J102" s="155" t="s">
        <v>168</v>
      </c>
      <c r="AC102" s="146"/>
    </row>
    <row r="103" ht="15.75" customHeight="1">
      <c r="A103" s="155">
        <v>3.0</v>
      </c>
      <c r="B103" s="163">
        <v>46158.0</v>
      </c>
      <c r="C103" s="155">
        <v>2.0</v>
      </c>
      <c r="D103" s="155" t="s">
        <v>74</v>
      </c>
      <c r="E103" s="155" t="s">
        <v>65</v>
      </c>
      <c r="F103" s="155" t="s">
        <v>66</v>
      </c>
      <c r="G103" s="155" t="s">
        <v>102</v>
      </c>
      <c r="H103" s="155" t="s">
        <v>92</v>
      </c>
      <c r="I103" s="155" t="s">
        <v>93</v>
      </c>
      <c r="J103" s="155" t="s">
        <v>169</v>
      </c>
      <c r="AC103" s="146"/>
    </row>
    <row r="104" ht="15.75" customHeight="1">
      <c r="A104" s="155">
        <v>3.0</v>
      </c>
      <c r="B104" s="163">
        <v>46158.0</v>
      </c>
      <c r="C104" s="155">
        <v>3.0</v>
      </c>
      <c r="D104" s="155" t="s">
        <v>74</v>
      </c>
      <c r="E104" s="155" t="s">
        <v>65</v>
      </c>
      <c r="F104" s="155" t="s">
        <v>66</v>
      </c>
      <c r="G104" s="155" t="s">
        <v>105</v>
      </c>
      <c r="H104" s="155" t="s">
        <v>119</v>
      </c>
      <c r="I104" s="155" t="s">
        <v>120</v>
      </c>
      <c r="J104" s="155" t="s">
        <v>169</v>
      </c>
      <c r="AC104" s="146"/>
    </row>
    <row r="105" ht="15.75" customHeight="1">
      <c r="A105" s="155">
        <v>3.0</v>
      </c>
      <c r="B105" s="163">
        <v>46158.0</v>
      </c>
      <c r="C105" s="155">
        <v>4.0</v>
      </c>
      <c r="D105" s="155" t="s">
        <v>74</v>
      </c>
      <c r="E105" s="155" t="s">
        <v>65</v>
      </c>
      <c r="F105" s="155" t="s">
        <v>66</v>
      </c>
      <c r="G105" s="155" t="s">
        <v>70</v>
      </c>
      <c r="H105" s="155" t="s">
        <v>68</v>
      </c>
      <c r="I105" s="155" t="s">
        <v>71</v>
      </c>
      <c r="J105" s="155" t="s">
        <v>168</v>
      </c>
      <c r="AC105" s="146"/>
    </row>
    <row r="106" ht="15.75" customHeight="1">
      <c r="A106" s="155">
        <v>3.0</v>
      </c>
      <c r="B106" s="163">
        <v>46158.0</v>
      </c>
      <c r="C106" s="155">
        <v>1.0</v>
      </c>
      <c r="D106" s="155" t="s">
        <v>128</v>
      </c>
      <c r="E106" s="155" t="s">
        <v>92</v>
      </c>
      <c r="F106" s="155" t="s">
        <v>93</v>
      </c>
      <c r="G106" s="155" t="s">
        <v>102</v>
      </c>
      <c r="H106" s="155" t="s">
        <v>92</v>
      </c>
      <c r="I106" s="155" t="s">
        <v>93</v>
      </c>
      <c r="J106" s="155" t="s">
        <v>169</v>
      </c>
      <c r="AC106" s="146"/>
    </row>
    <row r="107" ht="15.75" customHeight="1">
      <c r="A107" s="155">
        <v>3.0</v>
      </c>
      <c r="B107" s="163">
        <v>46158.0</v>
      </c>
      <c r="C107" s="155">
        <v>2.0</v>
      </c>
      <c r="D107" s="155" t="s">
        <v>128</v>
      </c>
      <c r="E107" s="155" t="s">
        <v>92</v>
      </c>
      <c r="F107" s="155" t="s">
        <v>93</v>
      </c>
      <c r="G107" s="155" t="s">
        <v>82</v>
      </c>
      <c r="H107" s="155" t="s">
        <v>122</v>
      </c>
      <c r="I107" s="155" t="s">
        <v>123</v>
      </c>
      <c r="J107" s="155" t="s">
        <v>169</v>
      </c>
      <c r="AC107" s="146"/>
    </row>
    <row r="108" ht="15.75" customHeight="1">
      <c r="A108" s="155">
        <v>3.0</v>
      </c>
      <c r="B108" s="163">
        <v>46158.0</v>
      </c>
      <c r="C108" s="155">
        <v>3.0</v>
      </c>
      <c r="D108" s="155" t="s">
        <v>128</v>
      </c>
      <c r="E108" s="155" t="s">
        <v>92</v>
      </c>
      <c r="F108" s="155" t="s">
        <v>93</v>
      </c>
      <c r="H108" s="155" t="s">
        <v>68</v>
      </c>
      <c r="J108" s="155" t="s">
        <v>169</v>
      </c>
      <c r="AC108" s="146"/>
    </row>
    <row r="109" ht="15.75" customHeight="1">
      <c r="A109" s="155">
        <v>3.0</v>
      </c>
      <c r="B109" s="163">
        <v>46158.0</v>
      </c>
      <c r="C109" s="155">
        <v>4.0</v>
      </c>
      <c r="D109" s="155" t="s">
        <v>128</v>
      </c>
      <c r="E109" s="155" t="s">
        <v>92</v>
      </c>
      <c r="F109" s="155" t="s">
        <v>93</v>
      </c>
      <c r="H109" s="155" t="s">
        <v>177</v>
      </c>
      <c r="J109" s="155" t="s">
        <v>169</v>
      </c>
      <c r="AC109" s="146"/>
    </row>
    <row r="110" ht="15.75" customHeight="1">
      <c r="A110" s="155">
        <v>3.0</v>
      </c>
      <c r="B110" s="163">
        <v>46158.0</v>
      </c>
      <c r="C110" s="155">
        <v>1.0</v>
      </c>
      <c r="D110" s="155" t="s">
        <v>102</v>
      </c>
      <c r="E110" s="155" t="s">
        <v>92</v>
      </c>
      <c r="F110" s="155" t="s">
        <v>93</v>
      </c>
      <c r="G110" s="155" t="s">
        <v>128</v>
      </c>
      <c r="H110" s="155" t="s">
        <v>92</v>
      </c>
      <c r="I110" s="155" t="s">
        <v>93</v>
      </c>
      <c r="J110" s="155" t="s">
        <v>168</v>
      </c>
      <c r="AC110" s="146"/>
    </row>
    <row r="111" ht="15.75" customHeight="1">
      <c r="A111" s="155">
        <v>3.0</v>
      </c>
      <c r="B111" s="163">
        <v>46158.0</v>
      </c>
      <c r="C111" s="155">
        <v>2.0</v>
      </c>
      <c r="D111" s="155" t="s">
        <v>102</v>
      </c>
      <c r="E111" s="155" t="s">
        <v>92</v>
      </c>
      <c r="F111" s="155" t="s">
        <v>93</v>
      </c>
      <c r="G111" s="155" t="s">
        <v>74</v>
      </c>
      <c r="H111" s="155" t="s">
        <v>65</v>
      </c>
      <c r="I111" s="155" t="s">
        <v>66</v>
      </c>
      <c r="J111" s="155" t="s">
        <v>168</v>
      </c>
      <c r="AC111" s="146"/>
    </row>
    <row r="112" ht="15.75" customHeight="1">
      <c r="A112" s="155">
        <v>3.0</v>
      </c>
      <c r="B112" s="163">
        <v>46158.0</v>
      </c>
      <c r="C112" s="155">
        <v>3.0</v>
      </c>
      <c r="D112" s="155" t="s">
        <v>102</v>
      </c>
      <c r="E112" s="155" t="s">
        <v>92</v>
      </c>
      <c r="F112" s="155" t="s">
        <v>93</v>
      </c>
      <c r="G112" s="155" t="s">
        <v>104</v>
      </c>
      <c r="H112" s="155" t="s">
        <v>95</v>
      </c>
      <c r="I112" s="155" t="s">
        <v>96</v>
      </c>
      <c r="J112" s="155" t="s">
        <v>169</v>
      </c>
      <c r="AC112" s="146"/>
    </row>
    <row r="113" ht="15.75" customHeight="1">
      <c r="A113" s="155">
        <v>3.0</v>
      </c>
      <c r="B113" s="163">
        <v>46158.0</v>
      </c>
      <c r="C113" s="155">
        <v>4.0</v>
      </c>
      <c r="D113" s="155" t="s">
        <v>102</v>
      </c>
      <c r="E113" s="155" t="s">
        <v>92</v>
      </c>
      <c r="F113" s="155" t="s">
        <v>93</v>
      </c>
      <c r="AC113" s="146"/>
    </row>
    <row r="114" ht="15.75" customHeight="1">
      <c r="A114" s="155">
        <v>3.0</v>
      </c>
      <c r="B114" s="163">
        <v>46158.0</v>
      </c>
      <c r="C114" s="155">
        <v>1.0</v>
      </c>
      <c r="D114" s="155" t="s">
        <v>90</v>
      </c>
      <c r="E114" s="155" t="s">
        <v>121</v>
      </c>
      <c r="F114" s="155" t="s">
        <v>73</v>
      </c>
      <c r="G114" s="155" t="s">
        <v>77</v>
      </c>
      <c r="H114" s="155" t="s">
        <v>109</v>
      </c>
      <c r="I114" s="155" t="s">
        <v>79</v>
      </c>
      <c r="J114" s="155" t="s">
        <v>169</v>
      </c>
      <c r="AC114" s="146"/>
    </row>
    <row r="115" ht="15.75" customHeight="1">
      <c r="A115" s="155">
        <v>3.0</v>
      </c>
      <c r="B115" s="163">
        <v>46158.0</v>
      </c>
      <c r="C115" s="155">
        <v>2.0</v>
      </c>
      <c r="D115" s="155" t="s">
        <v>90</v>
      </c>
      <c r="E115" s="155" t="s">
        <v>121</v>
      </c>
      <c r="F115" s="155" t="s">
        <v>73</v>
      </c>
      <c r="G115" s="155" t="s">
        <v>80</v>
      </c>
      <c r="H115" s="155" t="s">
        <v>126</v>
      </c>
      <c r="I115" s="155" t="s">
        <v>127</v>
      </c>
      <c r="J115" s="155" t="s">
        <v>169</v>
      </c>
      <c r="AC115" s="146"/>
    </row>
    <row r="116" ht="15.75" customHeight="1">
      <c r="A116" s="155">
        <v>3.0</v>
      </c>
      <c r="B116" s="163">
        <v>46158.0</v>
      </c>
      <c r="C116" s="155">
        <v>3.0</v>
      </c>
      <c r="D116" s="155" t="s">
        <v>90</v>
      </c>
      <c r="E116" s="155" t="s">
        <v>121</v>
      </c>
      <c r="F116" s="155" t="s">
        <v>73</v>
      </c>
      <c r="G116" s="155"/>
      <c r="J116" s="155" t="s">
        <v>168</v>
      </c>
      <c r="AC116" s="146"/>
    </row>
    <row r="117" ht="15.75" customHeight="1">
      <c r="A117" s="155">
        <v>3.0</v>
      </c>
      <c r="B117" s="163">
        <v>46158.0</v>
      </c>
      <c r="C117" s="155">
        <v>4.0</v>
      </c>
      <c r="D117" s="155" t="s">
        <v>90</v>
      </c>
      <c r="E117" s="155" t="s">
        <v>121</v>
      </c>
      <c r="F117" s="155" t="s">
        <v>73</v>
      </c>
      <c r="G117" s="155" t="s">
        <v>34</v>
      </c>
      <c r="H117" s="155" t="s">
        <v>124</v>
      </c>
      <c r="I117" s="155" t="s">
        <v>125</v>
      </c>
      <c r="J117" s="155" t="s">
        <v>168</v>
      </c>
      <c r="AC117" s="146"/>
    </row>
    <row r="118" ht="15.75" customHeight="1">
      <c r="A118" s="155">
        <v>3.0</v>
      </c>
      <c r="B118" s="163">
        <v>46158.0</v>
      </c>
      <c r="C118" s="155">
        <v>1.0</v>
      </c>
      <c r="D118" s="155" t="s">
        <v>82</v>
      </c>
      <c r="E118" s="155" t="s">
        <v>122</v>
      </c>
      <c r="F118" s="155" t="s">
        <v>123</v>
      </c>
      <c r="G118" s="155" t="s">
        <v>34</v>
      </c>
      <c r="H118" s="155" t="s">
        <v>124</v>
      </c>
      <c r="I118" s="155" t="s">
        <v>125</v>
      </c>
      <c r="J118" s="155" t="s">
        <v>169</v>
      </c>
      <c r="AC118" s="146"/>
    </row>
    <row r="119" ht="15.75" customHeight="1">
      <c r="A119" s="155">
        <v>3.0</v>
      </c>
      <c r="B119" s="163">
        <v>46158.0</v>
      </c>
      <c r="C119" s="155">
        <v>2.0</v>
      </c>
      <c r="D119" s="155" t="s">
        <v>82</v>
      </c>
      <c r="E119" s="155" t="s">
        <v>122</v>
      </c>
      <c r="F119" s="155" t="s">
        <v>123</v>
      </c>
      <c r="G119" s="155" t="s">
        <v>128</v>
      </c>
      <c r="H119" s="155" t="s">
        <v>92</v>
      </c>
      <c r="I119" s="155" t="s">
        <v>93</v>
      </c>
      <c r="J119" s="155" t="s">
        <v>168</v>
      </c>
      <c r="AC119" s="146"/>
    </row>
    <row r="120" ht="15.75" customHeight="1">
      <c r="A120" s="155">
        <v>3.0</v>
      </c>
      <c r="B120" s="163">
        <v>46158.0</v>
      </c>
      <c r="C120" s="155">
        <v>3.0</v>
      </c>
      <c r="D120" s="155" t="s">
        <v>82</v>
      </c>
      <c r="E120" s="155" t="s">
        <v>122</v>
      </c>
      <c r="F120" s="155" t="s">
        <v>123</v>
      </c>
      <c r="G120" s="155" t="s">
        <v>77</v>
      </c>
      <c r="H120" s="155" t="s">
        <v>109</v>
      </c>
      <c r="I120" s="155" t="s">
        <v>79</v>
      </c>
      <c r="J120" s="155" t="s">
        <v>169</v>
      </c>
      <c r="AC120" s="146"/>
    </row>
    <row r="121" ht="15.75" customHeight="1">
      <c r="A121" s="155">
        <v>3.0</v>
      </c>
      <c r="B121" s="163">
        <v>46158.0</v>
      </c>
      <c r="C121" s="155">
        <v>4.0</v>
      </c>
      <c r="D121" s="155" t="s">
        <v>82</v>
      </c>
      <c r="E121" s="155" t="s">
        <v>122</v>
      </c>
      <c r="F121" s="155" t="s">
        <v>123</v>
      </c>
      <c r="J121" s="155" t="s">
        <v>168</v>
      </c>
      <c r="AC121" s="146"/>
    </row>
    <row r="122" ht="15.75" customHeight="1">
      <c r="A122" s="155">
        <v>3.0</v>
      </c>
      <c r="B122" s="163">
        <v>46158.0</v>
      </c>
      <c r="C122" s="155">
        <v>1.0</v>
      </c>
      <c r="D122" s="155" t="s">
        <v>80</v>
      </c>
      <c r="E122" s="155" t="s">
        <v>126</v>
      </c>
      <c r="F122" s="155" t="s">
        <v>127</v>
      </c>
      <c r="G122" s="155" t="s">
        <v>74</v>
      </c>
      <c r="H122" s="155" t="s">
        <v>65</v>
      </c>
      <c r="I122" s="155" t="s">
        <v>66</v>
      </c>
      <c r="J122" s="155" t="s">
        <v>169</v>
      </c>
      <c r="AC122" s="146"/>
    </row>
    <row r="123" ht="15.75" customHeight="1">
      <c r="A123" s="155">
        <v>3.0</v>
      </c>
      <c r="B123" s="163">
        <v>46158.0</v>
      </c>
      <c r="C123" s="155">
        <v>2.0</v>
      </c>
      <c r="D123" s="155" t="s">
        <v>80</v>
      </c>
      <c r="E123" s="155" t="s">
        <v>126</v>
      </c>
      <c r="F123" s="155" t="s">
        <v>127</v>
      </c>
      <c r="G123" s="155" t="s">
        <v>90</v>
      </c>
      <c r="H123" s="155" t="s">
        <v>121</v>
      </c>
      <c r="I123" s="155" t="s">
        <v>73</v>
      </c>
      <c r="J123" s="155" t="s">
        <v>168</v>
      </c>
      <c r="AC123" s="146"/>
    </row>
    <row r="124" ht="15.75" customHeight="1">
      <c r="A124" s="155">
        <v>3.0</v>
      </c>
      <c r="B124" s="163">
        <v>46158.0</v>
      </c>
      <c r="C124" s="155">
        <v>3.0</v>
      </c>
      <c r="D124" s="155" t="s">
        <v>80</v>
      </c>
      <c r="E124" s="155" t="s">
        <v>126</v>
      </c>
      <c r="F124" s="155" t="s">
        <v>127</v>
      </c>
      <c r="J124" s="155" t="s">
        <v>169</v>
      </c>
      <c r="AC124" s="146"/>
    </row>
    <row r="125" ht="15.75" customHeight="1">
      <c r="A125" s="155">
        <v>3.0</v>
      </c>
      <c r="B125" s="163">
        <v>46158.0</v>
      </c>
      <c r="C125" s="155">
        <v>4.0</v>
      </c>
      <c r="D125" s="155" t="s">
        <v>80</v>
      </c>
      <c r="E125" s="155" t="s">
        <v>126</v>
      </c>
      <c r="F125" s="155" t="s">
        <v>127</v>
      </c>
      <c r="J125" s="155" t="s">
        <v>169</v>
      </c>
      <c r="AC125" s="146"/>
    </row>
    <row r="126" ht="15.75" customHeight="1">
      <c r="A126" s="155">
        <v>4.0</v>
      </c>
      <c r="B126" s="163">
        <v>46165.0</v>
      </c>
      <c r="C126" s="155">
        <v>1.0</v>
      </c>
      <c r="D126" s="155" t="s">
        <v>102</v>
      </c>
      <c r="E126" s="155" t="s">
        <v>95</v>
      </c>
      <c r="F126" s="155" t="s">
        <v>96</v>
      </c>
      <c r="G126" s="155" t="s">
        <v>132</v>
      </c>
      <c r="H126" s="155" t="s">
        <v>68</v>
      </c>
      <c r="I126" s="155" t="s">
        <v>115</v>
      </c>
      <c r="J126" s="155" t="s">
        <v>169</v>
      </c>
      <c r="AC126" s="146"/>
    </row>
    <row r="127" ht="15.75" customHeight="1">
      <c r="A127" s="155">
        <v>4.0</v>
      </c>
      <c r="B127" s="163">
        <v>46165.0</v>
      </c>
      <c r="C127" s="155">
        <v>2.0</v>
      </c>
      <c r="D127" s="155" t="s">
        <v>102</v>
      </c>
      <c r="E127" s="155" t="s">
        <v>95</v>
      </c>
      <c r="F127" s="155" t="s">
        <v>96</v>
      </c>
      <c r="G127" s="155" t="s">
        <v>99</v>
      </c>
      <c r="H127" s="155" t="s">
        <v>100</v>
      </c>
      <c r="I127" s="155" t="s">
        <v>101</v>
      </c>
      <c r="J127" s="155" t="s">
        <v>168</v>
      </c>
      <c r="AC127" s="146"/>
    </row>
    <row r="128" ht="15.75" customHeight="1">
      <c r="A128" s="155">
        <v>4.0</v>
      </c>
      <c r="B128" s="163">
        <v>46165.0</v>
      </c>
      <c r="C128" s="155">
        <v>3.0</v>
      </c>
      <c r="D128" s="155" t="s">
        <v>102</v>
      </c>
      <c r="E128" s="155" t="s">
        <v>95</v>
      </c>
      <c r="F128" s="155" t="s">
        <v>96</v>
      </c>
      <c r="G128" s="155" t="s">
        <v>34</v>
      </c>
      <c r="H128" s="155" t="s">
        <v>78</v>
      </c>
      <c r="I128" s="155" t="s">
        <v>79</v>
      </c>
      <c r="J128" s="155" t="s">
        <v>168</v>
      </c>
      <c r="AC128" s="146"/>
    </row>
    <row r="129" ht="15.75" customHeight="1">
      <c r="A129" s="155">
        <v>4.0</v>
      </c>
      <c r="B129" s="163">
        <v>46165.0</v>
      </c>
      <c r="C129" s="155">
        <v>4.0</v>
      </c>
      <c r="D129" s="155" t="s">
        <v>102</v>
      </c>
      <c r="E129" s="155" t="s">
        <v>95</v>
      </c>
      <c r="F129" s="155" t="s">
        <v>96</v>
      </c>
      <c r="G129" s="155" t="s">
        <v>67</v>
      </c>
      <c r="H129" s="155" t="s">
        <v>130</v>
      </c>
      <c r="I129" s="155" t="s">
        <v>73</v>
      </c>
      <c r="J129" s="155" t="s">
        <v>168</v>
      </c>
      <c r="AC129" s="146"/>
    </row>
    <row r="130" ht="15.75" customHeight="1">
      <c r="A130" s="155">
        <v>4.0</v>
      </c>
      <c r="B130" s="163">
        <v>46165.0</v>
      </c>
      <c r="C130" s="155">
        <v>5.0</v>
      </c>
      <c r="D130" s="155" t="s">
        <v>102</v>
      </c>
      <c r="E130" s="155" t="s">
        <v>95</v>
      </c>
      <c r="F130" s="155" t="s">
        <v>96</v>
      </c>
      <c r="G130" s="155" t="s">
        <v>64</v>
      </c>
      <c r="H130" s="155" t="s">
        <v>130</v>
      </c>
      <c r="I130" s="155" t="s">
        <v>131</v>
      </c>
      <c r="J130" s="155" t="s">
        <v>168</v>
      </c>
      <c r="AC130" s="146"/>
    </row>
    <row r="131" ht="15.75" customHeight="1">
      <c r="A131" s="155">
        <v>4.0</v>
      </c>
      <c r="B131" s="163">
        <v>46165.0</v>
      </c>
      <c r="C131" s="155">
        <v>1.0</v>
      </c>
      <c r="D131" s="155" t="s">
        <v>64</v>
      </c>
      <c r="E131" s="155" t="s">
        <v>130</v>
      </c>
      <c r="F131" s="155" t="s">
        <v>131</v>
      </c>
      <c r="AC131" s="146"/>
    </row>
    <row r="132" ht="15.75" customHeight="1">
      <c r="A132" s="155">
        <v>4.0</v>
      </c>
      <c r="B132" s="163">
        <v>46165.0</v>
      </c>
      <c r="C132" s="155">
        <v>2.0</v>
      </c>
      <c r="D132" s="155" t="s">
        <v>64</v>
      </c>
      <c r="E132" s="155" t="s">
        <v>130</v>
      </c>
      <c r="F132" s="155" t="s">
        <v>131</v>
      </c>
      <c r="AC132" s="146"/>
    </row>
    <row r="133" ht="15.75" customHeight="1">
      <c r="A133" s="155">
        <v>4.0</v>
      </c>
      <c r="B133" s="163">
        <v>46165.0</v>
      </c>
      <c r="C133" s="155">
        <v>3.0</v>
      </c>
      <c r="D133" s="155" t="s">
        <v>64</v>
      </c>
      <c r="E133" s="155" t="s">
        <v>130</v>
      </c>
      <c r="F133" s="155" t="s">
        <v>131</v>
      </c>
      <c r="G133" s="155" t="s">
        <v>72</v>
      </c>
      <c r="H133" s="155" t="s">
        <v>113</v>
      </c>
      <c r="I133" s="155" t="s">
        <v>114</v>
      </c>
      <c r="J133" s="155" t="s">
        <v>169</v>
      </c>
      <c r="AC133" s="146"/>
    </row>
    <row r="134" ht="15.75" customHeight="1">
      <c r="A134" s="155">
        <v>4.0</v>
      </c>
      <c r="B134" s="163">
        <v>46165.0</v>
      </c>
      <c r="C134" s="155">
        <v>4.0</v>
      </c>
      <c r="D134" s="155" t="s">
        <v>64</v>
      </c>
      <c r="E134" s="155" t="s">
        <v>130</v>
      </c>
      <c r="F134" s="155" t="s">
        <v>131</v>
      </c>
      <c r="G134" s="155" t="s">
        <v>88</v>
      </c>
      <c r="H134" s="155" t="s">
        <v>95</v>
      </c>
      <c r="I134" s="155" t="s">
        <v>96</v>
      </c>
      <c r="J134" s="155" t="s">
        <v>168</v>
      </c>
      <c r="AC134" s="146"/>
    </row>
    <row r="135" ht="15.75" customHeight="1">
      <c r="A135" s="155">
        <v>4.0</v>
      </c>
      <c r="B135" s="163">
        <v>46165.0</v>
      </c>
      <c r="C135" s="155">
        <v>5.0</v>
      </c>
      <c r="D135" s="155" t="s">
        <v>64</v>
      </c>
      <c r="E135" s="155" t="s">
        <v>130</v>
      </c>
      <c r="F135" s="155" t="s">
        <v>131</v>
      </c>
      <c r="G135" s="155" t="s">
        <v>102</v>
      </c>
      <c r="H135" s="155" t="s">
        <v>95</v>
      </c>
      <c r="I135" s="155" t="s">
        <v>96</v>
      </c>
      <c r="J135" s="155" t="s">
        <v>169</v>
      </c>
      <c r="AC135" s="146"/>
    </row>
    <row r="136" ht="15.75" customHeight="1">
      <c r="A136" s="155">
        <v>4.0</v>
      </c>
      <c r="B136" s="163">
        <v>46165.0</v>
      </c>
      <c r="C136" s="155">
        <v>1.0</v>
      </c>
      <c r="D136" s="155" t="s">
        <v>67</v>
      </c>
      <c r="E136" s="155" t="s">
        <v>130</v>
      </c>
      <c r="F136" s="155" t="s">
        <v>73</v>
      </c>
      <c r="AC136" s="146"/>
    </row>
    <row r="137" ht="15.75" customHeight="1">
      <c r="A137" s="155">
        <v>4.0</v>
      </c>
      <c r="B137" s="163">
        <v>46165.0</v>
      </c>
      <c r="C137" s="155">
        <v>2.0</v>
      </c>
      <c r="D137" s="155" t="s">
        <v>67</v>
      </c>
      <c r="E137" s="155" t="s">
        <v>130</v>
      </c>
      <c r="F137" s="155" t="s">
        <v>73</v>
      </c>
      <c r="AC137" s="146"/>
    </row>
    <row r="138" ht="15.75" customHeight="1">
      <c r="A138" s="155">
        <v>4.0</v>
      </c>
      <c r="B138" s="163">
        <v>46165.0</v>
      </c>
      <c r="C138" s="155">
        <v>3.0</v>
      </c>
      <c r="D138" s="155" t="s">
        <v>67</v>
      </c>
      <c r="E138" s="155" t="s">
        <v>130</v>
      </c>
      <c r="F138" s="155" t="s">
        <v>73</v>
      </c>
      <c r="G138" s="155" t="s">
        <v>72</v>
      </c>
      <c r="H138" s="155" t="s">
        <v>113</v>
      </c>
      <c r="I138" s="155" t="s">
        <v>114</v>
      </c>
      <c r="J138" s="155" t="s">
        <v>169</v>
      </c>
      <c r="AC138" s="146"/>
    </row>
    <row r="139" ht="15.75" customHeight="1">
      <c r="A139" s="155">
        <v>4.0</v>
      </c>
      <c r="B139" s="163">
        <v>46165.0</v>
      </c>
      <c r="C139" s="155">
        <v>4.0</v>
      </c>
      <c r="D139" s="155" t="s">
        <v>67</v>
      </c>
      <c r="E139" s="155" t="s">
        <v>130</v>
      </c>
      <c r="F139" s="155" t="s">
        <v>73</v>
      </c>
      <c r="G139" s="155" t="s">
        <v>102</v>
      </c>
      <c r="H139" s="155" t="s">
        <v>95</v>
      </c>
      <c r="I139" s="155" t="s">
        <v>96</v>
      </c>
      <c r="J139" s="155" t="s">
        <v>169</v>
      </c>
      <c r="AC139" s="146"/>
    </row>
    <row r="140" ht="15.75" customHeight="1">
      <c r="A140" s="155">
        <v>4.0</v>
      </c>
      <c r="B140" s="163">
        <v>46165.0</v>
      </c>
      <c r="C140" s="155">
        <v>5.0</v>
      </c>
      <c r="D140" s="155" t="s">
        <v>67</v>
      </c>
      <c r="E140" s="155" t="s">
        <v>130</v>
      </c>
      <c r="F140" s="155" t="s">
        <v>73</v>
      </c>
      <c r="AC140" s="146"/>
    </row>
    <row r="141" ht="15.75" customHeight="1">
      <c r="A141" s="155">
        <v>4.0</v>
      </c>
      <c r="B141" s="163">
        <v>46165.0</v>
      </c>
      <c r="C141" s="155">
        <v>1.0</v>
      </c>
      <c r="D141" s="155" t="s">
        <v>132</v>
      </c>
      <c r="E141" s="155" t="s">
        <v>68</v>
      </c>
      <c r="F141" s="155" t="s">
        <v>115</v>
      </c>
      <c r="G141" s="155" t="s">
        <v>102</v>
      </c>
      <c r="H141" s="155" t="s">
        <v>95</v>
      </c>
      <c r="I141" s="155" t="s">
        <v>96</v>
      </c>
      <c r="J141" s="155" t="s">
        <v>168</v>
      </c>
      <c r="AC141" s="146"/>
    </row>
    <row r="142" ht="15.75" customHeight="1">
      <c r="A142" s="155">
        <v>4.0</v>
      </c>
      <c r="B142" s="163">
        <v>46165.0</v>
      </c>
      <c r="C142" s="155">
        <v>2.0</v>
      </c>
      <c r="D142" s="155" t="s">
        <v>132</v>
      </c>
      <c r="E142" s="155" t="s">
        <v>68</v>
      </c>
      <c r="F142" s="155" t="s">
        <v>115</v>
      </c>
      <c r="G142" s="155" t="s">
        <v>34</v>
      </c>
      <c r="H142" s="155" t="s">
        <v>78</v>
      </c>
      <c r="I142" s="155" t="s">
        <v>79</v>
      </c>
      <c r="J142" s="155" t="s">
        <v>168</v>
      </c>
      <c r="AC142" s="146"/>
    </row>
    <row r="143" ht="15.75" customHeight="1">
      <c r="A143" s="155">
        <v>4.0</v>
      </c>
      <c r="B143" s="163">
        <v>46165.0</v>
      </c>
      <c r="C143" s="155">
        <v>3.0</v>
      </c>
      <c r="D143" s="155" t="s">
        <v>132</v>
      </c>
      <c r="E143" s="155" t="s">
        <v>68</v>
      </c>
      <c r="F143" s="155" t="s">
        <v>115</v>
      </c>
      <c r="AC143" s="146"/>
    </row>
    <row r="144" ht="15.75" customHeight="1">
      <c r="A144" s="155">
        <v>4.0</v>
      </c>
      <c r="B144" s="163">
        <v>46165.0</v>
      </c>
      <c r="C144" s="155">
        <v>4.0</v>
      </c>
      <c r="D144" s="155" t="s">
        <v>132</v>
      </c>
      <c r="E144" s="155" t="s">
        <v>68</v>
      </c>
      <c r="F144" s="155" t="s">
        <v>115</v>
      </c>
      <c r="AC144" s="146"/>
    </row>
    <row r="145" ht="15.75" customHeight="1">
      <c r="A145" s="155">
        <v>4.0</v>
      </c>
      <c r="B145" s="163">
        <v>46165.0</v>
      </c>
      <c r="C145" s="155">
        <v>5.0</v>
      </c>
      <c r="D145" s="155" t="s">
        <v>132</v>
      </c>
      <c r="E145" s="155" t="s">
        <v>68</v>
      </c>
      <c r="F145" s="155" t="s">
        <v>115</v>
      </c>
      <c r="G145" s="155" t="s">
        <v>105</v>
      </c>
      <c r="H145" s="155" t="s">
        <v>135</v>
      </c>
      <c r="I145" s="155" t="s">
        <v>136</v>
      </c>
      <c r="J145" s="155" t="s">
        <v>168</v>
      </c>
      <c r="AC145" s="146"/>
    </row>
    <row r="146" ht="15.75" customHeight="1">
      <c r="A146" s="155">
        <v>4.0</v>
      </c>
      <c r="B146" s="163">
        <v>46165.0</v>
      </c>
      <c r="C146" s="155">
        <v>1.0</v>
      </c>
      <c r="D146" s="155" t="s">
        <v>87</v>
      </c>
      <c r="E146" s="155" t="s">
        <v>129</v>
      </c>
      <c r="F146" s="155" t="s">
        <v>79</v>
      </c>
      <c r="G146" s="155" t="s">
        <v>99</v>
      </c>
      <c r="H146" s="155" t="s">
        <v>100</v>
      </c>
      <c r="I146" s="155" t="s">
        <v>101</v>
      </c>
      <c r="J146" s="155" t="s">
        <v>168</v>
      </c>
      <c r="AC146" s="146"/>
    </row>
    <row r="147" ht="15.75" customHeight="1">
      <c r="A147" s="155">
        <v>4.0</v>
      </c>
      <c r="B147" s="163">
        <v>46165.0</v>
      </c>
      <c r="C147" s="155">
        <v>2.0</v>
      </c>
      <c r="D147" s="155" t="s">
        <v>87</v>
      </c>
      <c r="E147" s="155" t="s">
        <v>129</v>
      </c>
      <c r="F147" s="155" t="s">
        <v>79</v>
      </c>
      <c r="G147" s="155" t="s">
        <v>105</v>
      </c>
      <c r="H147" s="155" t="s">
        <v>135</v>
      </c>
      <c r="I147" s="155" t="s">
        <v>136</v>
      </c>
      <c r="J147" s="155" t="s">
        <v>168</v>
      </c>
      <c r="AC147" s="146"/>
    </row>
    <row r="148" ht="15.75" customHeight="1">
      <c r="A148" s="155">
        <v>4.0</v>
      </c>
      <c r="B148" s="163">
        <v>46165.0</v>
      </c>
      <c r="C148" s="155">
        <v>3.0</v>
      </c>
      <c r="D148" s="155" t="s">
        <v>87</v>
      </c>
      <c r="E148" s="155" t="s">
        <v>129</v>
      </c>
      <c r="F148" s="155" t="s">
        <v>79</v>
      </c>
      <c r="G148" s="155" t="s">
        <v>64</v>
      </c>
      <c r="H148" s="155" t="s">
        <v>130</v>
      </c>
      <c r="I148" s="155" t="s">
        <v>131</v>
      </c>
      <c r="J148" s="155" t="s">
        <v>168</v>
      </c>
      <c r="AC148" s="146"/>
    </row>
    <row r="149" ht="15.75" customHeight="1">
      <c r="A149" s="155">
        <v>4.0</v>
      </c>
      <c r="B149" s="163">
        <v>46165.0</v>
      </c>
      <c r="C149" s="155">
        <v>4.0</v>
      </c>
      <c r="D149" s="155" t="s">
        <v>87</v>
      </c>
      <c r="E149" s="155" t="s">
        <v>129</v>
      </c>
      <c r="F149" s="155" t="s">
        <v>79</v>
      </c>
      <c r="G149" s="155" t="s">
        <v>72</v>
      </c>
      <c r="H149" s="155" t="s">
        <v>113</v>
      </c>
      <c r="I149" s="155" t="s">
        <v>114</v>
      </c>
      <c r="J149" s="155" t="s">
        <v>168</v>
      </c>
      <c r="AC149" s="146"/>
    </row>
    <row r="150" ht="15.75" customHeight="1">
      <c r="A150" s="155">
        <v>4.0</v>
      </c>
      <c r="B150" s="163">
        <v>46165.0</v>
      </c>
      <c r="C150" s="155">
        <v>5.0</v>
      </c>
      <c r="D150" s="155" t="s">
        <v>87</v>
      </c>
      <c r="E150" s="155" t="s">
        <v>129</v>
      </c>
      <c r="F150" s="155" t="s">
        <v>79</v>
      </c>
      <c r="G150" s="155" t="s">
        <v>77</v>
      </c>
      <c r="H150" s="155" t="s">
        <v>109</v>
      </c>
      <c r="I150" s="155" t="s">
        <v>79</v>
      </c>
      <c r="J150" s="155" t="s">
        <v>169</v>
      </c>
      <c r="AC150" s="146"/>
    </row>
    <row r="151" ht="15.75" customHeight="1">
      <c r="A151" s="155">
        <v>2.0</v>
      </c>
      <c r="B151" s="163">
        <v>46151.0</v>
      </c>
      <c r="C151" s="155">
        <v>1.0</v>
      </c>
      <c r="D151" s="155" t="s">
        <v>72</v>
      </c>
      <c r="E151" s="155" t="s">
        <v>68</v>
      </c>
      <c r="F151" s="155" t="s">
        <v>73</v>
      </c>
      <c r="G151" s="155" t="s">
        <v>174</v>
      </c>
      <c r="H151" s="155" t="s">
        <v>174</v>
      </c>
      <c r="I151" s="155" t="s">
        <v>174</v>
      </c>
      <c r="J151" s="155" t="s">
        <v>168</v>
      </c>
      <c r="AC151" s="146"/>
    </row>
    <row r="152" ht="15.75" customHeight="1">
      <c r="A152" s="155">
        <v>2.0</v>
      </c>
      <c r="B152" s="163">
        <v>46151.0</v>
      </c>
      <c r="C152" s="155">
        <v>2.0</v>
      </c>
      <c r="D152" s="155" t="s">
        <v>72</v>
      </c>
      <c r="E152" s="155" t="s">
        <v>68</v>
      </c>
      <c r="F152" s="155" t="s">
        <v>73</v>
      </c>
      <c r="G152" s="155" t="s">
        <v>70</v>
      </c>
      <c r="H152" s="155" t="s">
        <v>68</v>
      </c>
      <c r="J152" s="155" t="s">
        <v>168</v>
      </c>
      <c r="AC152" s="146"/>
    </row>
    <row r="153" ht="15.75" customHeight="1">
      <c r="A153" s="155">
        <v>2.0</v>
      </c>
      <c r="B153" s="163">
        <v>46151.0</v>
      </c>
      <c r="C153" s="155">
        <v>3.0</v>
      </c>
      <c r="D153" s="155" t="s">
        <v>72</v>
      </c>
      <c r="E153" s="155" t="s">
        <v>68</v>
      </c>
      <c r="F153" s="155" t="s">
        <v>73</v>
      </c>
      <c r="G153" s="155" t="s">
        <v>88</v>
      </c>
      <c r="H153" s="155" t="s">
        <v>68</v>
      </c>
      <c r="I153" s="155" t="s">
        <v>73</v>
      </c>
      <c r="J153" s="155" t="s">
        <v>169</v>
      </c>
      <c r="AC153" s="146"/>
    </row>
    <row r="154" ht="15.75" customHeight="1">
      <c r="A154" s="155">
        <v>2.0</v>
      </c>
      <c r="B154" s="163">
        <v>46151.0</v>
      </c>
      <c r="C154" s="155">
        <v>4.0</v>
      </c>
      <c r="D154" s="155" t="s">
        <v>72</v>
      </c>
      <c r="E154" s="155" t="s">
        <v>68</v>
      </c>
      <c r="F154" s="155" t="s">
        <v>73</v>
      </c>
      <c r="G154" s="155" t="s">
        <v>94</v>
      </c>
      <c r="H154" s="155" t="s">
        <v>95</v>
      </c>
      <c r="I154" s="155" t="s">
        <v>96</v>
      </c>
      <c r="J154" s="155" t="s">
        <v>168</v>
      </c>
      <c r="AC154" s="146"/>
    </row>
    <row r="155" ht="15.75" customHeight="1">
      <c r="A155" s="155">
        <v>2.0</v>
      </c>
      <c r="B155" s="163">
        <v>46151.0</v>
      </c>
      <c r="C155" s="155">
        <v>5.0</v>
      </c>
      <c r="D155" s="155" t="s">
        <v>72</v>
      </c>
      <c r="E155" s="155" t="s">
        <v>68</v>
      </c>
      <c r="F155" s="155" t="s">
        <v>73</v>
      </c>
      <c r="G155" s="155" t="s">
        <v>99</v>
      </c>
      <c r="H155" s="155" t="s">
        <v>100</v>
      </c>
      <c r="I155" s="155" t="s">
        <v>101</v>
      </c>
      <c r="J155" s="155" t="s">
        <v>169</v>
      </c>
      <c r="AC155" s="146"/>
    </row>
    <row r="156" ht="15.75" customHeight="1">
      <c r="A156" s="155">
        <v>6.0</v>
      </c>
      <c r="B156" s="163">
        <v>46179.0</v>
      </c>
      <c r="C156" s="155">
        <v>1.0</v>
      </c>
      <c r="D156" s="155" t="s">
        <v>128</v>
      </c>
      <c r="E156" s="155" t="s">
        <v>92</v>
      </c>
      <c r="F156" s="155" t="s">
        <v>93</v>
      </c>
      <c r="G156" s="155" t="s">
        <v>132</v>
      </c>
      <c r="H156" s="155" t="s">
        <v>68</v>
      </c>
      <c r="I156" s="155" t="s">
        <v>178</v>
      </c>
      <c r="J156" s="155" t="s">
        <v>169</v>
      </c>
      <c r="AC156" s="146"/>
    </row>
    <row r="157" ht="15.75" customHeight="1">
      <c r="A157" s="155">
        <v>6.0</v>
      </c>
      <c r="B157" s="163">
        <v>46179.0</v>
      </c>
      <c r="C157" s="155">
        <v>2.0</v>
      </c>
      <c r="D157" s="155" t="s">
        <v>128</v>
      </c>
      <c r="E157" s="155" t="s">
        <v>92</v>
      </c>
      <c r="F157" s="155" t="s">
        <v>93</v>
      </c>
      <c r="G157" s="155" t="s">
        <v>105</v>
      </c>
      <c r="H157" s="155" t="s">
        <v>92</v>
      </c>
      <c r="I157" s="155" t="s">
        <v>145</v>
      </c>
      <c r="J157" s="155" t="s">
        <v>169</v>
      </c>
      <c r="AC157" s="146"/>
    </row>
    <row r="158" ht="15.75" customHeight="1">
      <c r="A158" s="155">
        <v>6.0</v>
      </c>
      <c r="B158" s="163">
        <v>46179.0</v>
      </c>
      <c r="C158" s="155">
        <v>3.0</v>
      </c>
      <c r="D158" s="155" t="s">
        <v>128</v>
      </c>
      <c r="E158" s="155" t="s">
        <v>92</v>
      </c>
      <c r="F158" s="155" t="s">
        <v>93</v>
      </c>
      <c r="G158" s="155" t="s">
        <v>179</v>
      </c>
      <c r="H158" s="155" t="s">
        <v>109</v>
      </c>
      <c r="I158" s="155" t="s">
        <v>144</v>
      </c>
      <c r="J158" s="155" t="s">
        <v>169</v>
      </c>
      <c r="AC158" s="146"/>
    </row>
    <row r="159" ht="15.75" customHeight="1">
      <c r="A159" s="155">
        <v>6.0</v>
      </c>
      <c r="B159" s="163">
        <v>46179.0</v>
      </c>
      <c r="C159" s="155">
        <v>4.0</v>
      </c>
      <c r="D159" s="155" t="s">
        <v>128</v>
      </c>
      <c r="E159" s="155" t="s">
        <v>92</v>
      </c>
      <c r="F159" s="155" t="s">
        <v>93</v>
      </c>
      <c r="G159" s="155" t="s">
        <v>70</v>
      </c>
      <c r="H159" s="155" t="s">
        <v>140</v>
      </c>
      <c r="I159" s="155" t="s">
        <v>86</v>
      </c>
      <c r="J159" s="155" t="s">
        <v>168</v>
      </c>
      <c r="AC159" s="146"/>
    </row>
    <row r="160" ht="15.75" customHeight="1">
      <c r="A160" s="155">
        <v>6.0</v>
      </c>
      <c r="B160" s="163">
        <v>46179.0</v>
      </c>
      <c r="C160" s="155">
        <v>1.0</v>
      </c>
      <c r="D160" s="155" t="s">
        <v>132</v>
      </c>
      <c r="E160" s="155" t="s">
        <v>68</v>
      </c>
      <c r="F160" s="155" t="s">
        <v>131</v>
      </c>
      <c r="G160" s="155" t="s">
        <v>128</v>
      </c>
      <c r="H160" s="155" t="s">
        <v>92</v>
      </c>
      <c r="I160" s="155" t="s">
        <v>93</v>
      </c>
      <c r="J160" s="155" t="s">
        <v>168</v>
      </c>
      <c r="AC160" s="146"/>
    </row>
    <row r="161" ht="15.75" customHeight="1">
      <c r="A161" s="155">
        <v>6.0</v>
      </c>
      <c r="B161" s="163">
        <v>46179.0</v>
      </c>
      <c r="C161" s="155">
        <v>2.0</v>
      </c>
      <c r="D161" s="155" t="s">
        <v>132</v>
      </c>
      <c r="E161" s="155" t="s">
        <v>68</v>
      </c>
      <c r="F161" s="155" t="s">
        <v>131</v>
      </c>
      <c r="G161" s="155" t="s">
        <v>70</v>
      </c>
      <c r="H161" s="155" t="s">
        <v>140</v>
      </c>
      <c r="I161" s="155" t="s">
        <v>86</v>
      </c>
      <c r="J161" s="155" t="s">
        <v>169</v>
      </c>
      <c r="AC161" s="146"/>
    </row>
    <row r="162" ht="15.75" customHeight="1">
      <c r="A162" s="155">
        <v>6.0</v>
      </c>
      <c r="B162" s="163">
        <v>46179.0</v>
      </c>
      <c r="C162" s="155">
        <v>3.0</v>
      </c>
      <c r="D162" s="155" t="s">
        <v>132</v>
      </c>
      <c r="E162" s="155" t="s">
        <v>68</v>
      </c>
      <c r="F162" s="155" t="s">
        <v>131</v>
      </c>
      <c r="G162" s="155" t="s">
        <v>87</v>
      </c>
      <c r="H162" s="155" t="s">
        <v>139</v>
      </c>
      <c r="I162" s="155" t="s">
        <v>142</v>
      </c>
      <c r="J162" s="155" t="s">
        <v>169</v>
      </c>
      <c r="AC162" s="146"/>
    </row>
    <row r="163" ht="15.75" customHeight="1">
      <c r="A163" s="155">
        <v>6.0</v>
      </c>
      <c r="B163" s="163">
        <v>46179.0</v>
      </c>
      <c r="C163" s="155">
        <v>4.0</v>
      </c>
      <c r="D163" s="155" t="s">
        <v>132</v>
      </c>
      <c r="E163" s="155" t="s">
        <v>68</v>
      </c>
      <c r="F163" s="155" t="s">
        <v>131</v>
      </c>
      <c r="AC163" s="146"/>
    </row>
    <row r="164" ht="15.75" customHeight="1">
      <c r="A164" s="155">
        <v>6.0</v>
      </c>
      <c r="B164" s="163">
        <v>46179.0</v>
      </c>
      <c r="C164" s="155">
        <v>1.0</v>
      </c>
      <c r="D164" s="155" t="s">
        <v>105</v>
      </c>
      <c r="E164" s="155" t="s">
        <v>92</v>
      </c>
      <c r="F164" s="155" t="s">
        <v>180</v>
      </c>
      <c r="G164" s="155" t="s">
        <v>105</v>
      </c>
      <c r="H164" s="155" t="s">
        <v>92</v>
      </c>
      <c r="I164" s="155" t="s">
        <v>145</v>
      </c>
      <c r="J164" s="155" t="s">
        <v>168</v>
      </c>
      <c r="AC164" s="146"/>
    </row>
    <row r="165" ht="15.75" customHeight="1">
      <c r="A165" s="155">
        <v>6.0</v>
      </c>
      <c r="B165" s="163">
        <v>46179.0</v>
      </c>
      <c r="C165" s="155">
        <v>2.0</v>
      </c>
      <c r="D165" s="155" t="s">
        <v>105</v>
      </c>
      <c r="E165" s="155" t="s">
        <v>92</v>
      </c>
      <c r="F165" s="155" t="s">
        <v>180</v>
      </c>
      <c r="G165" s="155" t="s">
        <v>128</v>
      </c>
      <c r="H165" s="155" t="s">
        <v>92</v>
      </c>
      <c r="I165" s="155" t="s">
        <v>93</v>
      </c>
      <c r="J165" s="155" t="s">
        <v>168</v>
      </c>
      <c r="AC165" s="146"/>
    </row>
    <row r="166" ht="15.75" customHeight="1">
      <c r="A166" s="155">
        <v>6.0</v>
      </c>
      <c r="B166" s="163">
        <v>46179.0</v>
      </c>
      <c r="C166" s="155">
        <v>3.0</v>
      </c>
      <c r="D166" s="155" t="s">
        <v>105</v>
      </c>
      <c r="E166" s="155" t="s">
        <v>92</v>
      </c>
      <c r="F166" s="155" t="s">
        <v>180</v>
      </c>
      <c r="AC166" s="146"/>
    </row>
    <row r="167" ht="15.75" customHeight="1">
      <c r="A167" s="155">
        <v>6.0</v>
      </c>
      <c r="B167" s="163">
        <v>46179.0</v>
      </c>
      <c r="C167" s="155">
        <v>4.0</v>
      </c>
      <c r="D167" s="155" t="s">
        <v>105</v>
      </c>
      <c r="E167" s="155" t="s">
        <v>92</v>
      </c>
      <c r="F167" s="155" t="s">
        <v>180</v>
      </c>
      <c r="G167" s="155" t="s">
        <v>179</v>
      </c>
      <c r="H167" s="155" t="s">
        <v>109</v>
      </c>
      <c r="I167" s="155" t="s">
        <v>144</v>
      </c>
      <c r="J167" s="155" t="s">
        <v>169</v>
      </c>
      <c r="AC167" s="146"/>
    </row>
    <row r="168" ht="15.75" customHeight="1">
      <c r="A168" s="155">
        <v>6.0</v>
      </c>
      <c r="B168" s="163">
        <v>46179.0</v>
      </c>
      <c r="C168" s="155">
        <v>1.0</v>
      </c>
      <c r="D168" s="155" t="s">
        <v>179</v>
      </c>
      <c r="E168" s="155" t="s">
        <v>109</v>
      </c>
      <c r="F168" s="155" t="s">
        <v>144</v>
      </c>
      <c r="G168" s="155" t="s">
        <v>34</v>
      </c>
      <c r="H168" s="155" t="s">
        <v>130</v>
      </c>
      <c r="I168" s="155" t="s">
        <v>73</v>
      </c>
      <c r="J168" s="155" t="s">
        <v>169</v>
      </c>
      <c r="AC168" s="146"/>
    </row>
    <row r="169" ht="15.75" customHeight="1">
      <c r="A169" s="155">
        <v>6.0</v>
      </c>
      <c r="B169" s="163">
        <v>46179.0</v>
      </c>
      <c r="C169" s="155">
        <v>2.0</v>
      </c>
      <c r="D169" s="155" t="s">
        <v>179</v>
      </c>
      <c r="E169" s="155" t="s">
        <v>109</v>
      </c>
      <c r="F169" s="155" t="s">
        <v>144</v>
      </c>
      <c r="G169" s="155" t="s">
        <v>102</v>
      </c>
      <c r="H169" s="155" t="s">
        <v>143</v>
      </c>
      <c r="I169" s="155" t="s">
        <v>79</v>
      </c>
      <c r="J169" s="155" t="s">
        <v>169</v>
      </c>
      <c r="AC169" s="146"/>
    </row>
    <row r="170" ht="15.75" customHeight="1">
      <c r="A170" s="155">
        <v>6.0</v>
      </c>
      <c r="B170" s="163">
        <v>46179.0</v>
      </c>
      <c r="C170" s="155">
        <v>3.0</v>
      </c>
      <c r="D170" s="155" t="s">
        <v>179</v>
      </c>
      <c r="E170" s="155" t="s">
        <v>109</v>
      </c>
      <c r="F170" s="155" t="s">
        <v>144</v>
      </c>
      <c r="G170" s="155" t="s">
        <v>128</v>
      </c>
      <c r="H170" s="155" t="s">
        <v>92</v>
      </c>
      <c r="I170" s="155" t="s">
        <v>93</v>
      </c>
      <c r="J170" s="155" t="s">
        <v>168</v>
      </c>
      <c r="AC170" s="146"/>
    </row>
    <row r="171" ht="15.75" customHeight="1">
      <c r="A171" s="155">
        <v>6.0</v>
      </c>
      <c r="B171" s="163">
        <v>46179.0</v>
      </c>
      <c r="C171" s="155">
        <v>4.0</v>
      </c>
      <c r="D171" s="155" t="s">
        <v>179</v>
      </c>
      <c r="E171" s="155" t="s">
        <v>109</v>
      </c>
      <c r="F171" s="155" t="s">
        <v>144</v>
      </c>
      <c r="G171" s="155" t="s">
        <v>105</v>
      </c>
      <c r="H171" s="155" t="s">
        <v>92</v>
      </c>
      <c r="I171" s="155" t="s">
        <v>145</v>
      </c>
      <c r="J171" s="155" t="s">
        <v>168</v>
      </c>
      <c r="AC171" s="146"/>
    </row>
    <row r="172" ht="15.75" customHeight="1">
      <c r="A172" s="155">
        <v>6.0</v>
      </c>
      <c r="B172" s="163">
        <v>46179.0</v>
      </c>
      <c r="C172" s="155">
        <v>1.0</v>
      </c>
      <c r="D172" s="155" t="s">
        <v>70</v>
      </c>
      <c r="E172" s="155" t="s">
        <v>140</v>
      </c>
      <c r="F172" s="155" t="s">
        <v>146</v>
      </c>
      <c r="G172" s="155" t="s">
        <v>87</v>
      </c>
      <c r="H172" s="155" t="s">
        <v>139</v>
      </c>
      <c r="I172" s="155" t="s">
        <v>142</v>
      </c>
      <c r="J172" s="155" t="s">
        <v>169</v>
      </c>
      <c r="AC172" s="146"/>
    </row>
    <row r="173" ht="15.75" customHeight="1">
      <c r="A173" s="155">
        <v>6.0</v>
      </c>
      <c r="B173" s="163">
        <v>46179.0</v>
      </c>
      <c r="C173" s="155">
        <v>2.0</v>
      </c>
      <c r="D173" s="155" t="s">
        <v>70</v>
      </c>
      <c r="E173" s="155" t="s">
        <v>140</v>
      </c>
      <c r="F173" s="155" t="s">
        <v>146</v>
      </c>
      <c r="G173" s="155" t="s">
        <v>132</v>
      </c>
      <c r="H173" s="155" t="s">
        <v>68</v>
      </c>
      <c r="I173" s="155" t="s">
        <v>131</v>
      </c>
      <c r="J173" s="155" t="s">
        <v>168</v>
      </c>
      <c r="AC173" s="146"/>
    </row>
    <row r="174" ht="15.75" customHeight="1">
      <c r="A174" s="155">
        <v>6.0</v>
      </c>
      <c r="B174" s="163">
        <v>46179.0</v>
      </c>
      <c r="C174" s="155">
        <v>3.0</v>
      </c>
      <c r="D174" s="155" t="s">
        <v>70</v>
      </c>
      <c r="E174" s="155" t="s">
        <v>140</v>
      </c>
      <c r="F174" s="155" t="s">
        <v>146</v>
      </c>
      <c r="G174" s="155" t="s">
        <v>34</v>
      </c>
      <c r="H174" s="155" t="s">
        <v>130</v>
      </c>
      <c r="I174" s="155" t="s">
        <v>73</v>
      </c>
      <c r="J174" s="155" t="s">
        <v>169</v>
      </c>
      <c r="AC174" s="146"/>
    </row>
    <row r="175" ht="15.75" customHeight="1">
      <c r="A175" s="155">
        <v>6.0</v>
      </c>
      <c r="B175" s="163">
        <v>46179.0</v>
      </c>
      <c r="C175" s="155">
        <v>4.0</v>
      </c>
      <c r="D175" s="155" t="s">
        <v>70</v>
      </c>
      <c r="E175" s="155" t="s">
        <v>140</v>
      </c>
      <c r="F175" s="155" t="s">
        <v>146</v>
      </c>
      <c r="G175" s="155" t="s">
        <v>128</v>
      </c>
      <c r="H175" s="155" t="s">
        <v>92</v>
      </c>
      <c r="I175" s="155" t="s">
        <v>93</v>
      </c>
      <c r="J175" s="155" t="s">
        <v>169</v>
      </c>
      <c r="AC175" s="146"/>
    </row>
    <row r="176" ht="15.75" customHeight="1">
      <c r="A176" s="155">
        <v>6.0</v>
      </c>
      <c r="B176" s="163">
        <v>46179.0</v>
      </c>
      <c r="C176" s="155">
        <v>1.0</v>
      </c>
      <c r="D176" s="155" t="s">
        <v>77</v>
      </c>
      <c r="E176" s="155" t="s">
        <v>139</v>
      </c>
      <c r="F176" s="155" t="s">
        <v>131</v>
      </c>
      <c r="G176" s="155" t="s">
        <v>102</v>
      </c>
      <c r="H176" s="155" t="s">
        <v>143</v>
      </c>
      <c r="I176" s="155" t="s">
        <v>79</v>
      </c>
      <c r="J176" s="155" t="s">
        <v>168</v>
      </c>
      <c r="AC176" s="146"/>
    </row>
    <row r="177" ht="15.75" customHeight="1">
      <c r="A177" s="155">
        <v>6.0</v>
      </c>
      <c r="B177" s="163">
        <v>46179.0</v>
      </c>
      <c r="C177" s="155">
        <v>2.0</v>
      </c>
      <c r="D177" s="155" t="s">
        <v>77</v>
      </c>
      <c r="E177" s="155" t="s">
        <v>139</v>
      </c>
      <c r="F177" s="155" t="s">
        <v>131</v>
      </c>
      <c r="G177" s="155" t="s">
        <v>34</v>
      </c>
      <c r="H177" s="155" t="s">
        <v>130</v>
      </c>
      <c r="I177" s="155" t="s">
        <v>73</v>
      </c>
      <c r="J177" s="155" t="s">
        <v>168</v>
      </c>
      <c r="AC177" s="146"/>
    </row>
    <row r="178" ht="15.75" customHeight="1">
      <c r="A178" s="155">
        <v>6.0</v>
      </c>
      <c r="B178" s="163">
        <v>46179.0</v>
      </c>
      <c r="C178" s="155">
        <v>3.0</v>
      </c>
      <c r="D178" s="155" t="s">
        <v>77</v>
      </c>
      <c r="E178" s="155" t="s">
        <v>139</v>
      </c>
      <c r="F178" s="155" t="s">
        <v>131</v>
      </c>
      <c r="G178" s="155" t="s">
        <v>91</v>
      </c>
      <c r="H178" s="155" t="s">
        <v>68</v>
      </c>
      <c r="I178" s="155" t="s">
        <v>79</v>
      </c>
      <c r="J178" s="155" t="s">
        <v>169</v>
      </c>
      <c r="AC178" s="146"/>
    </row>
    <row r="179" ht="15.75" customHeight="1">
      <c r="A179" s="155">
        <v>6.0</v>
      </c>
      <c r="B179" s="163">
        <v>46179.0</v>
      </c>
      <c r="C179" s="155">
        <v>4.0</v>
      </c>
      <c r="D179" s="155" t="s">
        <v>77</v>
      </c>
      <c r="E179" s="155" t="s">
        <v>139</v>
      </c>
      <c r="F179" s="155" t="s">
        <v>131</v>
      </c>
      <c r="G179" s="155" t="s">
        <v>87</v>
      </c>
      <c r="H179" s="155" t="s">
        <v>139</v>
      </c>
      <c r="I179" s="155" t="s">
        <v>142</v>
      </c>
      <c r="J179" s="155" t="s">
        <v>169</v>
      </c>
      <c r="AC179" s="146"/>
    </row>
    <row r="180" ht="15.75" customHeight="1">
      <c r="A180" s="155">
        <v>6.0</v>
      </c>
      <c r="B180" s="163">
        <v>46179.0</v>
      </c>
      <c r="C180" s="155">
        <v>1.0</v>
      </c>
      <c r="D180" s="155" t="s">
        <v>102</v>
      </c>
      <c r="E180" s="155" t="s">
        <v>143</v>
      </c>
      <c r="F180" s="155" t="s">
        <v>79</v>
      </c>
      <c r="G180" s="155" t="s">
        <v>77</v>
      </c>
      <c r="H180" s="155" t="s">
        <v>139</v>
      </c>
      <c r="I180" s="155" t="s">
        <v>131</v>
      </c>
      <c r="J180" s="155" t="s">
        <v>169</v>
      </c>
      <c r="AC180" s="146"/>
    </row>
    <row r="181" ht="15.75" customHeight="1">
      <c r="A181" s="155">
        <v>6.0</v>
      </c>
      <c r="B181" s="163">
        <v>46179.0</v>
      </c>
      <c r="C181" s="155">
        <v>2.0</v>
      </c>
      <c r="D181" s="155" t="s">
        <v>102</v>
      </c>
      <c r="E181" s="155" t="s">
        <v>143</v>
      </c>
      <c r="F181" s="155" t="s">
        <v>79</v>
      </c>
      <c r="G181" s="155" t="s">
        <v>179</v>
      </c>
      <c r="H181" s="155" t="s">
        <v>109</v>
      </c>
      <c r="I181" s="155" t="s">
        <v>144</v>
      </c>
      <c r="J181" s="155" t="s">
        <v>168</v>
      </c>
      <c r="AC181" s="146"/>
    </row>
    <row r="182" ht="15.75" customHeight="1">
      <c r="A182" s="155">
        <v>6.0</v>
      </c>
      <c r="B182" s="163">
        <v>46179.0</v>
      </c>
      <c r="C182" s="155">
        <v>3.0</v>
      </c>
      <c r="D182" s="155" t="s">
        <v>102</v>
      </c>
      <c r="E182" s="155" t="s">
        <v>143</v>
      </c>
      <c r="F182" s="155" t="s">
        <v>79</v>
      </c>
      <c r="J182" s="155" t="s">
        <v>168</v>
      </c>
      <c r="AC182" s="146"/>
    </row>
    <row r="183" ht="15.75" customHeight="1">
      <c r="A183" s="155">
        <v>6.0</v>
      </c>
      <c r="B183" s="163">
        <v>46179.0</v>
      </c>
      <c r="C183" s="155">
        <v>4.0</v>
      </c>
      <c r="D183" s="155" t="s">
        <v>102</v>
      </c>
      <c r="E183" s="155" t="s">
        <v>143</v>
      </c>
      <c r="F183" s="155" t="s">
        <v>79</v>
      </c>
      <c r="J183" s="155" t="s">
        <v>168</v>
      </c>
      <c r="AC183" s="146"/>
    </row>
    <row r="184" ht="15.75" customHeight="1">
      <c r="A184" s="155">
        <v>6.0</v>
      </c>
      <c r="B184" s="163">
        <v>46179.0</v>
      </c>
      <c r="C184" s="155">
        <v>1.0</v>
      </c>
      <c r="D184" s="155" t="s">
        <v>34</v>
      </c>
      <c r="E184" s="155" t="s">
        <v>130</v>
      </c>
      <c r="F184" s="155" t="s">
        <v>73</v>
      </c>
      <c r="H184" s="155" t="s">
        <v>109</v>
      </c>
      <c r="I184" s="155" t="s">
        <v>144</v>
      </c>
      <c r="J184" s="155" t="s">
        <v>168</v>
      </c>
      <c r="AC184" s="146"/>
    </row>
    <row r="185" ht="15.75" customHeight="1">
      <c r="A185" s="155">
        <v>6.0</v>
      </c>
      <c r="B185" s="163">
        <v>46179.0</v>
      </c>
      <c r="C185" s="155">
        <v>2.0</v>
      </c>
      <c r="D185" s="155" t="s">
        <v>34</v>
      </c>
      <c r="E185" s="155" t="s">
        <v>130</v>
      </c>
      <c r="F185" s="155" t="s">
        <v>73</v>
      </c>
      <c r="G185" s="155" t="s">
        <v>77</v>
      </c>
      <c r="H185" s="155" t="s">
        <v>139</v>
      </c>
      <c r="I185" s="155" t="s">
        <v>131</v>
      </c>
      <c r="J185" s="155" t="s">
        <v>169</v>
      </c>
      <c r="AC185" s="146"/>
    </row>
    <row r="186" ht="15.75" customHeight="1">
      <c r="A186" s="155">
        <v>6.0</v>
      </c>
      <c r="B186" s="163">
        <v>46179.0</v>
      </c>
      <c r="C186" s="155">
        <v>3.0</v>
      </c>
      <c r="D186" s="155" t="s">
        <v>34</v>
      </c>
      <c r="E186" s="155" t="s">
        <v>130</v>
      </c>
      <c r="F186" s="155" t="s">
        <v>73</v>
      </c>
      <c r="G186" s="155" t="s">
        <v>70</v>
      </c>
      <c r="H186" s="155" t="s">
        <v>140</v>
      </c>
      <c r="I186" s="155" t="s">
        <v>86</v>
      </c>
      <c r="J186" s="155" t="s">
        <v>168</v>
      </c>
      <c r="AC186" s="146"/>
    </row>
    <row r="187" ht="15.75" customHeight="1">
      <c r="A187" s="155">
        <v>6.0</v>
      </c>
      <c r="B187" s="163">
        <v>46179.0</v>
      </c>
      <c r="C187" s="155">
        <v>4.0</v>
      </c>
      <c r="D187" s="155" t="s">
        <v>34</v>
      </c>
      <c r="E187" s="155" t="s">
        <v>130</v>
      </c>
      <c r="F187" s="155" t="s">
        <v>73</v>
      </c>
      <c r="G187" s="155" t="s">
        <v>91</v>
      </c>
      <c r="H187" s="155" t="s">
        <v>68</v>
      </c>
      <c r="I187" s="155" t="s">
        <v>79</v>
      </c>
      <c r="J187" s="155" t="s">
        <v>169</v>
      </c>
      <c r="AC187" s="146"/>
    </row>
    <row r="188" ht="15.75" customHeight="1">
      <c r="A188" s="155">
        <v>6.0</v>
      </c>
      <c r="B188" s="163">
        <v>46179.0</v>
      </c>
      <c r="C188" s="155">
        <v>1.0</v>
      </c>
      <c r="D188" s="155" t="s">
        <v>91</v>
      </c>
      <c r="E188" s="155" t="s">
        <v>68</v>
      </c>
      <c r="F188" s="155" t="s">
        <v>79</v>
      </c>
      <c r="G188" s="155" t="s">
        <v>105</v>
      </c>
      <c r="H188" s="155" t="s">
        <v>92</v>
      </c>
      <c r="I188" s="155" t="s">
        <v>145</v>
      </c>
      <c r="J188" s="155" t="s">
        <v>169</v>
      </c>
      <c r="AC188" s="146"/>
    </row>
    <row r="189" ht="15.75" customHeight="1">
      <c r="A189" s="155">
        <v>6.0</v>
      </c>
      <c r="B189" s="163">
        <v>46179.0</v>
      </c>
      <c r="C189" s="155">
        <v>2.0</v>
      </c>
      <c r="D189" s="155" t="s">
        <v>91</v>
      </c>
      <c r="E189" s="155" t="s">
        <v>68</v>
      </c>
      <c r="F189" s="155" t="s">
        <v>79</v>
      </c>
      <c r="G189" s="155" t="s">
        <v>87</v>
      </c>
      <c r="H189" s="155" t="s">
        <v>139</v>
      </c>
      <c r="I189" s="155" t="s">
        <v>142</v>
      </c>
      <c r="J189" s="155" t="s">
        <v>168</v>
      </c>
      <c r="AC189" s="146"/>
    </row>
    <row r="190" ht="15.75" customHeight="1">
      <c r="A190" s="155">
        <v>6.0</v>
      </c>
      <c r="B190" s="163">
        <v>46179.0</v>
      </c>
      <c r="C190" s="155">
        <v>3.0</v>
      </c>
      <c r="D190" s="155" t="s">
        <v>91</v>
      </c>
      <c r="E190" s="155" t="s">
        <v>68</v>
      </c>
      <c r="F190" s="155" t="s">
        <v>79</v>
      </c>
      <c r="G190" s="155" t="s">
        <v>77</v>
      </c>
      <c r="H190" s="155" t="s">
        <v>139</v>
      </c>
      <c r="I190" s="155" t="s">
        <v>131</v>
      </c>
      <c r="J190" s="155" t="s">
        <v>168</v>
      </c>
      <c r="AC190" s="146"/>
    </row>
    <row r="191" ht="15.75" customHeight="1">
      <c r="A191" s="155">
        <v>6.0</v>
      </c>
      <c r="B191" s="163">
        <v>46179.0</v>
      </c>
      <c r="C191" s="155">
        <v>4.0</v>
      </c>
      <c r="D191" s="155" t="s">
        <v>91</v>
      </c>
      <c r="E191" s="155" t="s">
        <v>68</v>
      </c>
      <c r="F191" s="155" t="s">
        <v>79</v>
      </c>
      <c r="G191" s="155" t="s">
        <v>34</v>
      </c>
      <c r="H191" s="155" t="s">
        <v>130</v>
      </c>
      <c r="I191" s="155" t="s">
        <v>73</v>
      </c>
      <c r="J191" s="155" t="s">
        <v>168</v>
      </c>
      <c r="AC191" s="146"/>
    </row>
    <row r="192" ht="15.75" customHeight="1">
      <c r="A192" s="155">
        <v>6.0</v>
      </c>
      <c r="B192" s="163">
        <v>46179.0</v>
      </c>
      <c r="C192" s="155">
        <v>1.0</v>
      </c>
      <c r="D192" s="155" t="s">
        <v>87</v>
      </c>
      <c r="E192" s="155" t="s">
        <v>139</v>
      </c>
      <c r="F192" s="155" t="s">
        <v>142</v>
      </c>
      <c r="G192" s="155" t="s">
        <v>70</v>
      </c>
      <c r="H192" s="155" t="s">
        <v>140</v>
      </c>
      <c r="I192" s="155" t="s">
        <v>86</v>
      </c>
      <c r="J192" s="155" t="s">
        <v>168</v>
      </c>
      <c r="AC192" s="146"/>
    </row>
    <row r="193" ht="15.75" customHeight="1">
      <c r="A193" s="155">
        <v>6.0</v>
      </c>
      <c r="B193" s="163">
        <v>46179.0</v>
      </c>
      <c r="C193" s="155">
        <v>2.0</v>
      </c>
      <c r="D193" s="155" t="s">
        <v>87</v>
      </c>
      <c r="E193" s="155" t="s">
        <v>139</v>
      </c>
      <c r="F193" s="155" t="s">
        <v>142</v>
      </c>
      <c r="G193" s="155" t="s">
        <v>91</v>
      </c>
      <c r="H193" s="155" t="s">
        <v>68</v>
      </c>
      <c r="I193" s="155" t="s">
        <v>79</v>
      </c>
      <c r="J193" s="155" t="s">
        <v>169</v>
      </c>
      <c r="AC193" s="146"/>
    </row>
    <row r="194" ht="15.75" customHeight="1">
      <c r="A194" s="155">
        <v>6.0</v>
      </c>
      <c r="B194" s="163">
        <v>46179.0</v>
      </c>
      <c r="C194" s="155">
        <v>3.0</v>
      </c>
      <c r="D194" s="155" t="s">
        <v>87</v>
      </c>
      <c r="E194" s="155" t="s">
        <v>139</v>
      </c>
      <c r="F194" s="155" t="s">
        <v>142</v>
      </c>
      <c r="G194" s="155" t="s">
        <v>132</v>
      </c>
      <c r="H194" s="155" t="s">
        <v>68</v>
      </c>
      <c r="I194" s="155" t="s">
        <v>131</v>
      </c>
      <c r="J194" s="155" t="s">
        <v>168</v>
      </c>
      <c r="AC194" s="146"/>
    </row>
    <row r="195" ht="15.75" customHeight="1">
      <c r="A195" s="155">
        <v>6.0</v>
      </c>
      <c r="B195" s="163">
        <v>46179.0</v>
      </c>
      <c r="C195" s="155">
        <v>4.0</v>
      </c>
      <c r="D195" s="155" t="s">
        <v>87</v>
      </c>
      <c r="E195" s="155" t="s">
        <v>139</v>
      </c>
      <c r="F195" s="155" t="s">
        <v>142</v>
      </c>
      <c r="G195" s="155" t="s">
        <v>77</v>
      </c>
      <c r="H195" s="155" t="s">
        <v>139</v>
      </c>
      <c r="I195" s="155" t="s">
        <v>131</v>
      </c>
      <c r="J195" s="155" t="s">
        <v>168</v>
      </c>
      <c r="AC195" s="146"/>
    </row>
    <row r="196" ht="15.75" customHeight="1">
      <c r="A196" s="155">
        <v>6.0</v>
      </c>
      <c r="B196" s="163">
        <v>46179.0</v>
      </c>
      <c r="C196" s="155">
        <v>1.0</v>
      </c>
      <c r="D196" s="155" t="s">
        <v>64</v>
      </c>
      <c r="J196" s="155" t="s">
        <v>169</v>
      </c>
      <c r="AC196" s="146"/>
    </row>
    <row r="197" ht="15.75" customHeight="1">
      <c r="A197" s="155">
        <v>6.0</v>
      </c>
      <c r="B197" s="163">
        <v>46179.0</v>
      </c>
      <c r="C197" s="155">
        <v>2.0</v>
      </c>
      <c r="D197" s="155" t="s">
        <v>64</v>
      </c>
      <c r="J197" s="155" t="s">
        <v>169</v>
      </c>
      <c r="AC197" s="146"/>
    </row>
    <row r="198" ht="15.75" customHeight="1">
      <c r="A198" s="155">
        <v>6.0</v>
      </c>
      <c r="B198" s="163">
        <v>46179.0</v>
      </c>
      <c r="C198" s="155">
        <v>3.0</v>
      </c>
      <c r="D198" s="155" t="s">
        <v>64</v>
      </c>
      <c r="J198" s="155" t="s">
        <v>169</v>
      </c>
      <c r="AC198" s="146"/>
    </row>
    <row r="199" ht="15.75" customHeight="1">
      <c r="A199" s="155">
        <v>6.0</v>
      </c>
      <c r="B199" s="163">
        <v>46179.0</v>
      </c>
      <c r="C199" s="155">
        <v>4.0</v>
      </c>
      <c r="D199" s="155" t="s">
        <v>64</v>
      </c>
      <c r="J199" s="155" t="s">
        <v>169</v>
      </c>
      <c r="AC199" s="146"/>
    </row>
    <row r="200" ht="15.75" customHeight="1">
      <c r="A200" s="155">
        <v>7.0</v>
      </c>
      <c r="B200" s="163">
        <v>46186.0</v>
      </c>
      <c r="C200" s="155">
        <v>1.0</v>
      </c>
      <c r="D200" s="155" t="s">
        <v>147</v>
      </c>
      <c r="E200" s="164" t="str">
        <f>IFERROR(__xludf.DUMMYFUNCTION("IFERROR(
 INDEX(
  FILTER(
   'Raw Data'!D:D,
   'Raw Data'!B:B=B200,
   'Raw Data'!C:C=D200
  ),
 1
 ),
 """"
)"),"OVL")</f>
        <v>OVL</v>
      </c>
      <c r="F200" s="155" t="str">
        <f>IFERROR(__xludf.DUMMYFUNCTION("IFERROR(
 INDEX(
  FILTER(
   'Raw Data'!E:E,
   'Raw Data'!B:B=B200,
   'Raw Data'!C:C=D200
  ),
 1
 ),
 """"
)"),"8 Door")</f>
        <v>8 Door</v>
      </c>
      <c r="G200" s="155" t="s">
        <v>83</v>
      </c>
      <c r="H200" s="97" t="str">
        <f>IFERROR(__xludf.DUMMYFUNCTION("IFERROR(
 INDEX(
  FILTER(
   'Raw Data'!D:D,
   'Raw Data'!B:B=B200,
   'Raw Data'!C:C=G200
  ),
 1
 ),
 """"
)"),"MDE")</f>
        <v>MDE</v>
      </c>
      <c r="I200" s="97" t="str">
        <f>IFERROR(__xludf.DUMMYFUNCTION("IFERROR(
 INDEX(
  FILTER(
   'Raw Data'!E:E,
   'Raw Data'!B:B=B200,
   'Raw Data'!C:C=G200
  ),
 1
 ),
 """"
)"),"Link")</f>
        <v>Link</v>
      </c>
      <c r="J200" s="155" t="s">
        <v>168</v>
      </c>
      <c r="AC200" s="146"/>
    </row>
    <row r="201" ht="15.75" customHeight="1">
      <c r="A201" s="155">
        <v>7.0</v>
      </c>
      <c r="B201" s="163">
        <v>46186.0</v>
      </c>
      <c r="C201" s="155">
        <v>2.0</v>
      </c>
      <c r="D201" s="155" t="s">
        <v>147</v>
      </c>
      <c r="E201" s="164" t="str">
        <f>IFERROR(__xludf.DUMMYFUNCTION("IFERROR(
 INDEX(
  FILTER(
   'Raw Data'!D:D,
   'Raw Data'!B:B=B201,
   'Raw Data'!C:C=D201
  ),
 1
 ),
 """"
)"),"OVL")</f>
        <v>OVL</v>
      </c>
      <c r="F201" s="155" t="str">
        <f>IFERROR(__xludf.DUMMYFUNCTION("IFERROR(
 INDEX(
  FILTER(
   'Raw Data'!E:E,
   'Raw Data'!B:B=B201,
   'Raw Data'!C:C=D201
  ),
 1
 ),
 """"
)"),"8 Door")</f>
        <v>8 Door</v>
      </c>
      <c r="G201" s="155" t="s">
        <v>72</v>
      </c>
      <c r="H201" s="97" t="str">
        <f>IFERROR(__xludf.DUMMYFUNCTION("IFERROR(
 INDEX(
  FILTER(
   'Raw Data'!D:D,
   'Raw Data'!B:B=B201,
   'Raw Data'!C:C=G201
  ),
 1
 ),
 """"
)"),"LRC")</f>
        <v>LRC</v>
      </c>
      <c r="I201" s="97" t="str">
        <f>IFERROR(__xludf.DUMMYFUNCTION("IFERROR(
 INDEX(
  FILTER(
   'Raw Data'!E:E,
   'Raw Data'!B:B=B201,
   'Raw Data'!C:C=G201
  ),
 1
 ),
 """"
)"),"Pants Door")</f>
        <v>Pants Door</v>
      </c>
      <c r="J201" s="155" t="s">
        <v>168</v>
      </c>
      <c r="AC201" s="146"/>
    </row>
    <row r="202" ht="15.75" customHeight="1">
      <c r="A202" s="155">
        <v>7.0</v>
      </c>
      <c r="B202" s="167">
        <v>46186.0</v>
      </c>
      <c r="C202" s="155">
        <v>3.0</v>
      </c>
      <c r="D202" s="155" t="s">
        <v>147</v>
      </c>
      <c r="E202" s="164" t="str">
        <f>IFERROR(__xludf.DUMMYFUNCTION("IFERROR(
 INDEX(
  FILTER(
   'Raw Data'!D:D,
   'Raw Data'!B:B=B202,
   'Raw Data'!C:C=D202
  ),
 1
 ),
 """"
)"),"OVL")</f>
        <v>OVL</v>
      </c>
      <c r="F202" s="155" t="str">
        <f>IFERROR(__xludf.DUMMYFUNCTION("IFERROR(
 INDEX(
  FILTER(
   'Raw Data'!E:E,
   'Raw Data'!B:B=B202,
   'Raw Data'!C:C=D202
  ),
 1
 ),
 """"
)"),"8 Door")</f>
        <v>8 Door</v>
      </c>
      <c r="G202" s="155" t="s">
        <v>118</v>
      </c>
      <c r="H202" s="97" t="str">
        <f>IFERROR(__xludf.DUMMYFUNCTION("IFERROR(
 INDEX(
  FILTER(
   'Raw Data'!D:D,
   'Raw Data'!B:B=B202,
   'Raw Data'!C:C=G202
  ),
 1
 ),
 """"
)"),"EIS")</f>
        <v>EIS</v>
      </c>
      <c r="I202" s="97" t="str">
        <f>IFERROR(__xludf.DUMMYFUNCTION("IFERROR(
 INDEX(
  FILTER(
   'Raw Data'!E:E,
   'Raw Data'!B:B=B202,
   'Raw Data'!C:C=G202
  ),
 1
 ),
 """"
)"),"8 Standby")</f>
        <v>8 Standby</v>
      </c>
      <c r="J202" s="155" t="s">
        <v>168</v>
      </c>
      <c r="AC202" s="146"/>
    </row>
    <row r="203" ht="15.75" customHeight="1">
      <c r="A203" s="155">
        <v>7.0</v>
      </c>
      <c r="B203" s="167">
        <v>46186.0</v>
      </c>
      <c r="C203" s="155">
        <v>4.0</v>
      </c>
      <c r="D203" s="164" t="s">
        <v>147</v>
      </c>
      <c r="E203" s="164" t="str">
        <f>IFERROR(__xludf.DUMMYFUNCTION("IFERROR(
 INDEX(
  FILTER(
   'Raw Data'!D:D,
   'Raw Data'!B:B=B203,
   'Raw Data'!C:C=D203
  ),
 1
 ),
 """"
)"),"OVL")</f>
        <v>OVL</v>
      </c>
      <c r="F203" s="155" t="str">
        <f>IFERROR(__xludf.DUMMYFUNCTION("IFERROR(
 INDEX(
  FILTER(
   'Raw Data'!E:E,
   'Raw Data'!B:B=B203,
   'Raw Data'!C:C=D203
  ),
 1
 ),
 """"
)"),"8 Door")</f>
        <v>8 Door</v>
      </c>
      <c r="G203" s="155" t="s">
        <v>87</v>
      </c>
      <c r="H203" s="97" t="str">
        <f>IFERROR(__xludf.DUMMYFUNCTION("IFERROR(
 INDEX(
  FILTER(
   'Raw Data'!D:D,
   'Raw Data'!B:B=B203,
   'Raw Data'!C:C=G203
  ),
 1
 ),
 """"
)"),"CSM")</f>
        <v>CSM</v>
      </c>
      <c r="I203" s="97" t="str">
        <f>IFERROR(__xludf.DUMMYFUNCTION("IFERROR(
 INDEX(
  FILTER(
   'Raw Data'!E:E,
   'Raw Data'!B:B=B203,
   'Raw Data'!C:C=G203
  ),
 1
 ),
 """"
)"),"StockSoul Bar")</f>
        <v>StockSoul Bar</v>
      </c>
      <c r="J203" s="155" t="s">
        <v>168</v>
      </c>
      <c r="AC203" s="146"/>
    </row>
    <row r="204" ht="15.75" customHeight="1">
      <c r="A204" s="155">
        <v>7.0</v>
      </c>
      <c r="B204" s="168">
        <v>46186.0</v>
      </c>
      <c r="C204" s="169">
        <v>1.0</v>
      </c>
      <c r="D204" s="170" t="s">
        <v>87</v>
      </c>
      <c r="E204" s="170" t="str">
        <f>IFERROR(__xludf.DUMMYFUNCTION("IFERROR(
 INDEX(
  FILTER(
   'Raw Data'!D:D,
   'Raw Data'!B:B=B204,
   'Raw Data'!C:C=D204
  ),
 1
 ),
 """"
)"),"CSM")</f>
        <v>CSM</v>
      </c>
      <c r="F204" s="169" t="str">
        <f>IFERROR(__xludf.DUMMYFUNCTION("IFERROR(
 INDEX(
  FILTER(
   'Raw Data'!E:E,
   'Raw Data'!B:B=B204,
   'Raw Data'!C:C=D204
  ),
 1
 ),
 """"
)"),"StockSoul Bar")</f>
        <v>StockSoul Bar</v>
      </c>
      <c r="G204" s="169" t="s">
        <v>104</v>
      </c>
      <c r="H204" s="97" t="str">
        <f>IFERROR(__xludf.DUMMYFUNCTION("IFERROR(
 INDEX(
  FILTER(
   'Raw Data'!D:D,
   'Raw Data'!B:B=B204,
   'Raw Data'!C:C=G204
  ),
 1
 ),
 """"
)"),"BD")</f>
        <v>BD</v>
      </c>
      <c r="I204" s="97" t="str">
        <f>IFERROR(__xludf.DUMMYFUNCTION("IFERROR(
 INDEX(
  FILTER(
   'Raw Data'!E:E,
   'Raw Data'!B:B=B204,
   'Raw Data'!C:C=G204
  ),
 1
 ),
 """"
)"),"Bar Door")</f>
        <v>Bar Door</v>
      </c>
      <c r="J204" s="155" t="s">
        <v>168</v>
      </c>
      <c r="AC204" s="146"/>
    </row>
    <row r="205" ht="15.75" customHeight="1">
      <c r="A205" s="155">
        <v>7.0</v>
      </c>
      <c r="B205" s="171">
        <v>46186.0</v>
      </c>
      <c r="C205" s="172">
        <v>2.0</v>
      </c>
      <c r="D205" s="173" t="s">
        <v>87</v>
      </c>
      <c r="E205" s="173" t="str">
        <f>IFERROR(__xludf.DUMMYFUNCTION("IFERROR(
 INDEX(
  FILTER(
   'Raw Data'!D:D,
   'Raw Data'!B:B=B205,
   'Raw Data'!C:C=D205
  ),
 1
 ),
 """"
)"),"CSM")</f>
        <v>CSM</v>
      </c>
      <c r="F205" s="172" t="str">
        <f>IFERROR(__xludf.DUMMYFUNCTION("IFERROR(
 INDEX(
  FILTER(
   'Raw Data'!E:E,
   'Raw Data'!B:B=B205,
   'Raw Data'!C:C=D205
  ),
 1
 ),
 """"
)"),"StockSoul Bar")</f>
        <v>StockSoul Bar</v>
      </c>
      <c r="G205" s="172" t="s">
        <v>90</v>
      </c>
      <c r="H205" s="97" t="str">
        <f>IFERROR(__xludf.DUMMYFUNCTION("IFERROR(
 INDEX(
  FILTER(
   'Raw Data'!D:D,
   'Raw Data'!B:B=B205,
   'Raw Data'!C:C=G205
  ),
 1
 ),
 """"
)"),"DAL")</f>
        <v>DAL</v>
      </c>
      <c r="I205" s="97" t="str">
        <f>IFERROR(__xludf.DUMMYFUNCTION("IFERROR(
 INDEX(
  FILTER(
   'Raw Data'!E:E,
   'Raw Data'!B:B=B205,
   'Raw Data'!C:C=G205
  ),
 1
 ),
 """"
)"),"8 Standby")</f>
        <v>8 Standby</v>
      </c>
      <c r="J205" s="155" t="s">
        <v>168</v>
      </c>
      <c r="AC205" s="146"/>
    </row>
    <row r="206" ht="15.75" customHeight="1">
      <c r="A206" s="155">
        <v>7.0</v>
      </c>
      <c r="B206" s="174">
        <v>46186.0</v>
      </c>
      <c r="C206" s="169">
        <v>3.0</v>
      </c>
      <c r="D206" s="170" t="s">
        <v>87</v>
      </c>
      <c r="E206" s="170" t="str">
        <f>IFERROR(__xludf.DUMMYFUNCTION("IFERROR(
 INDEX(
  FILTER(
   'Raw Data'!D:D,
   'Raw Data'!B:B=B206,
   'Raw Data'!C:C=D206
  ),
 1
 ),
 """"
)"),"CSM")</f>
        <v>CSM</v>
      </c>
      <c r="F206" s="169" t="str">
        <f>IFERROR(__xludf.DUMMYFUNCTION("IFERROR(
 INDEX(
  FILTER(
   'Raw Data'!E:E,
   'Raw Data'!B:B=B206,
   'Raw Data'!C:C=D206
  ),
 1
 ),
 """"
)"),"StockSoul Bar")</f>
        <v>StockSoul Bar</v>
      </c>
      <c r="G206" s="169" t="s">
        <v>91</v>
      </c>
      <c r="H206" s="97" t="str">
        <f>IFERROR(__xludf.DUMMYFUNCTION("IFERROR(
 INDEX(
  FILTER(
   'Raw Data'!D:D,
   'Raw Data'!B:B=B206,
   'Raw Data'!C:C=G206
  ),
 1
 ),
 """"
)"),"EIS")</f>
        <v>EIS</v>
      </c>
      <c r="I206" s="97" t="str">
        <f>IFERROR(__xludf.DUMMYFUNCTION("IFERROR(
 INDEX(
  FILTER(
   'Raw Data'!E:E,
   'Raw Data'!B:B=B206,
   'Raw Data'!C:C=G206
  ),
 1
 ),
 """"
)"),"8 Door TD")</f>
        <v>8 Door TD</v>
      </c>
      <c r="J206" s="155" t="s">
        <v>168</v>
      </c>
      <c r="AC206" s="146"/>
    </row>
    <row r="207" ht="15.75" customHeight="1">
      <c r="A207" s="155">
        <v>7.0</v>
      </c>
      <c r="B207" s="175">
        <v>46186.0</v>
      </c>
      <c r="C207" s="172">
        <v>4.0</v>
      </c>
      <c r="D207" s="173" t="s">
        <v>87</v>
      </c>
      <c r="E207" s="173" t="str">
        <f>IFERROR(__xludf.DUMMYFUNCTION("IFERROR(
 INDEX(
  FILTER(
   'Raw Data'!D:D,
   'Raw Data'!B:B=B207,
   'Raw Data'!C:C=D207
  ),
 1
 ),
 """"
)"),"CSM")</f>
        <v>CSM</v>
      </c>
      <c r="F207" s="172" t="str">
        <f>IFERROR(__xludf.DUMMYFUNCTION("IFERROR(
 INDEX(
  FILTER(
   'Raw Data'!E:E,
   'Raw Data'!B:B=B207,
   'Raw Data'!C:C=D207
  ),
 1
 ),
 """"
)"),"StockSoul Bar")</f>
        <v>StockSoul Bar</v>
      </c>
      <c r="G207" s="172" t="s">
        <v>147</v>
      </c>
      <c r="H207" s="97" t="str">
        <f>IFERROR(__xludf.DUMMYFUNCTION("IFERROR(
 INDEX(
  FILTER(
   'Raw Data'!D:D,
   'Raw Data'!B:B=B207,
   'Raw Data'!C:C=G207
  ),
 1
 ),
 """"
)"),"OVL")</f>
        <v>OVL</v>
      </c>
      <c r="I207" s="97" t="str">
        <f>IFERROR(__xludf.DUMMYFUNCTION("IFERROR(
 INDEX(
  FILTER(
   'Raw Data'!E:E,
   'Raw Data'!B:B=B207,
   'Raw Data'!C:C=G207
  ),
 1
 ),
 """"
)"),"8 Door")</f>
        <v>8 Door</v>
      </c>
      <c r="J207" s="155" t="s">
        <v>169</v>
      </c>
      <c r="AC207" s="146"/>
    </row>
    <row r="208" ht="15.75" customHeight="1">
      <c r="A208" s="155">
        <v>7.0</v>
      </c>
      <c r="B208" s="168">
        <v>46186.0</v>
      </c>
      <c r="C208" s="169">
        <v>1.0</v>
      </c>
      <c r="D208" s="170" t="s">
        <v>104</v>
      </c>
      <c r="E208" s="170" t="str">
        <f>IFERROR(__xludf.DUMMYFUNCTION("IFERROR(
 INDEX(
  FILTER(
   'Raw Data'!D:D,
   'Raw Data'!B:B=B208,
   'Raw Data'!C:C=D208
  ),
 1
 ),
 """"
)"),"BD")</f>
        <v>BD</v>
      </c>
      <c r="F208" s="169" t="str">
        <f>IFERROR(__xludf.DUMMYFUNCTION("IFERROR(
 INDEX(
  FILTER(
   'Raw Data'!E:E,
   'Raw Data'!B:B=B208,
   'Raw Data'!C:C=D208
  ),
 1
 ),
 """"
)"),"Bar Door")</f>
        <v>Bar Door</v>
      </c>
      <c r="G208" s="169" t="s">
        <v>87</v>
      </c>
      <c r="H208" s="97" t="str">
        <f>IFERROR(__xludf.DUMMYFUNCTION("IFERROR(
 INDEX(
  FILTER(
   'Raw Data'!D:D,
   'Raw Data'!B:B=B208,
   'Raw Data'!C:C=G208
  ),
 1
 ),
 """"
)"),"CSM")</f>
        <v>CSM</v>
      </c>
      <c r="I208" s="97" t="str">
        <f>IFERROR(__xludf.DUMMYFUNCTION("IFERROR(
 INDEX(
  FILTER(
   'Raw Data'!E:E,
   'Raw Data'!B:B=B208,
   'Raw Data'!C:C=G208
  ),
 1
 ),
 """"
)"),"StockSoul Bar")</f>
        <v>StockSoul Bar</v>
      </c>
      <c r="J208" s="155" t="s">
        <v>169</v>
      </c>
      <c r="AC208" s="146"/>
    </row>
    <row r="209" ht="15.75" customHeight="1">
      <c r="A209" s="155">
        <v>7.0</v>
      </c>
      <c r="B209" s="171">
        <v>46186.0</v>
      </c>
      <c r="C209" s="172">
        <v>2.0</v>
      </c>
      <c r="D209" s="173" t="s">
        <v>104</v>
      </c>
      <c r="E209" s="173" t="str">
        <f>IFERROR(__xludf.DUMMYFUNCTION("IFERROR(
 INDEX(
  FILTER(
   'Raw Data'!D:D,
   'Raw Data'!B:B=B209,
   'Raw Data'!C:C=D209
  ),
 1
 ),
 """"
)"),"BD")</f>
        <v>BD</v>
      </c>
      <c r="F209" s="172" t="str">
        <f>IFERROR(__xludf.DUMMYFUNCTION("IFERROR(
 INDEX(
  FILTER(
   'Raw Data'!E:E,
   'Raw Data'!B:B=B209,
   'Raw Data'!C:C=D209
  ),
 1
 ),
 """"
)"),"Bar Door")</f>
        <v>Bar Door</v>
      </c>
      <c r="G209" s="172" t="s">
        <v>77</v>
      </c>
      <c r="H209" s="97" t="str">
        <f>IFERROR(__xludf.DUMMYFUNCTION("IFERROR(
 INDEX(
  FILTER(
   'Raw Data'!D:D,
   'Raw Data'!B:B=B209,
   'Raw Data'!C:C=G209
  ),
 1
 ),
 """"
)"),"MKI")</f>
        <v>MKI</v>
      </c>
      <c r="I209" s="97" t="str">
        <f>IFERROR(__xludf.DUMMYFUNCTION("IFERROR(
 INDEX(
  FILTER(
   'Raw Data'!E:E,
   'Raw Data'!B:B=B209,
   'Raw Data'!C:C=G209
  ),
 1
 ),
 """"
)"),"8 Door")</f>
        <v>8 Door</v>
      </c>
      <c r="J209" s="155" t="s">
        <v>168</v>
      </c>
      <c r="AC209" s="146"/>
    </row>
    <row r="210" ht="15.75" customHeight="1">
      <c r="A210" s="155">
        <v>7.0</v>
      </c>
      <c r="B210" s="174">
        <v>46186.0</v>
      </c>
      <c r="C210" s="169">
        <v>3.0</v>
      </c>
      <c r="D210" s="170" t="s">
        <v>104</v>
      </c>
      <c r="E210" s="170" t="str">
        <f>IFERROR(__xludf.DUMMYFUNCTION("IFERROR(
 INDEX(
  FILTER(
   'Raw Data'!D:D,
   'Raw Data'!B:B=B210,
   'Raw Data'!C:C=D210
  ),
 1
 ),
 """"
)"),"BD")</f>
        <v>BD</v>
      </c>
      <c r="F210" s="169" t="str">
        <f>IFERROR(__xludf.DUMMYFUNCTION("IFERROR(
 INDEX(
  FILTER(
   'Raw Data'!E:E,
   'Raw Data'!B:B=B210,
   'Raw Data'!C:C=D210
  ),
 1
 ),
 """"
)"),"Bar Door")</f>
        <v>Bar Door</v>
      </c>
      <c r="G210" s="169" t="s">
        <v>67</v>
      </c>
      <c r="H210" s="97" t="str">
        <f>IFERROR(__xludf.DUMMYFUNCTION("IFERROR(
 INDEX(
  FILTER(
   'Raw Data'!D:D,
   'Raw Data'!B:B=B210,
   'Raw Data'!C:C=G210
  ),
 1
 ),
 """"
)"),"OVL")</f>
        <v>OVL</v>
      </c>
      <c r="I210" s="97" t="str">
        <f>IFERROR(__xludf.DUMMYFUNCTION("IFERROR(
 INDEX(
  FILTER(
   'Raw Data'!E:E,
   'Raw Data'!B:B=B210,
   'Raw Data'!C:C=G210
  ),
 1
 ),
 """"
)"),"8 Door")</f>
        <v>8 Door</v>
      </c>
      <c r="J210" s="155" t="s">
        <v>168</v>
      </c>
      <c r="AC210" s="146"/>
    </row>
    <row r="211" ht="15.75" customHeight="1">
      <c r="A211" s="155">
        <v>7.0</v>
      </c>
      <c r="B211" s="175">
        <v>46186.0</v>
      </c>
      <c r="C211" s="172">
        <v>4.0</v>
      </c>
      <c r="D211" s="173" t="s">
        <v>104</v>
      </c>
      <c r="E211" s="173" t="str">
        <f>IFERROR(__xludf.DUMMYFUNCTION("IFERROR(
 INDEX(
  FILTER(
   'Raw Data'!D:D,
   'Raw Data'!B:B=B211,
   'Raw Data'!C:C=D211
  ),
 1
 ),
 """"
)"),"BD")</f>
        <v>BD</v>
      </c>
      <c r="F211" s="172" t="str">
        <f>IFERROR(__xludf.DUMMYFUNCTION("IFERROR(
 INDEX(
  FILTER(
   'Raw Data'!E:E,
   'Raw Data'!B:B=B211,
   'Raw Data'!C:C=D211
  ),
 1
 ),
 """"
)"),"Bar Door")</f>
        <v>Bar Door</v>
      </c>
      <c r="G211" s="172" t="s">
        <v>91</v>
      </c>
      <c r="H211" s="97" t="str">
        <f>IFERROR(__xludf.DUMMYFUNCTION("IFERROR(
 INDEX(
  FILTER(
   'Raw Data'!D:D,
   'Raw Data'!B:B=B211,
   'Raw Data'!C:C=G211
  ),
 1
 ),
 """"
)"),"EIS")</f>
        <v>EIS</v>
      </c>
      <c r="I211" s="97" t="str">
        <f>IFERROR(__xludf.DUMMYFUNCTION("IFERROR(
 INDEX(
  FILTER(
   'Raw Data'!E:E,
   'Raw Data'!B:B=B211,
   'Raw Data'!C:C=G211
  ),
 1
 ),
 """"
)"),"8 Door TD")</f>
        <v>8 Door TD</v>
      </c>
      <c r="J211" s="155" t="s">
        <v>168</v>
      </c>
      <c r="AC211" s="146"/>
    </row>
    <row r="212" ht="15.75" customHeight="1">
      <c r="A212" s="155">
        <v>7.0</v>
      </c>
      <c r="B212" s="168">
        <v>46186.0</v>
      </c>
      <c r="C212" s="169">
        <v>1.0</v>
      </c>
      <c r="D212" s="170" t="s">
        <v>70</v>
      </c>
      <c r="E212" s="170" t="str">
        <f>IFERROR(__xludf.DUMMYFUNCTION("IFERROR(
 INDEX(
  FILTER(
   'Raw Data'!D:D,
   'Raw Data'!B:B=B212,
   'Raw Data'!C:C=D212
  ),
 1
 ),
 """"
)"),"EIS")</f>
        <v>EIS</v>
      </c>
      <c r="F212" s="169" t="str">
        <f>IFERROR(__xludf.DUMMYFUNCTION("IFERROR(
 INDEX(
  FILTER(
   'Raw Data'!E:E,
   'Raw Data'!B:B=B212,
   'Raw Data'!C:C=D212
  ),
 1
 ),
 """"
)"),"5 Door 3 Pants Sortie")</f>
        <v>5 Door 3 Pants Sortie</v>
      </c>
      <c r="G212" s="169" t="s">
        <v>91</v>
      </c>
      <c r="H212" s="97" t="str">
        <f>IFERROR(__xludf.DUMMYFUNCTION("IFERROR(
 INDEX(
  FILTER(
   'Raw Data'!D:D,
   'Raw Data'!B:B=B212,
   'Raw Data'!C:C=G212
  ),
 1
 ),
 """"
)"),"EIS")</f>
        <v>EIS</v>
      </c>
      <c r="I212" s="97" t="str">
        <f>IFERROR(__xludf.DUMMYFUNCTION("IFERROR(
 INDEX(
  FILTER(
   'Raw Data'!E:E,
   'Raw Data'!B:B=B212,
   'Raw Data'!C:C=G212
  ),
 1
 ),
 """"
)"),"8 Door TD")</f>
        <v>8 Door TD</v>
      </c>
      <c r="J212" s="155" t="s">
        <v>169</v>
      </c>
      <c r="AC212" s="146"/>
    </row>
    <row r="213" ht="15.75" customHeight="1">
      <c r="A213" s="155">
        <v>7.0</v>
      </c>
      <c r="B213" s="171">
        <v>46186.0</v>
      </c>
      <c r="C213" s="172">
        <v>2.0</v>
      </c>
      <c r="D213" s="173" t="s">
        <v>70</v>
      </c>
      <c r="E213" s="173" t="str">
        <f>IFERROR(__xludf.DUMMYFUNCTION("IFERROR(
 INDEX(
  FILTER(
   'Raw Data'!D:D,
   'Raw Data'!B:B=B213,
   'Raw Data'!C:C=D213
  ),
 1
 ),
 """"
)"),"EIS")</f>
        <v>EIS</v>
      </c>
      <c r="F213" s="172" t="str">
        <f>IFERROR(__xludf.DUMMYFUNCTION("IFERROR(
 INDEX(
  FILTER(
   'Raw Data'!E:E,
   'Raw Data'!B:B=B213,
   'Raw Data'!C:C=D213
  ),
 1
 ),
 """"
)"),"5 Door 3 Pants Sortie")</f>
        <v>5 Door 3 Pants Sortie</v>
      </c>
      <c r="G213" s="172" t="s">
        <v>83</v>
      </c>
      <c r="H213" s="97" t="str">
        <f>IFERROR(__xludf.DUMMYFUNCTION("IFERROR(
 INDEX(
  FILTER(
   'Raw Data'!D:D,
   'Raw Data'!B:B=B213,
   'Raw Data'!C:C=G213
  ),
 1
 ),
 """"
)"),"MDE")</f>
        <v>MDE</v>
      </c>
      <c r="I213" s="97" t="str">
        <f>IFERROR(__xludf.DUMMYFUNCTION("IFERROR(
 INDEX(
  FILTER(
   'Raw Data'!E:E,
   'Raw Data'!B:B=B213,
   'Raw Data'!C:C=G213
  ),
 1
 ),
 """"
)"),"Link")</f>
        <v>Link</v>
      </c>
      <c r="J213" s="155" t="s">
        <v>168</v>
      </c>
      <c r="AC213" s="146"/>
    </row>
    <row r="214" ht="15.75" customHeight="1">
      <c r="A214" s="155">
        <v>7.0</v>
      </c>
      <c r="B214" s="174">
        <v>46186.0</v>
      </c>
      <c r="C214" s="169">
        <v>3.0</v>
      </c>
      <c r="D214" s="170" t="s">
        <v>70</v>
      </c>
      <c r="E214" s="170" t="str">
        <f>IFERROR(__xludf.DUMMYFUNCTION("IFERROR(
 INDEX(
  FILTER(
   'Raw Data'!D:D,
   'Raw Data'!B:B=B214,
   'Raw Data'!C:C=D214
  ),
 1
 ),
 """"
)"),"EIS")</f>
        <v>EIS</v>
      </c>
      <c r="F214" s="169" t="str">
        <f>IFERROR(__xludf.DUMMYFUNCTION("IFERROR(
 INDEX(
  FILTER(
   'Raw Data'!E:E,
   'Raw Data'!B:B=B214,
   'Raw Data'!C:C=D214
  ),
 1
 ),
 """"
)"),"5 Door 3 Pants Sortie")</f>
        <v>5 Door 3 Pants Sortie</v>
      </c>
      <c r="G214" s="169" t="s">
        <v>152</v>
      </c>
      <c r="H214" s="97" t="str">
        <f>IFERROR(__xludf.DUMMYFUNCTION("IFERROR(
 INDEX(
  FILTER(
   'Raw Data'!D:D,
   'Raw Data'!B:B=B214,
   'Raw Data'!C:C=G214
  ),
 1
 ),
 """"
)"),"MM")</f>
        <v>MM</v>
      </c>
      <c r="I214" s="97" t="str">
        <f>IFERROR(__xludf.DUMMYFUNCTION("IFERROR(
 INDEX(
  FILTER(
   'Raw Data'!E:E,
   'Raw Data'!B:B=B214,
   'Raw Data'!C:C=G214
  ),
 1
 ),
 """"
)"),"StockSoul Door")</f>
        <v>StockSoul Door</v>
      </c>
      <c r="J214" s="155" t="s">
        <v>168</v>
      </c>
      <c r="AC214" s="146"/>
    </row>
    <row r="215" ht="15.75" customHeight="1">
      <c r="A215" s="155">
        <v>7.0</v>
      </c>
      <c r="B215" s="175">
        <v>46186.0</v>
      </c>
      <c r="C215" s="172">
        <v>4.0</v>
      </c>
      <c r="D215" s="173" t="s">
        <v>70</v>
      </c>
      <c r="E215" s="173" t="str">
        <f>IFERROR(__xludf.DUMMYFUNCTION("IFERROR(
 INDEX(
  FILTER(
   'Raw Data'!D:D,
   'Raw Data'!B:B=B215,
   'Raw Data'!C:C=D215
  ),
 1
 ),
 """"
)"),"EIS")</f>
        <v>EIS</v>
      </c>
      <c r="F215" s="172" t="str">
        <f>IFERROR(__xludf.DUMMYFUNCTION("IFERROR(
 INDEX(
  FILTER(
   'Raw Data'!E:E,
   'Raw Data'!B:B=B215,
   'Raw Data'!C:C=D215
  ),
 1
 ),
 """"
)"),"5 Door 3 Pants Sortie")</f>
        <v>5 Door 3 Pants Sortie</v>
      </c>
      <c r="G215" s="172" t="s">
        <v>128</v>
      </c>
      <c r="H215" s="97" t="str">
        <f>IFERROR(__xludf.DUMMYFUNCTION("IFERROR(
 INDEX(
  FILTER(
   'Raw Data'!D:D,
   'Raw Data'!B:B=B215,
   'Raw Data'!C:C=G215
  ),
 1
 ),
 """"
)"),"NIK")</f>
        <v>NIK</v>
      </c>
      <c r="I215" s="97" t="str">
        <f>IFERROR(__xludf.DUMMYFUNCTION("IFERROR(
 INDEX(
  FILTER(
   'Raw Data'!E:E,
   'Raw Data'!B:B=B215,
   'Raw Data'!C:C=G215
  ),
 1
 ),
 """"
)"),"Door Standby")</f>
        <v>Door Standby</v>
      </c>
      <c r="J215" s="155" t="s">
        <v>168</v>
      </c>
      <c r="AC215" s="146"/>
    </row>
    <row r="216" ht="15.75" customHeight="1">
      <c r="A216" s="155">
        <v>7.0</v>
      </c>
      <c r="B216" s="168">
        <v>46186.0</v>
      </c>
      <c r="C216" s="169">
        <v>1.0</v>
      </c>
      <c r="D216" s="170" t="s">
        <v>91</v>
      </c>
      <c r="E216" s="170" t="str">
        <f>IFERROR(__xludf.DUMMYFUNCTION("IFERROR(
 INDEX(
  FILTER(
   'Raw Data'!D:D,
   'Raw Data'!B:B=B216,
   'Raw Data'!C:C=D216
  ),
 1
 ),
 """"
)"),"EIS")</f>
        <v>EIS</v>
      </c>
      <c r="F216" s="169" t="str">
        <f>IFERROR(__xludf.DUMMYFUNCTION("IFERROR(
 INDEX(
  FILTER(
   'Raw Data'!E:E,
   'Raw Data'!B:B=B216,
   'Raw Data'!C:C=D216
  ),
 1
 ),
 """"
)"),"8 Door TD")</f>
        <v>8 Door TD</v>
      </c>
      <c r="G216" s="169" t="s">
        <v>70</v>
      </c>
      <c r="H216" s="97" t="str">
        <f>IFERROR(__xludf.DUMMYFUNCTION("IFERROR(
 INDEX(
  FILTER(
   'Raw Data'!D:D,
   'Raw Data'!B:B=B216,
   'Raw Data'!C:C=G216
  ),
 1
 ),
 """"
)"),"EIS")</f>
        <v>EIS</v>
      </c>
      <c r="I216" s="97" t="str">
        <f>IFERROR(__xludf.DUMMYFUNCTION("IFERROR(
 INDEX(
  FILTER(
   'Raw Data'!E:E,
   'Raw Data'!B:B=B216,
   'Raw Data'!C:C=G216
  ),
 1
 ),
 """"
)"),"5 Door 3 Pants Sortie")</f>
        <v>5 Door 3 Pants Sortie</v>
      </c>
      <c r="J216" s="155" t="s">
        <v>168</v>
      </c>
      <c r="AC216" s="146"/>
    </row>
    <row r="217" ht="15.75" customHeight="1">
      <c r="A217" s="155">
        <v>7.0</v>
      </c>
      <c r="B217" s="171">
        <v>46186.0</v>
      </c>
      <c r="C217" s="172">
        <v>2.0</v>
      </c>
      <c r="D217" s="173" t="s">
        <v>91</v>
      </c>
      <c r="E217" s="173" t="str">
        <f>IFERROR(__xludf.DUMMYFUNCTION("IFERROR(
 INDEX(
  FILTER(
   'Raw Data'!D:D,
   'Raw Data'!B:B=B217,
   'Raw Data'!C:C=D217
  ),
 1
 ),
 """"
)"),"EIS")</f>
        <v>EIS</v>
      </c>
      <c r="F217" s="172" t="str">
        <f>IFERROR(__xludf.DUMMYFUNCTION("IFERROR(
 INDEX(
  FILTER(
   'Raw Data'!E:E,
   'Raw Data'!B:B=B217,
   'Raw Data'!C:C=D217
  ),
 1
 ),
 """"
)"),"8 Door TD")</f>
        <v>8 Door TD</v>
      </c>
      <c r="G217" s="176"/>
      <c r="H217" s="97" t="str">
        <f>IFERROR(__xludf.DUMMYFUNCTION("IFERROR(
 INDEX(
  FILTER(
   'Raw Data'!D:D,
   'Raw Data'!B:B=B217,
   'Raw Data'!C:C=G217
  ),
 1
 ),
 """"
)"),"")</f>
        <v/>
      </c>
      <c r="I217" s="97" t="str">
        <f>IFERROR(__xludf.DUMMYFUNCTION("IFERROR(
 INDEX(
  FILTER(
   'Raw Data'!E:E,
   'Raw Data'!B:B=B217,
   'Raw Data'!C:C=G217
  ),
 1
 ),
 """"
)"),"")</f>
        <v/>
      </c>
      <c r="J217" s="155" t="s">
        <v>168</v>
      </c>
      <c r="AC217" s="146"/>
    </row>
    <row r="218" ht="15.75" customHeight="1">
      <c r="A218" s="155">
        <v>7.0</v>
      </c>
      <c r="B218" s="174">
        <v>46186.0</v>
      </c>
      <c r="C218" s="169">
        <v>3.0</v>
      </c>
      <c r="D218" s="170" t="s">
        <v>91</v>
      </c>
      <c r="E218" s="170" t="str">
        <f>IFERROR(__xludf.DUMMYFUNCTION("IFERROR(
 INDEX(
  FILTER(
   'Raw Data'!D:D,
   'Raw Data'!B:B=B218,
   'Raw Data'!C:C=D218
  ),
 1
 ),
 """"
)"),"EIS")</f>
        <v>EIS</v>
      </c>
      <c r="F218" s="169" t="str">
        <f>IFERROR(__xludf.DUMMYFUNCTION("IFERROR(
 INDEX(
  FILTER(
   'Raw Data'!E:E,
   'Raw Data'!B:B=B218,
   'Raw Data'!C:C=D218
  ),
 1
 ),
 """"
)"),"8 Door TD")</f>
        <v>8 Door TD</v>
      </c>
      <c r="G218" s="169" t="s">
        <v>87</v>
      </c>
      <c r="H218" s="97" t="str">
        <f>IFERROR(__xludf.DUMMYFUNCTION("IFERROR(
 INDEX(
  FILTER(
   'Raw Data'!D:D,
   'Raw Data'!B:B=B218,
   'Raw Data'!C:C=G218
  ),
 1
 ),
 """"
)"),"CSM")</f>
        <v>CSM</v>
      </c>
      <c r="I218" s="97" t="str">
        <f>IFERROR(__xludf.DUMMYFUNCTION("IFERROR(
 INDEX(
  FILTER(
   'Raw Data'!E:E,
   'Raw Data'!B:B=B218,
   'Raw Data'!C:C=G218
  ),
 1
 ),
 """"
)"),"StockSoul Bar")</f>
        <v>StockSoul Bar</v>
      </c>
      <c r="J218" s="155" t="s">
        <v>169</v>
      </c>
      <c r="AC218" s="146"/>
    </row>
    <row r="219" ht="15.75" customHeight="1">
      <c r="A219" s="155">
        <v>7.0</v>
      </c>
      <c r="B219" s="175">
        <v>46186.0</v>
      </c>
      <c r="C219" s="172">
        <v>4.0</v>
      </c>
      <c r="D219" s="173" t="s">
        <v>91</v>
      </c>
      <c r="E219" s="173" t="str">
        <f>IFERROR(__xludf.DUMMYFUNCTION("IFERROR(
 INDEX(
  FILTER(
   'Raw Data'!D:D,
   'Raw Data'!B:B=B219,
   'Raw Data'!C:C=D219
  ),
 1
 ),
 """"
)"),"EIS")</f>
        <v>EIS</v>
      </c>
      <c r="F219" s="172" t="str">
        <f>IFERROR(__xludf.DUMMYFUNCTION("IFERROR(
 INDEX(
  FILTER(
   'Raw Data'!E:E,
   'Raw Data'!B:B=B219,
   'Raw Data'!C:C=D219
  ),
 1
 ),
 """"
)"),"8 Door TD")</f>
        <v>8 Door TD</v>
      </c>
      <c r="G219" s="172" t="s">
        <v>104</v>
      </c>
      <c r="H219" s="97" t="str">
        <f>IFERROR(__xludf.DUMMYFUNCTION("IFERROR(
 INDEX(
  FILTER(
   'Raw Data'!D:D,
   'Raw Data'!B:B=B219,
   'Raw Data'!C:C=G219
  ),
 1
 ),
 """"
)"),"BD")</f>
        <v>BD</v>
      </c>
      <c r="I219" s="97" t="str">
        <f>IFERROR(__xludf.DUMMYFUNCTION("IFERROR(
 INDEX(
  FILTER(
   'Raw Data'!E:E,
   'Raw Data'!B:B=B219,
   'Raw Data'!C:C=G219
  ),
 1
 ),
 """"
)"),"Bar Door")</f>
        <v>Bar Door</v>
      </c>
      <c r="J219" s="155" t="s">
        <v>169</v>
      </c>
      <c r="AC219" s="146"/>
    </row>
    <row r="220" ht="15.75" customHeight="1">
      <c r="A220" s="155">
        <v>7.0</v>
      </c>
      <c r="B220" s="168">
        <v>46186.0</v>
      </c>
      <c r="C220" s="169">
        <v>1.0</v>
      </c>
      <c r="D220" s="169" t="s">
        <v>72</v>
      </c>
      <c r="E220" s="170" t="str">
        <f>IFERROR(__xludf.DUMMYFUNCTION("IFERROR(
 INDEX(
  FILTER(
   'Raw Data'!D:D,
   'Raw Data'!B:B=B220,
   'Raw Data'!C:C=D220
  ),
 1
 ),
 """"
)"),"LRC")</f>
        <v>LRC</v>
      </c>
      <c r="F220" s="169" t="str">
        <f>IFERROR(__xludf.DUMMYFUNCTION("IFERROR(
 INDEX(
  FILTER(
   'Raw Data'!E:E,
   'Raw Data'!B:B=B220,
   'Raw Data'!C:C=D220
  ),
 1
 ),
 """"
)"),"Pants Door")</f>
        <v>Pants Door</v>
      </c>
      <c r="G220" s="169" t="s">
        <v>157</v>
      </c>
      <c r="H220" s="97" t="str">
        <f>IFERROR(__xludf.DUMMYFUNCTION("IFERROR(
 INDEX(
  FILTER(
   'Raw Data'!D:D,
   'Raw Data'!B:B=B220,
   'Raw Data'!C:C=G220
  ),
 1
 ),
 """"
)"),"PJS")</f>
        <v>PJS</v>
      </c>
      <c r="I220" s="97" t="str">
        <f>IFERROR(__xludf.DUMMYFUNCTION("IFERROR(
 INDEX(
  FILTER(
   'Raw Data'!E:E,
   'Raw Data'!B:B=B220,
   'Raw Data'!C:C=G220
  ),
 1
 ),
 """"
)"),"8 Bar")</f>
        <v>8 Bar</v>
      </c>
      <c r="J220" s="155" t="s">
        <v>168</v>
      </c>
      <c r="AC220" s="146"/>
    </row>
    <row r="221" ht="15.75" customHeight="1">
      <c r="A221" s="155">
        <v>7.0</v>
      </c>
      <c r="B221" s="171">
        <v>46186.0</v>
      </c>
      <c r="C221" s="172">
        <v>2.0</v>
      </c>
      <c r="D221" s="172" t="s">
        <v>72</v>
      </c>
      <c r="E221" s="173" t="str">
        <f>IFERROR(__xludf.DUMMYFUNCTION("IFERROR(
 INDEX(
  FILTER(
   'Raw Data'!D:D,
   'Raw Data'!B:B=B221,
   'Raw Data'!C:C=D221
  ),
 1
 ),
 """"
)"),"LRC")</f>
        <v>LRC</v>
      </c>
      <c r="F221" s="172" t="str">
        <f>IFERROR(__xludf.DUMMYFUNCTION("IFERROR(
 INDEX(
  FILTER(
   'Raw Data'!E:E,
   'Raw Data'!B:B=B221,
   'Raw Data'!C:C=D221
  ),
 1
 ),
 """"
)"),"Pants Door")</f>
        <v>Pants Door</v>
      </c>
      <c r="G221" s="172" t="s">
        <v>147</v>
      </c>
      <c r="H221" s="97" t="str">
        <f>IFERROR(__xludf.DUMMYFUNCTION("IFERROR(
 INDEX(
  FILTER(
   'Raw Data'!D:D,
   'Raw Data'!B:B=B221,
   'Raw Data'!C:C=G221
  ),
 1
 ),
 """"
)"),"OVL")</f>
        <v>OVL</v>
      </c>
      <c r="I221" s="97" t="str">
        <f>IFERROR(__xludf.DUMMYFUNCTION("IFERROR(
 INDEX(
  FILTER(
   'Raw Data'!E:E,
   'Raw Data'!B:B=B221,
   'Raw Data'!C:C=G221
  ),
 1
 ),
 """"
)"),"8 Door")</f>
        <v>8 Door</v>
      </c>
      <c r="J221" s="155" t="s">
        <v>169</v>
      </c>
      <c r="AC221" s="146"/>
    </row>
    <row r="222" ht="15.75" customHeight="1">
      <c r="A222" s="155">
        <v>7.0</v>
      </c>
      <c r="B222" s="174">
        <v>46186.0</v>
      </c>
      <c r="C222" s="169">
        <v>3.0</v>
      </c>
      <c r="D222" s="169" t="s">
        <v>72</v>
      </c>
      <c r="E222" s="170" t="str">
        <f>IFERROR(__xludf.DUMMYFUNCTION("IFERROR(
 INDEX(
  FILTER(
   'Raw Data'!D:D,
   'Raw Data'!B:B=B222,
   'Raw Data'!C:C=D222
  ),
 1
 ),
 """"
)"),"LRC")</f>
        <v>LRC</v>
      </c>
      <c r="F222" s="169" t="str">
        <f>IFERROR(__xludf.DUMMYFUNCTION("IFERROR(
 INDEX(
  FILTER(
   'Raw Data'!E:E,
   'Raw Data'!B:B=B222,
   'Raw Data'!C:C=D222
  ),
 1
 ),
 """"
)"),"Pants Door")</f>
        <v>Pants Door</v>
      </c>
      <c r="G222" s="169" t="s">
        <v>128</v>
      </c>
      <c r="H222" s="97" t="str">
        <f>IFERROR(__xludf.DUMMYFUNCTION("IFERROR(
 INDEX(
  FILTER(
   'Raw Data'!D:D,
   'Raw Data'!B:B=B222,
   'Raw Data'!C:C=G222
  ),
 1
 ),
 """"
)"),"NIK")</f>
        <v>NIK</v>
      </c>
      <c r="I222" s="97" t="str">
        <f>IFERROR(__xludf.DUMMYFUNCTION("IFERROR(
 INDEX(
  FILTER(
   'Raw Data'!E:E,
   'Raw Data'!B:B=B222,
   'Raw Data'!C:C=G222
  ),
 1
 ),
 """"
)"),"Door Standby")</f>
        <v>Door Standby</v>
      </c>
      <c r="J222" s="155" t="s">
        <v>169</v>
      </c>
      <c r="AC222" s="146"/>
    </row>
    <row r="223" ht="15.75" customHeight="1">
      <c r="A223" s="155">
        <v>7.0</v>
      </c>
      <c r="B223" s="175">
        <v>46186.0</v>
      </c>
      <c r="C223" s="172">
        <v>4.0</v>
      </c>
      <c r="D223" s="172" t="s">
        <v>72</v>
      </c>
      <c r="E223" s="173" t="str">
        <f>IFERROR(__xludf.DUMMYFUNCTION("IFERROR(
 INDEX(
  FILTER(
   'Raw Data'!D:D,
   'Raw Data'!B:B=B223,
   'Raw Data'!C:C=D223
  ),
 1
 ),
 """"
)"),"LRC")</f>
        <v>LRC</v>
      </c>
      <c r="F223" s="172" t="str">
        <f>IFERROR(__xludf.DUMMYFUNCTION("IFERROR(
 INDEX(
  FILTER(
   'Raw Data'!E:E,
   'Raw Data'!B:B=B223,
   'Raw Data'!C:C=D223
  ),
 1
 ),
 """"
)"),"Pants Door")</f>
        <v>Pants Door</v>
      </c>
      <c r="G223" s="172" t="s">
        <v>77</v>
      </c>
      <c r="H223" s="97" t="str">
        <f>IFERROR(__xludf.DUMMYFUNCTION("IFERROR(
 INDEX(
  FILTER(
   'Raw Data'!D:D,
   'Raw Data'!B:B=B223,
   'Raw Data'!C:C=G223
  ),
 1
 ),
 """"
)"),"MKI")</f>
        <v>MKI</v>
      </c>
      <c r="I223" s="97" t="str">
        <f>IFERROR(__xludf.DUMMYFUNCTION("IFERROR(
 INDEX(
  FILTER(
   'Raw Data'!E:E,
   'Raw Data'!B:B=B223,
   'Raw Data'!C:C=G223
  ),
 1
 ),
 """"
)"),"8 Door")</f>
        <v>8 Door</v>
      </c>
      <c r="J223" s="155" t="s">
        <v>168</v>
      </c>
      <c r="AC223" s="146"/>
    </row>
    <row r="224" ht="15.75" customHeight="1">
      <c r="A224" s="155">
        <v>7.0</v>
      </c>
      <c r="B224" s="168">
        <v>46186.0</v>
      </c>
      <c r="C224" s="169">
        <v>1.0</v>
      </c>
      <c r="D224" s="170" t="s">
        <v>128</v>
      </c>
      <c r="E224" s="170" t="str">
        <f>IFERROR(__xludf.DUMMYFUNCTION("IFERROR(
 INDEX(
  FILTER(
   'Raw Data'!D:D,
   'Raw Data'!B:B=B224,
   'Raw Data'!C:C=D224
  ),
 1
 ),
 """"
)"),"NIK")</f>
        <v>NIK</v>
      </c>
      <c r="F224" s="169" t="str">
        <f>IFERROR(__xludf.DUMMYFUNCTION("IFERROR(
 INDEX(
  FILTER(
   'Raw Data'!E:E,
   'Raw Data'!B:B=B224,
   'Raw Data'!C:C=D224
  ),
 1
 ),
 """"
)"),"Door Standby")</f>
        <v>Door Standby</v>
      </c>
      <c r="G224" s="169" t="s">
        <v>118</v>
      </c>
      <c r="H224" s="97" t="str">
        <f>IFERROR(__xludf.DUMMYFUNCTION("IFERROR(
 INDEX(
  FILTER(
   'Raw Data'!D:D,
   'Raw Data'!B:B=B224,
   'Raw Data'!C:C=G224
  ),
 1
 ),
 """"
)"),"EIS")</f>
        <v>EIS</v>
      </c>
      <c r="I224" s="97" t="str">
        <f>IFERROR(__xludf.DUMMYFUNCTION("IFERROR(
 INDEX(
  FILTER(
   'Raw Data'!E:E,
   'Raw Data'!B:B=B224,
   'Raw Data'!C:C=G224
  ),
 1
 ),
 """"
)"),"8 Standby")</f>
        <v>8 Standby</v>
      </c>
      <c r="J224" s="155" t="s">
        <v>169</v>
      </c>
      <c r="AC224" s="146"/>
    </row>
    <row r="225" ht="15.75" customHeight="1">
      <c r="A225" s="155">
        <v>7.0</v>
      </c>
      <c r="B225" s="171">
        <v>46186.0</v>
      </c>
      <c r="C225" s="172">
        <v>2.0</v>
      </c>
      <c r="D225" s="173" t="s">
        <v>128</v>
      </c>
      <c r="E225" s="173" t="str">
        <f>IFERROR(__xludf.DUMMYFUNCTION("IFERROR(
 INDEX(
  FILTER(
   'Raw Data'!D:D,
   'Raw Data'!B:B=B225,
   'Raw Data'!C:C=D225
  ),
 1
 ),
 """"
)"),"NIK")</f>
        <v>NIK</v>
      </c>
      <c r="F225" s="172" t="str">
        <f>IFERROR(__xludf.DUMMYFUNCTION("IFERROR(
 INDEX(
  FILTER(
   'Raw Data'!E:E,
   'Raw Data'!B:B=B225,
   'Raw Data'!C:C=D225
  ),
 1
 ),
 """"
)"),"Door Standby")</f>
        <v>Door Standby</v>
      </c>
      <c r="G225" s="172" t="s">
        <v>152</v>
      </c>
      <c r="H225" s="97" t="str">
        <f>IFERROR(__xludf.DUMMYFUNCTION("IFERROR(
 INDEX(
  FILTER(
   'Raw Data'!D:D,
   'Raw Data'!B:B=B225,
   'Raw Data'!C:C=G225
  ),
 1
 ),
 """"
)"),"MM")</f>
        <v>MM</v>
      </c>
      <c r="I225" s="97" t="str">
        <f>IFERROR(__xludf.DUMMYFUNCTION("IFERROR(
 INDEX(
  FILTER(
   'Raw Data'!E:E,
   'Raw Data'!B:B=B225,
   'Raw Data'!C:C=G225
  ),
 1
 ),
 """"
)"),"StockSoul Door")</f>
        <v>StockSoul Door</v>
      </c>
      <c r="J225" s="155" t="s">
        <v>168</v>
      </c>
      <c r="AC225" s="146"/>
    </row>
    <row r="226" ht="15.75" customHeight="1">
      <c r="A226" s="155">
        <v>7.0</v>
      </c>
      <c r="B226" s="174">
        <v>46186.0</v>
      </c>
      <c r="C226" s="169">
        <v>3.0</v>
      </c>
      <c r="D226" s="170" t="s">
        <v>128</v>
      </c>
      <c r="E226" s="170" t="str">
        <f>IFERROR(__xludf.DUMMYFUNCTION("IFERROR(
 INDEX(
  FILTER(
   'Raw Data'!D:D,
   'Raw Data'!B:B=B226,
   'Raw Data'!C:C=D226
  ),
 1
 ),
 """"
)"),"NIK")</f>
        <v>NIK</v>
      </c>
      <c r="F226" s="169" t="str">
        <f>IFERROR(__xludf.DUMMYFUNCTION("IFERROR(
 INDEX(
  FILTER(
   'Raw Data'!E:E,
   'Raw Data'!B:B=B226,
   'Raw Data'!C:C=D226
  ),
 1
 ),
 """"
)"),"Door Standby")</f>
        <v>Door Standby</v>
      </c>
      <c r="G226" s="169" t="s">
        <v>72</v>
      </c>
      <c r="H226" s="97" t="str">
        <f>IFERROR(__xludf.DUMMYFUNCTION("IFERROR(
 INDEX(
  FILTER(
   'Raw Data'!D:D,
   'Raw Data'!B:B=B226,
   'Raw Data'!C:C=G226
  ),
 1
 ),
 """"
)"),"LRC")</f>
        <v>LRC</v>
      </c>
      <c r="I226" s="97" t="str">
        <f>IFERROR(__xludf.DUMMYFUNCTION("IFERROR(
 INDEX(
  FILTER(
   'Raw Data'!E:E,
   'Raw Data'!B:B=B226,
   'Raw Data'!C:C=G226
  ),
 1
 ),
 """"
)"),"Pants Door")</f>
        <v>Pants Door</v>
      </c>
      <c r="J226" s="155" t="s">
        <v>168</v>
      </c>
      <c r="AC226" s="146"/>
    </row>
    <row r="227" ht="15.75" customHeight="1">
      <c r="A227" s="155">
        <v>7.0</v>
      </c>
      <c r="B227" s="175">
        <v>46186.0</v>
      </c>
      <c r="C227" s="172">
        <v>4.0</v>
      </c>
      <c r="D227" s="173" t="s">
        <v>128</v>
      </c>
      <c r="E227" s="173" t="str">
        <f>IFERROR(__xludf.DUMMYFUNCTION("IFERROR(
 INDEX(
  FILTER(
   'Raw Data'!D:D,
   'Raw Data'!B:B=B227,
   'Raw Data'!C:C=D227
  ),
 1
 ),
 """"
)"),"NIK")</f>
        <v>NIK</v>
      </c>
      <c r="F227" s="172" t="str">
        <f>IFERROR(__xludf.DUMMYFUNCTION("IFERROR(
 INDEX(
  FILTER(
   'Raw Data'!E:E,
   'Raw Data'!B:B=B227,
   'Raw Data'!C:C=D227
  ),
 1
 ),
 """"
)"),"Door Standby")</f>
        <v>Door Standby</v>
      </c>
      <c r="G227" s="172" t="s">
        <v>70</v>
      </c>
      <c r="H227" s="97" t="str">
        <f>IFERROR(__xludf.DUMMYFUNCTION("IFERROR(
 INDEX(
  FILTER(
   'Raw Data'!D:D,
   'Raw Data'!B:B=B227,
   'Raw Data'!C:C=G227
  ),
 1
 ),
 """"
)"),"EIS")</f>
        <v>EIS</v>
      </c>
      <c r="I227" s="97" t="str">
        <f>IFERROR(__xludf.DUMMYFUNCTION("IFERROR(
 INDEX(
  FILTER(
   'Raw Data'!E:E,
   'Raw Data'!B:B=B227,
   'Raw Data'!C:C=G227
  ),
 1
 ),
 """"
)"),"5 Door 3 Pants Sortie")</f>
        <v>5 Door 3 Pants Sortie</v>
      </c>
      <c r="J227" s="155" t="s">
        <v>169</v>
      </c>
      <c r="AC227" s="146"/>
    </row>
    <row r="228" ht="15.75" customHeight="1">
      <c r="A228" s="155">
        <v>7.0</v>
      </c>
      <c r="B228" s="168">
        <v>46186.0</v>
      </c>
      <c r="C228" s="169">
        <v>1.0</v>
      </c>
      <c r="D228" s="170" t="s">
        <v>90</v>
      </c>
      <c r="E228" s="170" t="str">
        <f>IFERROR(__xludf.DUMMYFUNCTION("IFERROR(
 INDEX(
  FILTER(
   'Raw Data'!D:D,
   'Raw Data'!B:B=B228,
   'Raw Data'!C:C=D228
  ),
 1
 ),
 """"
)"),"DAL")</f>
        <v>DAL</v>
      </c>
      <c r="F228" s="169" t="str">
        <f>IFERROR(__xludf.DUMMYFUNCTION("IFERROR(
 INDEX(
  FILTER(
   'Raw Data'!E:E,
   'Raw Data'!B:B=B228,
   'Raw Data'!C:C=D228
  ),
 1
 ),
 """"
)"),"8 Standby")</f>
        <v>8 Standby</v>
      </c>
      <c r="G228" s="169" t="s">
        <v>67</v>
      </c>
      <c r="H228" s="97" t="str">
        <f>IFERROR(__xludf.DUMMYFUNCTION("IFERROR(
 INDEX(
  FILTER(
   'Raw Data'!D:D,
   'Raw Data'!B:B=B228,
   'Raw Data'!C:C=G228
  ),
 1
 ),
 """"
)"),"OVL")</f>
        <v>OVL</v>
      </c>
      <c r="I228" s="97" t="str">
        <f>IFERROR(__xludf.DUMMYFUNCTION("IFERROR(
 INDEX(
  FILTER(
   'Raw Data'!E:E,
   'Raw Data'!B:B=B228,
   'Raw Data'!C:C=G228
  ),
 1
 ),
 """"
)"),"8 Door")</f>
        <v>8 Door</v>
      </c>
      <c r="J228" s="155" t="s">
        <v>168</v>
      </c>
      <c r="AC228" s="146"/>
    </row>
    <row r="229" ht="15.75" customHeight="1">
      <c r="A229" s="155">
        <v>7.0</v>
      </c>
      <c r="B229" s="171">
        <v>46186.0</v>
      </c>
      <c r="C229" s="172">
        <v>2.0</v>
      </c>
      <c r="D229" s="173" t="s">
        <v>90</v>
      </c>
      <c r="E229" s="173" t="str">
        <f>IFERROR(__xludf.DUMMYFUNCTION("IFERROR(
 INDEX(
  FILTER(
   'Raw Data'!D:D,
   'Raw Data'!B:B=B229,
   'Raw Data'!C:C=D229
  ),
 1
 ),
 """"
)"),"DAL")</f>
        <v>DAL</v>
      </c>
      <c r="F229" s="172" t="str">
        <f>IFERROR(__xludf.DUMMYFUNCTION("IFERROR(
 INDEX(
  FILTER(
   'Raw Data'!E:E,
   'Raw Data'!B:B=B229,
   'Raw Data'!C:C=D229
  ),
 1
 ),
 """"
)"),"8 Standby")</f>
        <v>8 Standby</v>
      </c>
      <c r="G229" s="172" t="s">
        <v>87</v>
      </c>
      <c r="H229" s="97" t="str">
        <f>IFERROR(__xludf.DUMMYFUNCTION("IFERROR(
 INDEX(
  FILTER(
   'Raw Data'!D:D,
   'Raw Data'!B:B=B229,
   'Raw Data'!C:C=G229
  ),
 1
 ),
 """"
)"),"CSM")</f>
        <v>CSM</v>
      </c>
      <c r="I229" s="97" t="str">
        <f>IFERROR(__xludf.DUMMYFUNCTION("IFERROR(
 INDEX(
  FILTER(
   'Raw Data'!E:E,
   'Raw Data'!B:B=B229,
   'Raw Data'!C:C=G229
  ),
 1
 ),
 """"
)"),"StockSoul Bar")</f>
        <v>StockSoul Bar</v>
      </c>
      <c r="J229" s="155" t="s">
        <v>169</v>
      </c>
      <c r="AC229" s="146"/>
    </row>
    <row r="230" ht="15.75" customHeight="1">
      <c r="A230" s="155">
        <v>7.0</v>
      </c>
      <c r="B230" s="174">
        <v>46186.0</v>
      </c>
      <c r="C230" s="169">
        <v>3.0</v>
      </c>
      <c r="D230" s="170" t="s">
        <v>90</v>
      </c>
      <c r="E230" s="170" t="str">
        <f>IFERROR(__xludf.DUMMYFUNCTION("IFERROR(
 INDEX(
  FILTER(
   'Raw Data'!D:D,
   'Raw Data'!B:B=B230,
   'Raw Data'!C:C=D230
  ),
 1
 ),
 """"
)"),"DAL")</f>
        <v>DAL</v>
      </c>
      <c r="F230" s="169" t="str">
        <f>IFERROR(__xludf.DUMMYFUNCTION("IFERROR(
 INDEX(
  FILTER(
   'Raw Data'!E:E,
   'Raw Data'!B:B=B230,
   'Raw Data'!C:C=D230
  ),
 1
 ),
 """"
)"),"8 Standby")</f>
        <v>8 Standby</v>
      </c>
      <c r="G230" s="177"/>
      <c r="H230" s="97" t="str">
        <f>IFERROR(__xludf.DUMMYFUNCTION("IFERROR(
 INDEX(
  FILTER(
   'Raw Data'!D:D,
   'Raw Data'!B:B=B230,
   'Raw Data'!C:C=G230
  ),
 1
 ),
 """"
)"),"")</f>
        <v/>
      </c>
      <c r="I230" s="97" t="str">
        <f>IFERROR(__xludf.DUMMYFUNCTION("IFERROR(
 INDEX(
  FILTER(
   'Raw Data'!E:E,
   'Raw Data'!B:B=B230,
   'Raw Data'!C:C=G230
  ),
 1
 ),
 """"
)"),"")</f>
        <v/>
      </c>
      <c r="AC230" s="146"/>
    </row>
    <row r="231" ht="15.75" customHeight="1">
      <c r="A231" s="155">
        <v>7.0</v>
      </c>
      <c r="B231" s="175">
        <v>46186.0</v>
      </c>
      <c r="C231" s="172">
        <v>4.0</v>
      </c>
      <c r="D231" s="173" t="s">
        <v>90</v>
      </c>
      <c r="E231" s="173" t="str">
        <f>IFERROR(__xludf.DUMMYFUNCTION("IFERROR(
 INDEX(
  FILTER(
   'Raw Data'!D:D,
   'Raw Data'!B:B=B231,
   'Raw Data'!C:C=D231
  ),
 1
 ),
 """"
)"),"DAL")</f>
        <v>DAL</v>
      </c>
      <c r="F231" s="172" t="str">
        <f>IFERROR(__xludf.DUMMYFUNCTION("IFERROR(
 INDEX(
  FILTER(
   'Raw Data'!E:E,
   'Raw Data'!B:B=B231,
   'Raw Data'!C:C=D231
  ),
 1
 ),
 """"
)"),"8 Standby")</f>
        <v>8 Standby</v>
      </c>
      <c r="G231" s="176"/>
      <c r="H231" s="97" t="str">
        <f>IFERROR(__xludf.DUMMYFUNCTION("IFERROR(
 INDEX(
  FILTER(
   'Raw Data'!D:D,
   'Raw Data'!B:B=B231,
   'Raw Data'!C:C=G231
  ),
 1
 ),
 """"
)"),"")</f>
        <v/>
      </c>
      <c r="I231" s="97" t="str">
        <f>IFERROR(__xludf.DUMMYFUNCTION("IFERROR(
 INDEX(
  FILTER(
   'Raw Data'!E:E,
   'Raw Data'!B:B=B231,
   'Raw Data'!C:C=G231
  ),
 1
 ),
 """"
)"),"")</f>
        <v/>
      </c>
      <c r="AC231" s="146"/>
    </row>
    <row r="232" ht="15.75" customHeight="1">
      <c r="A232" s="155">
        <v>7.0</v>
      </c>
      <c r="B232" s="168">
        <v>46186.0</v>
      </c>
      <c r="C232" s="169">
        <v>1.0</v>
      </c>
      <c r="D232" s="170" t="s">
        <v>67</v>
      </c>
      <c r="E232" s="170" t="str">
        <f>IFERROR(__xludf.DUMMYFUNCTION("IFERROR(
 INDEX(
  FILTER(
   'Raw Data'!D:D,
   'Raw Data'!B:B=B232,
   'Raw Data'!C:C=D232
  ),
 1
 ),
 """"
)"),"OVL")</f>
        <v>OVL</v>
      </c>
      <c r="F232" s="169" t="str">
        <f>IFERROR(__xludf.DUMMYFUNCTION("IFERROR(
 INDEX(
  FILTER(
   'Raw Data'!E:E,
   'Raw Data'!B:B=B232,
   'Raw Data'!C:C=D232
  ),
 1
 ),
 """"
)"),"8 Door")</f>
        <v>8 Door</v>
      </c>
      <c r="G232" s="169" t="s">
        <v>90</v>
      </c>
      <c r="H232" s="97" t="str">
        <f>IFERROR(__xludf.DUMMYFUNCTION("IFERROR(
 INDEX(
  FILTER(
   'Raw Data'!D:D,
   'Raw Data'!B:B=B232,
   'Raw Data'!C:C=G232
  ),
 1
 ),
 """"
)"),"DAL")</f>
        <v>DAL</v>
      </c>
      <c r="I232" s="97" t="str">
        <f>IFERROR(__xludf.DUMMYFUNCTION("IFERROR(
 INDEX(
  FILTER(
   'Raw Data'!E:E,
   'Raw Data'!B:B=B232,
   'Raw Data'!C:C=G232
  ),
 1
 ),
 """"
)"),"8 Standby")</f>
        <v>8 Standby</v>
      </c>
      <c r="J232" s="155" t="s">
        <v>169</v>
      </c>
      <c r="AC232" s="146"/>
    </row>
    <row r="233" ht="15.75" customHeight="1">
      <c r="A233" s="155">
        <v>7.0</v>
      </c>
      <c r="B233" s="171">
        <v>46186.0</v>
      </c>
      <c r="C233" s="172">
        <v>2.0</v>
      </c>
      <c r="D233" s="173" t="s">
        <v>67</v>
      </c>
      <c r="E233" s="173" t="str">
        <f>IFERROR(__xludf.DUMMYFUNCTION("IFERROR(
 INDEX(
  FILTER(
   'Raw Data'!D:D,
   'Raw Data'!B:B=B233,
   'Raw Data'!C:C=D233
  ),
 1
 ),
 """"
)"),"OVL")</f>
        <v>OVL</v>
      </c>
      <c r="F233" s="172" t="str">
        <f>IFERROR(__xludf.DUMMYFUNCTION("IFERROR(
 INDEX(
  FILTER(
   'Raw Data'!E:E,
   'Raw Data'!B:B=B233,
   'Raw Data'!C:C=D233
  ),
 1
 ),
 """"
)"),"8 Door")</f>
        <v>8 Door</v>
      </c>
      <c r="G233" s="172" t="s">
        <v>157</v>
      </c>
      <c r="H233" s="97" t="str">
        <f>IFERROR(__xludf.DUMMYFUNCTION("IFERROR(
 INDEX(
  FILTER(
   'Raw Data'!D:D,
   'Raw Data'!B:B=B233,
   'Raw Data'!C:C=G233
  ),
 1
 ),
 """"
)"),"PJS")</f>
        <v>PJS</v>
      </c>
      <c r="I233" s="97" t="str">
        <f>IFERROR(__xludf.DUMMYFUNCTION("IFERROR(
 INDEX(
  FILTER(
   'Raw Data'!E:E,
   'Raw Data'!B:B=B233,
   'Raw Data'!C:C=G233
  ),
 1
 ),
 """"
)"),"8 Bar")</f>
        <v>8 Bar</v>
      </c>
      <c r="J233" s="155" t="s">
        <v>168</v>
      </c>
      <c r="AC233" s="146"/>
    </row>
    <row r="234" ht="15.75" customHeight="1">
      <c r="A234" s="155">
        <v>7.0</v>
      </c>
      <c r="B234" s="174">
        <v>46186.0</v>
      </c>
      <c r="C234" s="169">
        <v>3.0</v>
      </c>
      <c r="D234" s="170" t="s">
        <v>67</v>
      </c>
      <c r="E234" s="170" t="str">
        <f>IFERROR(__xludf.DUMMYFUNCTION("IFERROR(
 INDEX(
  FILTER(
   'Raw Data'!D:D,
   'Raw Data'!B:B=B234,
   'Raw Data'!C:C=D234
  ),
 1
 ),
 """"
)"),"OVL")</f>
        <v>OVL</v>
      </c>
      <c r="F234" s="169" t="str">
        <f>IFERROR(__xludf.DUMMYFUNCTION("IFERROR(
 INDEX(
  FILTER(
   'Raw Data'!E:E,
   'Raw Data'!B:B=B234,
   'Raw Data'!C:C=D234
  ),
 1
 ),
 """"
)"),"8 Door")</f>
        <v>8 Door</v>
      </c>
      <c r="G234" s="169" t="s">
        <v>104</v>
      </c>
      <c r="H234" s="97" t="str">
        <f>IFERROR(__xludf.DUMMYFUNCTION("IFERROR(
 INDEX(
  FILTER(
   'Raw Data'!D:D,
   'Raw Data'!B:B=B234,
   'Raw Data'!C:C=G234
  ),
 1
 ),
 """"
)"),"BD")</f>
        <v>BD</v>
      </c>
      <c r="I234" s="97" t="str">
        <f>IFERROR(__xludf.DUMMYFUNCTION("IFERROR(
 INDEX(
  FILTER(
   'Raw Data'!E:E,
   'Raw Data'!B:B=B234,
   'Raw Data'!C:C=G234
  ),
 1
 ),
 """"
)"),"Bar Door")</f>
        <v>Bar Door</v>
      </c>
      <c r="J234" s="155" t="s">
        <v>169</v>
      </c>
      <c r="AC234" s="146"/>
    </row>
    <row r="235" ht="15.75" customHeight="1">
      <c r="A235" s="155">
        <v>7.0</v>
      </c>
      <c r="B235" s="175">
        <v>46186.0</v>
      </c>
      <c r="C235" s="172">
        <v>4.0</v>
      </c>
      <c r="D235" s="173" t="s">
        <v>67</v>
      </c>
      <c r="E235" s="173" t="str">
        <f>IFERROR(__xludf.DUMMYFUNCTION("IFERROR(
 INDEX(
  FILTER(
   'Raw Data'!D:D,
   'Raw Data'!B:B=B235,
   'Raw Data'!C:C=D235
  ),
 1
 ),
 """"
)"),"OVL")</f>
        <v>OVL</v>
      </c>
      <c r="F235" s="172" t="str">
        <f>IFERROR(__xludf.DUMMYFUNCTION("IFERROR(
 INDEX(
  FILTER(
   'Raw Data'!E:E,
   'Raw Data'!B:B=B235,
   'Raw Data'!C:C=D235
  ),
 1
 ),
 """"
)"),"8 Door")</f>
        <v>8 Door</v>
      </c>
      <c r="G235" s="172" t="s">
        <v>83</v>
      </c>
      <c r="H235" s="97" t="str">
        <f>IFERROR(__xludf.DUMMYFUNCTION("IFERROR(
 INDEX(
  FILTER(
   'Raw Data'!D:D,
   'Raw Data'!B:B=B235,
   'Raw Data'!C:C=G235
  ),
 1
 ),
 """"
)"),"MDE")</f>
        <v>MDE</v>
      </c>
      <c r="I235" s="97" t="str">
        <f>IFERROR(__xludf.DUMMYFUNCTION("IFERROR(
 INDEX(
  FILTER(
   'Raw Data'!E:E,
   'Raw Data'!B:B=B235,
   'Raw Data'!C:C=G235
  ),
 1
 ),
 """"
)"),"Link")</f>
        <v>Link</v>
      </c>
      <c r="J235" s="155" t="s">
        <v>168</v>
      </c>
      <c r="AC235" s="146"/>
    </row>
    <row r="236" ht="15.75" customHeight="1">
      <c r="A236" s="155">
        <v>7.0</v>
      </c>
      <c r="B236" s="168">
        <v>46186.0</v>
      </c>
      <c r="C236" s="169">
        <v>1.0</v>
      </c>
      <c r="D236" s="170" t="s">
        <v>152</v>
      </c>
      <c r="E236" s="170" t="str">
        <f>IFERROR(__xludf.DUMMYFUNCTION("IFERROR(
 INDEX(
  FILTER(
   'Raw Data'!D:D,
   'Raw Data'!B:B=B236,
   'Raw Data'!C:C=D236
  ),
 1
 ),
 """"
)"),"MM")</f>
        <v>MM</v>
      </c>
      <c r="F236" s="169" t="str">
        <f>IFERROR(__xludf.DUMMYFUNCTION("IFERROR(
 INDEX(
  FILTER(
   'Raw Data'!E:E,
   'Raw Data'!B:B=B236,
   'Raw Data'!C:C=D236
  ),
 1
 ),
 """"
)"),"StockSoul Door")</f>
        <v>StockSoul Door</v>
      </c>
      <c r="G236" s="169" t="s">
        <v>77</v>
      </c>
      <c r="H236" s="97" t="str">
        <f>IFERROR(__xludf.DUMMYFUNCTION("IFERROR(
 INDEX(
  FILTER(
   'Raw Data'!D:D,
   'Raw Data'!B:B=B236,
   'Raw Data'!C:C=G236
  ),
 1
 ),
 """"
)"),"MKI")</f>
        <v>MKI</v>
      </c>
      <c r="I236" s="97" t="str">
        <f>IFERROR(__xludf.DUMMYFUNCTION("IFERROR(
 INDEX(
  FILTER(
   'Raw Data'!E:E,
   'Raw Data'!B:B=B236,
   'Raw Data'!C:C=G236
  ),
 1
 ),
 """"
)"),"8 Door")</f>
        <v>8 Door</v>
      </c>
      <c r="J236" s="155" t="s">
        <v>168</v>
      </c>
      <c r="AC236" s="146"/>
    </row>
    <row r="237" ht="15.75" customHeight="1">
      <c r="A237" s="155">
        <v>7.0</v>
      </c>
      <c r="B237" s="171">
        <v>46186.0</v>
      </c>
      <c r="C237" s="172">
        <v>2.0</v>
      </c>
      <c r="D237" s="173" t="s">
        <v>152</v>
      </c>
      <c r="E237" s="173" t="str">
        <f>IFERROR(__xludf.DUMMYFUNCTION("IFERROR(
 INDEX(
  FILTER(
   'Raw Data'!D:D,
   'Raw Data'!B:B=B237,
   'Raw Data'!C:C=D237
  ),
 1
 ),
 """"
)"),"MM")</f>
        <v>MM</v>
      </c>
      <c r="F237" s="172" t="str">
        <f>IFERROR(__xludf.DUMMYFUNCTION("IFERROR(
 INDEX(
  FILTER(
   'Raw Data'!E:E,
   'Raw Data'!B:B=B237,
   'Raw Data'!C:C=D237
  ),
 1
 ),
 """"
)"),"StockSoul Door")</f>
        <v>StockSoul Door</v>
      </c>
      <c r="G237" s="172" t="s">
        <v>128</v>
      </c>
      <c r="H237" s="97" t="str">
        <f>IFERROR(__xludf.DUMMYFUNCTION("IFERROR(
 INDEX(
  FILTER(
   'Raw Data'!D:D,
   'Raw Data'!B:B=B237,
   'Raw Data'!C:C=G237
  ),
 1
 ),
 """"
)"),"NIK")</f>
        <v>NIK</v>
      </c>
      <c r="I237" s="97" t="str">
        <f>IFERROR(__xludf.DUMMYFUNCTION("IFERROR(
 INDEX(
  FILTER(
   'Raw Data'!E:E,
   'Raw Data'!B:B=B237,
   'Raw Data'!C:C=G237
  ),
 1
 ),
 """"
)"),"Door Standby")</f>
        <v>Door Standby</v>
      </c>
      <c r="J237" s="155" t="s">
        <v>169</v>
      </c>
      <c r="AC237" s="146"/>
    </row>
    <row r="238" ht="15.75" customHeight="1">
      <c r="A238" s="155">
        <v>7.0</v>
      </c>
      <c r="B238" s="174">
        <v>46186.0</v>
      </c>
      <c r="C238" s="169">
        <v>3.0</v>
      </c>
      <c r="D238" s="170" t="s">
        <v>152</v>
      </c>
      <c r="E238" s="170" t="str">
        <f>IFERROR(__xludf.DUMMYFUNCTION("IFERROR(
 INDEX(
  FILTER(
   'Raw Data'!D:D,
   'Raw Data'!B:B=B238,
   'Raw Data'!C:C=D238
  ),
 1
 ),
 """"
)"),"MM")</f>
        <v>MM</v>
      </c>
      <c r="F238" s="169" t="str">
        <f>IFERROR(__xludf.DUMMYFUNCTION("IFERROR(
 INDEX(
  FILTER(
   'Raw Data'!E:E,
   'Raw Data'!B:B=B238,
   'Raw Data'!C:C=D238
  ),
 1
 ),
 """"
)"),"StockSoul Door")</f>
        <v>StockSoul Door</v>
      </c>
      <c r="G238" s="169" t="s">
        <v>70</v>
      </c>
      <c r="H238" s="97" t="str">
        <f>IFERROR(__xludf.DUMMYFUNCTION("IFERROR(
 INDEX(
  FILTER(
   'Raw Data'!D:D,
   'Raw Data'!B:B=B238,
   'Raw Data'!C:C=G238
  ),
 1
 ),
 """"
)"),"EIS")</f>
        <v>EIS</v>
      </c>
      <c r="I238" s="97" t="str">
        <f>IFERROR(__xludf.DUMMYFUNCTION("IFERROR(
 INDEX(
  FILTER(
   'Raw Data'!E:E,
   'Raw Data'!B:B=B238,
   'Raw Data'!C:C=G238
  ),
 1
 ),
 """"
)"),"5 Door 3 Pants Sortie")</f>
        <v>5 Door 3 Pants Sortie</v>
      </c>
      <c r="J238" s="155" t="s">
        <v>169</v>
      </c>
      <c r="AC238" s="146"/>
    </row>
    <row r="239" ht="15.75" customHeight="1">
      <c r="A239" s="155">
        <v>7.0</v>
      </c>
      <c r="B239" s="175">
        <v>46186.0</v>
      </c>
      <c r="C239" s="172">
        <v>4.0</v>
      </c>
      <c r="D239" s="173" t="s">
        <v>152</v>
      </c>
      <c r="E239" s="173" t="str">
        <f>IFERROR(__xludf.DUMMYFUNCTION("IFERROR(
 INDEX(
  FILTER(
   'Raw Data'!D:D,
   'Raw Data'!B:B=B239,
   'Raw Data'!C:C=D239
  ),
 1
 ),
 """"
)"),"MM")</f>
        <v>MM</v>
      </c>
      <c r="F239" s="172" t="str">
        <f>IFERROR(__xludf.DUMMYFUNCTION("IFERROR(
 INDEX(
  FILTER(
   'Raw Data'!E:E,
   'Raw Data'!B:B=B239,
   'Raw Data'!C:C=D239
  ),
 1
 ),
 """"
)"),"StockSoul Door")</f>
        <v>StockSoul Door</v>
      </c>
      <c r="G239" s="172" t="s">
        <v>118</v>
      </c>
      <c r="H239" s="97" t="str">
        <f>IFERROR(__xludf.DUMMYFUNCTION("IFERROR(
 INDEX(
  FILTER(
   'Raw Data'!D:D,
   'Raw Data'!B:B=B239,
   'Raw Data'!C:C=G239
  ),
 1
 ),
 """"
)"),"EIS")</f>
        <v>EIS</v>
      </c>
      <c r="I239" s="97" t="str">
        <f>IFERROR(__xludf.DUMMYFUNCTION("IFERROR(
 INDEX(
  FILTER(
   'Raw Data'!E:E,
   'Raw Data'!B:B=B239,
   'Raw Data'!C:C=G239
  ),
 1
 ),
 """"
)"),"8 Standby")</f>
        <v>8 Standby</v>
      </c>
      <c r="J239" s="155" t="s">
        <v>168</v>
      </c>
      <c r="AC239" s="146"/>
    </row>
    <row r="240" ht="15.75" customHeight="1">
      <c r="A240" s="155">
        <v>7.0</v>
      </c>
      <c r="B240" s="168">
        <v>46186.0</v>
      </c>
      <c r="C240" s="169">
        <v>1.0</v>
      </c>
      <c r="D240" s="170" t="s">
        <v>83</v>
      </c>
      <c r="E240" s="170" t="str">
        <f>IFERROR(__xludf.DUMMYFUNCTION("IFERROR(
 INDEX(
  FILTER(
   'Raw Data'!D:D,
   'Raw Data'!B:B=B240,
   'Raw Data'!C:C=D240
  ),
 1
 ),
 """"
)"),"MDE")</f>
        <v>MDE</v>
      </c>
      <c r="F240" s="169" t="str">
        <f>IFERROR(__xludf.DUMMYFUNCTION("IFERROR(
 INDEX(
  FILTER(
   'Raw Data'!E:E,
   'Raw Data'!B:B=B240,
   'Raw Data'!C:C=D240
  ),
 1
 ),
 """"
)"),"Link")</f>
        <v>Link</v>
      </c>
      <c r="G240" s="169" t="s">
        <v>147</v>
      </c>
      <c r="H240" s="97" t="str">
        <f>IFERROR(__xludf.DUMMYFUNCTION("IFERROR(
 INDEX(
  FILTER(
   'Raw Data'!D:D,
   'Raw Data'!B:B=B240,
   'Raw Data'!C:C=G240
  ),
 1
 ),
 """"
)"),"OVL")</f>
        <v>OVL</v>
      </c>
      <c r="I240" s="97" t="str">
        <f>IFERROR(__xludf.DUMMYFUNCTION("IFERROR(
 INDEX(
  FILTER(
   'Raw Data'!E:E,
   'Raw Data'!B:B=B240,
   'Raw Data'!C:C=G240
  ),
 1
 ),
 """"
)"),"8 Door")</f>
        <v>8 Door</v>
      </c>
      <c r="J240" s="155" t="s">
        <v>169</v>
      </c>
      <c r="AC240" s="146"/>
    </row>
    <row r="241" ht="15.75" customHeight="1">
      <c r="A241" s="155">
        <v>7.0</v>
      </c>
      <c r="B241" s="171">
        <v>46186.0</v>
      </c>
      <c r="C241" s="172">
        <v>2.0</v>
      </c>
      <c r="D241" s="173" t="s">
        <v>83</v>
      </c>
      <c r="E241" s="173" t="str">
        <f>IFERROR(__xludf.DUMMYFUNCTION("IFERROR(
 INDEX(
  FILTER(
   'Raw Data'!D:D,
   'Raw Data'!B:B=B241,
   'Raw Data'!C:C=D241
  ),
 1
 ),
 """"
)"),"MDE")</f>
        <v>MDE</v>
      </c>
      <c r="F241" s="172" t="str">
        <f>IFERROR(__xludf.DUMMYFUNCTION("IFERROR(
 INDEX(
  FILTER(
   'Raw Data'!E:E,
   'Raw Data'!B:B=B241,
   'Raw Data'!C:C=D241
  ),
 1
 ),
 """"
)"),"Link")</f>
        <v>Link</v>
      </c>
      <c r="G241" s="172" t="s">
        <v>70</v>
      </c>
      <c r="H241" s="97" t="str">
        <f>IFERROR(__xludf.DUMMYFUNCTION("IFERROR(
 INDEX(
  FILTER(
   'Raw Data'!D:D,
   'Raw Data'!B:B=B241,
   'Raw Data'!C:C=G241
  ),
 1
 ),
 """"
)"),"EIS")</f>
        <v>EIS</v>
      </c>
      <c r="I241" s="97" t="str">
        <f>IFERROR(__xludf.DUMMYFUNCTION("IFERROR(
 INDEX(
  FILTER(
   'Raw Data'!E:E,
   'Raw Data'!B:B=B241,
   'Raw Data'!C:C=G241
  ),
 1
 ),
 """"
)"),"5 Door 3 Pants Sortie")</f>
        <v>5 Door 3 Pants Sortie</v>
      </c>
      <c r="J241" s="155" t="s">
        <v>169</v>
      </c>
      <c r="AC241" s="146"/>
    </row>
    <row r="242" ht="15.75" customHeight="1">
      <c r="A242" s="155">
        <v>7.0</v>
      </c>
      <c r="B242" s="174">
        <v>46186.0</v>
      </c>
      <c r="C242" s="169">
        <v>3.0</v>
      </c>
      <c r="D242" s="170" t="s">
        <v>83</v>
      </c>
      <c r="E242" s="170" t="str">
        <f>IFERROR(__xludf.DUMMYFUNCTION("IFERROR(
 INDEX(
  FILTER(
   'Raw Data'!D:D,
   'Raw Data'!B:B=B242,
   'Raw Data'!C:C=D242
  ),
 1
 ),
 """"
)"),"MDE")</f>
        <v>MDE</v>
      </c>
      <c r="F242" s="169" t="str">
        <f>IFERROR(__xludf.DUMMYFUNCTION("IFERROR(
 INDEX(
  FILTER(
   'Raw Data'!E:E,
   'Raw Data'!B:B=B242,
   'Raw Data'!C:C=D242
  ),
 1
 ),
 """"
)"),"Link")</f>
        <v>Link</v>
      </c>
      <c r="G242" s="177"/>
      <c r="H242" s="97" t="str">
        <f>IFERROR(__xludf.DUMMYFUNCTION("IFERROR(
 INDEX(
  FILTER(
   'Raw Data'!D:D,
   'Raw Data'!B:B=B242,
   'Raw Data'!C:C=G242
  ),
 1
 ),
 """"
)"),"")</f>
        <v/>
      </c>
      <c r="I242" s="97" t="str">
        <f>IFERROR(__xludf.DUMMYFUNCTION("IFERROR(
 INDEX(
  FILTER(
   'Raw Data'!E:E,
   'Raw Data'!B:B=B242,
   'Raw Data'!C:C=G242
  ),
 1
 ),
 """"
)"),"")</f>
        <v/>
      </c>
      <c r="J242" s="155" t="s">
        <v>169</v>
      </c>
      <c r="AC242" s="146"/>
    </row>
    <row r="243" ht="15.75" customHeight="1">
      <c r="A243" s="155">
        <v>7.0</v>
      </c>
      <c r="B243" s="175">
        <v>46186.0</v>
      </c>
      <c r="C243" s="172">
        <v>4.0</v>
      </c>
      <c r="D243" s="173" t="s">
        <v>83</v>
      </c>
      <c r="E243" s="173" t="str">
        <f>IFERROR(__xludf.DUMMYFUNCTION("IFERROR(
 INDEX(
  FILTER(
   'Raw Data'!D:D,
   'Raw Data'!B:B=B243,
   'Raw Data'!C:C=D243
  ),
 1
 ),
 """"
)"),"MDE")</f>
        <v>MDE</v>
      </c>
      <c r="F243" s="172" t="str">
        <f>IFERROR(__xludf.DUMMYFUNCTION("IFERROR(
 INDEX(
  FILTER(
   'Raw Data'!E:E,
   'Raw Data'!B:B=B243,
   'Raw Data'!C:C=D243
  ),
 1
 ),
 """"
)"),"Link")</f>
        <v>Link</v>
      </c>
      <c r="G243" s="172" t="s">
        <v>181</v>
      </c>
      <c r="H243" s="97" t="str">
        <f>IFERROR(__xludf.DUMMYFUNCTION("IFERROR(
 INDEX(
  FILTER(
   'Raw Data'!D:D,
   'Raw Data'!B:B=B243,
   'Raw Data'!C:C=G243
  ),
 1
 ),
 """"
)"),"OVL")</f>
        <v>OVL</v>
      </c>
      <c r="I243" s="97" t="str">
        <f>IFERROR(__xludf.DUMMYFUNCTION("IFERROR(
 INDEX(
  FILTER(
   'Raw Data'!E:E,
   'Raw Data'!B:B=B243,
   'Raw Data'!C:C=G243
  ),
 1
 ),
 """"
)"),"8 Door")</f>
        <v>8 Door</v>
      </c>
      <c r="J243" s="155" t="s">
        <v>168</v>
      </c>
      <c r="AC243" s="146"/>
    </row>
    <row r="244" ht="15.75" customHeight="1">
      <c r="A244" s="155">
        <v>7.0</v>
      </c>
      <c r="B244" s="168">
        <v>46186.0</v>
      </c>
      <c r="C244" s="169">
        <v>1.0</v>
      </c>
      <c r="D244" s="170" t="s">
        <v>118</v>
      </c>
      <c r="E244" s="170" t="str">
        <f>IFERROR(__xludf.DUMMYFUNCTION("IFERROR(
 INDEX(
  FILTER(
   'Raw Data'!D:D,
   'Raw Data'!B:B=B244,
   'Raw Data'!C:C=D244
  ),
 1
 ),
 """"
)"),"EIS")</f>
        <v>EIS</v>
      </c>
      <c r="F244" s="169" t="str">
        <f>IFERROR(__xludf.DUMMYFUNCTION("IFERROR(
 INDEX(
  FILTER(
   'Raw Data'!E:E,
   'Raw Data'!B:B=B244,
   'Raw Data'!C:C=D244
  ),
 1
 ),
 """"
)"),"8 Standby")</f>
        <v>8 Standby</v>
      </c>
      <c r="G244" s="169" t="s">
        <v>128</v>
      </c>
      <c r="H244" s="97" t="str">
        <f>IFERROR(__xludf.DUMMYFUNCTION("IFERROR(
 INDEX(
  FILTER(
   'Raw Data'!D:D,
   'Raw Data'!B:B=B244,
   'Raw Data'!C:C=G244
  ),
 1
 ),
 """"
)"),"NIK")</f>
        <v>NIK</v>
      </c>
      <c r="I244" s="97" t="str">
        <f>IFERROR(__xludf.DUMMYFUNCTION("IFERROR(
 INDEX(
  FILTER(
   'Raw Data'!E:E,
   'Raw Data'!B:B=B244,
   'Raw Data'!C:C=G244
  ),
 1
 ),
 """"
)"),"Door Standby")</f>
        <v>Door Standby</v>
      </c>
      <c r="J244" s="155" t="s">
        <v>168</v>
      </c>
      <c r="AC244" s="146"/>
    </row>
    <row r="245" ht="15.75" customHeight="1">
      <c r="A245" s="155">
        <v>7.0</v>
      </c>
      <c r="B245" s="171">
        <v>46186.0</v>
      </c>
      <c r="C245" s="172">
        <v>2.0</v>
      </c>
      <c r="D245" s="173" t="s">
        <v>118</v>
      </c>
      <c r="E245" s="173" t="str">
        <f>IFERROR(__xludf.DUMMYFUNCTION("IFERROR(
 INDEX(
  FILTER(
   'Raw Data'!D:D,
   'Raw Data'!B:B=B245,
   'Raw Data'!C:C=D245
  ),
 1
 ),
 """"
)"),"EIS")</f>
        <v>EIS</v>
      </c>
      <c r="F245" s="172" t="str">
        <f>IFERROR(__xludf.DUMMYFUNCTION("IFERROR(
 INDEX(
  FILTER(
   'Raw Data'!E:E,
   'Raw Data'!B:B=B245,
   'Raw Data'!C:C=D245
  ),
 1
 ),
 """"
)"),"8 Standby")</f>
        <v>8 Standby</v>
      </c>
      <c r="G245" s="176"/>
      <c r="H245" s="97" t="str">
        <f>IFERROR(__xludf.DUMMYFUNCTION("IFERROR(
 INDEX(
  FILTER(
   'Raw Data'!D:D,
   'Raw Data'!B:B=B245,
   'Raw Data'!C:C=G245
  ),
 1
 ),
 """"
)"),"")</f>
        <v/>
      </c>
      <c r="I245" s="97" t="str">
        <f>IFERROR(__xludf.DUMMYFUNCTION("IFERROR(
 INDEX(
  FILTER(
   'Raw Data'!E:E,
   'Raw Data'!B:B=B245,
   'Raw Data'!C:C=G245
  ),
 1
 ),
 """"
)"),"")</f>
        <v/>
      </c>
      <c r="J245" s="155" t="s">
        <v>168</v>
      </c>
      <c r="AC245" s="146"/>
    </row>
    <row r="246" ht="15.75" customHeight="1">
      <c r="A246" s="155">
        <v>7.0</v>
      </c>
      <c r="B246" s="174">
        <v>46186.0</v>
      </c>
      <c r="C246" s="169">
        <v>3.0</v>
      </c>
      <c r="D246" s="170" t="s">
        <v>118</v>
      </c>
      <c r="E246" s="170" t="str">
        <f>IFERROR(__xludf.DUMMYFUNCTION("IFERROR(
 INDEX(
  FILTER(
   'Raw Data'!D:D,
   'Raw Data'!B:B=B246,
   'Raw Data'!C:C=D246
  ),
 1
 ),
 """"
)"),"EIS")</f>
        <v>EIS</v>
      </c>
      <c r="F246" s="169" t="str">
        <f>IFERROR(__xludf.DUMMYFUNCTION("IFERROR(
 INDEX(
  FILTER(
   'Raw Data'!E:E,
   'Raw Data'!B:B=B246,
   'Raw Data'!C:C=D246
  ),
 1
 ),
 """"
)"),"8 Standby")</f>
        <v>8 Standby</v>
      </c>
      <c r="G246" s="169" t="s">
        <v>147</v>
      </c>
      <c r="H246" s="97" t="str">
        <f>IFERROR(__xludf.DUMMYFUNCTION("IFERROR(
 INDEX(
  FILTER(
   'Raw Data'!D:D,
   'Raw Data'!B:B=B246,
   'Raw Data'!C:C=G246
  ),
 1
 ),
 """"
)"),"OVL")</f>
        <v>OVL</v>
      </c>
      <c r="I246" s="97" t="str">
        <f>IFERROR(__xludf.DUMMYFUNCTION("IFERROR(
 INDEX(
  FILTER(
   'Raw Data'!E:E,
   'Raw Data'!B:B=B246,
   'Raw Data'!C:C=G246
  ),
 1
 ),
 """"
)"),"8 Door")</f>
        <v>8 Door</v>
      </c>
      <c r="J246" s="155" t="s">
        <v>169</v>
      </c>
      <c r="AC246" s="146"/>
    </row>
    <row r="247" ht="15.75" customHeight="1">
      <c r="A247" s="155">
        <v>7.0</v>
      </c>
      <c r="B247" s="175">
        <v>46186.0</v>
      </c>
      <c r="C247" s="172">
        <v>4.0</v>
      </c>
      <c r="D247" s="173" t="s">
        <v>118</v>
      </c>
      <c r="E247" s="173" t="str">
        <f>IFERROR(__xludf.DUMMYFUNCTION("IFERROR(
 INDEX(
  FILTER(
   'Raw Data'!D:D,
   'Raw Data'!B:B=B247,
   'Raw Data'!C:C=D247
  ),
 1
 ),
 """"
)"),"EIS")</f>
        <v>EIS</v>
      </c>
      <c r="F247" s="172" t="str">
        <f>IFERROR(__xludf.DUMMYFUNCTION("IFERROR(
 INDEX(
  FILTER(
   'Raw Data'!E:E,
   'Raw Data'!B:B=B247,
   'Raw Data'!C:C=D247
  ),
 1
 ),
 """"
)"),"8 Standby")</f>
        <v>8 Standby</v>
      </c>
      <c r="G247" s="172" t="s">
        <v>152</v>
      </c>
      <c r="H247" s="97" t="str">
        <f>IFERROR(__xludf.DUMMYFUNCTION("IFERROR(
 INDEX(
  FILTER(
   'Raw Data'!D:D,
   'Raw Data'!B:B=B247,
   'Raw Data'!C:C=G247
  ),
 1
 ),
 """"
)"),"MM")</f>
        <v>MM</v>
      </c>
      <c r="I247" s="97" t="str">
        <f>IFERROR(__xludf.DUMMYFUNCTION("IFERROR(
 INDEX(
  FILTER(
   'Raw Data'!E:E,
   'Raw Data'!B:B=B247,
   'Raw Data'!C:C=G247
  ),
 1
 ),
 """"
)"),"StockSoul Door")</f>
        <v>StockSoul Door</v>
      </c>
      <c r="J247" s="155" t="s">
        <v>169</v>
      </c>
      <c r="AC247" s="146"/>
    </row>
    <row r="248" ht="15.75" customHeight="1">
      <c r="A248" s="155">
        <v>7.0</v>
      </c>
      <c r="B248" s="168">
        <v>46186.0</v>
      </c>
      <c r="C248" s="169">
        <v>1.0</v>
      </c>
      <c r="D248" s="170" t="s">
        <v>77</v>
      </c>
      <c r="E248" s="170" t="str">
        <f>IFERROR(__xludf.DUMMYFUNCTION("IFERROR(
 INDEX(
  FILTER(
   'Raw Data'!D:D,
   'Raw Data'!B:B=B248,
   'Raw Data'!C:C=D248
  ),
 1
 ),
 """"
)"),"MKI")</f>
        <v>MKI</v>
      </c>
      <c r="F248" s="169" t="str">
        <f>IFERROR(__xludf.DUMMYFUNCTION("IFERROR(
 INDEX(
  FILTER(
   'Raw Data'!E:E,
   'Raw Data'!B:B=B248,
   'Raw Data'!C:C=D248
  ),
 1
 ),
 """"
)"),"8 Door")</f>
        <v>8 Door</v>
      </c>
      <c r="G248" s="169" t="s">
        <v>152</v>
      </c>
      <c r="H248" s="97" t="str">
        <f>IFERROR(__xludf.DUMMYFUNCTION("IFERROR(
 INDEX(
  FILTER(
   'Raw Data'!D:D,
   'Raw Data'!B:B=B248,
   'Raw Data'!C:C=G248
  ),
 1
 ),
 """"
)"),"MM")</f>
        <v>MM</v>
      </c>
      <c r="I248" s="97" t="str">
        <f>IFERROR(__xludf.DUMMYFUNCTION("IFERROR(
 INDEX(
  FILTER(
   'Raw Data'!E:E,
   'Raw Data'!B:B=B248,
   'Raw Data'!C:C=G248
  ),
 1
 ),
 """"
)"),"StockSoul Door")</f>
        <v>StockSoul Door</v>
      </c>
      <c r="J248" s="155" t="s">
        <v>169</v>
      </c>
      <c r="AC248" s="146"/>
    </row>
    <row r="249" ht="15.75" customHeight="1">
      <c r="A249" s="155">
        <v>7.0</v>
      </c>
      <c r="B249" s="171">
        <v>46186.0</v>
      </c>
      <c r="C249" s="172">
        <v>2.0</v>
      </c>
      <c r="D249" s="173" t="s">
        <v>77</v>
      </c>
      <c r="E249" s="173" t="str">
        <f>IFERROR(__xludf.DUMMYFUNCTION("IFERROR(
 INDEX(
  FILTER(
   'Raw Data'!D:D,
   'Raw Data'!B:B=B249,
   'Raw Data'!C:C=D249
  ),
 1
 ),
 """"
)"),"MKI")</f>
        <v>MKI</v>
      </c>
      <c r="F249" s="172" t="str">
        <f>IFERROR(__xludf.DUMMYFUNCTION("IFERROR(
 INDEX(
  FILTER(
   'Raw Data'!E:E,
   'Raw Data'!B:B=B249,
   'Raw Data'!C:C=D249
  ),
 1
 ),
 """"
)"),"8 Door")</f>
        <v>8 Door</v>
      </c>
      <c r="G249" s="172" t="s">
        <v>104</v>
      </c>
      <c r="H249" s="97" t="str">
        <f>IFERROR(__xludf.DUMMYFUNCTION("IFERROR(
 INDEX(
  FILTER(
   'Raw Data'!D:D,
   'Raw Data'!B:B=B249,
   'Raw Data'!C:C=G249
  ),
 1
 ),
 """"
)"),"BD")</f>
        <v>BD</v>
      </c>
      <c r="I249" s="97" t="str">
        <f>IFERROR(__xludf.DUMMYFUNCTION("IFERROR(
 INDEX(
  FILTER(
   'Raw Data'!E:E,
   'Raw Data'!B:B=B249,
   'Raw Data'!C:C=G249
  ),
 1
 ),
 """"
)"),"Bar Door")</f>
        <v>Bar Door</v>
      </c>
      <c r="J249" s="155" t="s">
        <v>169</v>
      </c>
      <c r="AC249" s="146"/>
    </row>
    <row r="250" ht="15.75" customHeight="1">
      <c r="A250" s="155">
        <v>7.0</v>
      </c>
      <c r="B250" s="174">
        <v>46186.0</v>
      </c>
      <c r="C250" s="169">
        <v>3.0</v>
      </c>
      <c r="D250" s="170" t="s">
        <v>77</v>
      </c>
      <c r="E250" s="170" t="str">
        <f>IFERROR(__xludf.DUMMYFUNCTION("IFERROR(
 INDEX(
  FILTER(
   'Raw Data'!D:D,
   'Raw Data'!B:B=B250,
   'Raw Data'!C:C=D250
  ),
 1
 ),
 """"
)"),"MKI")</f>
        <v>MKI</v>
      </c>
      <c r="F250" s="169" t="str">
        <f>IFERROR(__xludf.DUMMYFUNCTION("IFERROR(
 INDEX(
  FILTER(
   'Raw Data'!E:E,
   'Raw Data'!B:B=B250,
   'Raw Data'!C:C=D250
  ),
 1
 ),
 """"
)"),"8 Door")</f>
        <v>8 Door</v>
      </c>
      <c r="G250" s="169" t="s">
        <v>157</v>
      </c>
      <c r="H250" s="97" t="str">
        <f>IFERROR(__xludf.DUMMYFUNCTION("IFERROR(
 INDEX(
  FILTER(
   'Raw Data'!D:D,
   'Raw Data'!B:B=B250,
   'Raw Data'!C:C=G250
  ),
 1
 ),
 """"
)"),"PJS")</f>
        <v>PJS</v>
      </c>
      <c r="I250" s="97" t="str">
        <f>IFERROR(__xludf.DUMMYFUNCTION("IFERROR(
 INDEX(
  FILTER(
   'Raw Data'!E:E,
   'Raw Data'!B:B=B250,
   'Raw Data'!C:C=G250
  ),
 1
 ),
 """"
)"),"8 Bar")</f>
        <v>8 Bar</v>
      </c>
      <c r="J250" s="155" t="s">
        <v>168</v>
      </c>
      <c r="AC250" s="146"/>
    </row>
    <row r="251" ht="15.75" customHeight="1">
      <c r="A251" s="155">
        <v>7.0</v>
      </c>
      <c r="B251" s="175">
        <v>46186.0</v>
      </c>
      <c r="C251" s="172">
        <v>4.0</v>
      </c>
      <c r="D251" s="173" t="s">
        <v>77</v>
      </c>
      <c r="E251" s="173" t="str">
        <f>IFERROR(__xludf.DUMMYFUNCTION("IFERROR(
 INDEX(
  FILTER(
   'Raw Data'!D:D,
   'Raw Data'!B:B=B251,
   'Raw Data'!C:C=D251
  ),
 1
 ),
 """"
)"),"MKI")</f>
        <v>MKI</v>
      </c>
      <c r="F251" s="172" t="str">
        <f>IFERROR(__xludf.DUMMYFUNCTION("IFERROR(
 INDEX(
  FILTER(
   'Raw Data'!E:E,
   'Raw Data'!B:B=B251,
   'Raw Data'!C:C=D251
  ),
 1
 ),
 """"
)"),"8 Door")</f>
        <v>8 Door</v>
      </c>
      <c r="G251" s="172" t="s">
        <v>72</v>
      </c>
      <c r="H251" s="97" t="str">
        <f>IFERROR(__xludf.DUMMYFUNCTION("IFERROR(
 INDEX(
  FILTER(
   'Raw Data'!D:D,
   'Raw Data'!B:B=B251,
   'Raw Data'!C:C=G251
  ),
 1
 ),
 """"
)"),"LRC")</f>
        <v>LRC</v>
      </c>
      <c r="I251" s="97" t="str">
        <f>IFERROR(__xludf.DUMMYFUNCTION("IFERROR(
 INDEX(
  FILTER(
   'Raw Data'!E:E,
   'Raw Data'!B:B=B251,
   'Raw Data'!C:C=G251
  ),
 1
 ),
 """"
)"),"Pants Door")</f>
        <v>Pants Door</v>
      </c>
      <c r="J251" s="155" t="s">
        <v>169</v>
      </c>
      <c r="AC251" s="146"/>
    </row>
    <row r="252" ht="15.75" customHeight="1">
      <c r="A252" s="155">
        <v>7.0</v>
      </c>
      <c r="B252" s="168">
        <v>46186.0</v>
      </c>
      <c r="C252" s="169">
        <v>1.0</v>
      </c>
      <c r="D252" s="170" t="s">
        <v>157</v>
      </c>
      <c r="E252" s="170" t="str">
        <f>IFERROR(__xludf.DUMMYFUNCTION("IFERROR(
 INDEX(
  FILTER(
   'Raw Data'!D:D,
   'Raw Data'!B:B=B252,
   'Raw Data'!C:C=D252
  ),
 1
 ),
 """"
)"),"PJS")</f>
        <v>PJS</v>
      </c>
      <c r="F252" s="169" t="str">
        <f>IFERROR(__xludf.DUMMYFUNCTION("IFERROR(
 INDEX(
  FILTER(
   'Raw Data'!E:E,
   'Raw Data'!B:B=B252,
   'Raw Data'!C:C=D252
  ),
 1
 ),
 """"
)"),"8 Bar")</f>
        <v>8 Bar</v>
      </c>
      <c r="G252" s="169" t="s">
        <v>72</v>
      </c>
      <c r="H252" s="97" t="str">
        <f>IFERROR(__xludf.DUMMYFUNCTION("IFERROR(
 INDEX(
  FILTER(
   'Raw Data'!D:D,
   'Raw Data'!B:B=B252,
   'Raw Data'!C:C=G252
  ),
 1
 ),
 """"
)"),"LRC")</f>
        <v>LRC</v>
      </c>
      <c r="I252" s="97" t="str">
        <f>IFERROR(__xludf.DUMMYFUNCTION("IFERROR(
 INDEX(
  FILTER(
   'Raw Data'!E:E,
   'Raw Data'!B:B=B252,
   'Raw Data'!C:C=G252
  ),
 1
 ),
 """"
)"),"Pants Door")</f>
        <v>Pants Door</v>
      </c>
      <c r="J252" s="155" t="s">
        <v>169</v>
      </c>
      <c r="AC252" s="146"/>
    </row>
    <row r="253" ht="15.75" customHeight="1">
      <c r="A253" s="155">
        <v>7.0</v>
      </c>
      <c r="B253" s="171">
        <v>46186.0</v>
      </c>
      <c r="C253" s="172">
        <v>2.0</v>
      </c>
      <c r="D253" s="173" t="s">
        <v>157</v>
      </c>
      <c r="E253" s="173" t="str">
        <f>IFERROR(__xludf.DUMMYFUNCTION("IFERROR(
 INDEX(
  FILTER(
   'Raw Data'!D:D,
   'Raw Data'!B:B=B253,
   'Raw Data'!C:C=D253
  ),
 1
 ),
 """"
)"),"PJS")</f>
        <v>PJS</v>
      </c>
      <c r="F253" s="172" t="str">
        <f>IFERROR(__xludf.DUMMYFUNCTION("IFERROR(
 INDEX(
  FILTER(
   'Raw Data'!E:E,
   'Raw Data'!B:B=B253,
   'Raw Data'!C:C=D253
  ),
 1
 ),
 """"
)"),"8 Bar")</f>
        <v>8 Bar</v>
      </c>
      <c r="G253" s="172" t="s">
        <v>181</v>
      </c>
      <c r="H253" s="97" t="str">
        <f>IFERROR(__xludf.DUMMYFUNCTION("IFERROR(
 INDEX(
  FILTER(
   'Raw Data'!D:D,
   'Raw Data'!B:B=B253,
   'Raw Data'!C:C=G253
  ),
 1
 ),
 """"
)"),"OVL")</f>
        <v>OVL</v>
      </c>
      <c r="I253" s="97" t="str">
        <f>IFERROR(__xludf.DUMMYFUNCTION("IFERROR(
 INDEX(
  FILTER(
   'Raw Data'!E:E,
   'Raw Data'!B:B=B253,
   'Raw Data'!C:C=G253
  ),
 1
 ),
 """"
)"),"8 Door")</f>
        <v>8 Door</v>
      </c>
      <c r="J253" s="155" t="s">
        <v>169</v>
      </c>
      <c r="AC253" s="146"/>
    </row>
    <row r="254" ht="15.75" customHeight="1">
      <c r="A254" s="155">
        <v>7.0</v>
      </c>
      <c r="B254" s="174">
        <v>46186.0</v>
      </c>
      <c r="C254" s="169">
        <v>3.0</v>
      </c>
      <c r="D254" s="170" t="s">
        <v>157</v>
      </c>
      <c r="E254" s="170" t="str">
        <f>IFERROR(__xludf.DUMMYFUNCTION("IFERROR(
 INDEX(
  FILTER(
   'Raw Data'!D:D,
   'Raw Data'!B:B=B254,
   'Raw Data'!C:C=D254
  ),
 1
 ),
 """"
)"),"PJS")</f>
        <v>PJS</v>
      </c>
      <c r="F254" s="169" t="str">
        <f>IFERROR(__xludf.DUMMYFUNCTION("IFERROR(
 INDEX(
  FILTER(
   'Raw Data'!E:E,
   'Raw Data'!B:B=B254,
   'Raw Data'!C:C=D254
  ),
 1
 ),
 """"
)"),"8 Bar")</f>
        <v>8 Bar</v>
      </c>
      <c r="G254" s="169" t="s">
        <v>77</v>
      </c>
      <c r="H254" s="97" t="str">
        <f>IFERROR(__xludf.DUMMYFUNCTION("IFERROR(
 INDEX(
  FILTER(
   'Raw Data'!D:D,
   'Raw Data'!B:B=B254,
   'Raw Data'!C:C=G254
  ),
 1
 ),
 """"
)"),"MKI")</f>
        <v>MKI</v>
      </c>
      <c r="I254" s="97" t="str">
        <f>IFERROR(__xludf.DUMMYFUNCTION("IFERROR(
 INDEX(
  FILTER(
   'Raw Data'!E:E,
   'Raw Data'!B:B=B254,
   'Raw Data'!C:C=G254
  ),
 1
 ),
 """"
)"),"8 Door")</f>
        <v>8 Door</v>
      </c>
      <c r="J254" s="155" t="s">
        <v>169</v>
      </c>
      <c r="AC254" s="146"/>
    </row>
    <row r="255" ht="15.75" customHeight="1">
      <c r="A255" s="155">
        <v>7.0</v>
      </c>
      <c r="B255" s="175">
        <v>46186.0</v>
      </c>
      <c r="C255" s="172">
        <v>4.0</v>
      </c>
      <c r="D255" s="173" t="s">
        <v>157</v>
      </c>
      <c r="E255" s="173" t="str">
        <f>IFERROR(__xludf.DUMMYFUNCTION("IFERROR(
 INDEX(
  FILTER(
   'Raw Data'!D:D,
   'Raw Data'!B:B=B255,
   'Raw Data'!C:C=D255
  ),
 1
 ),
 """"
)"),"PJS")</f>
        <v>PJS</v>
      </c>
      <c r="F255" s="172" t="str">
        <f>IFERROR(__xludf.DUMMYFUNCTION("IFERROR(
 INDEX(
  FILTER(
   'Raw Data'!E:E,
   'Raw Data'!B:B=B255,
   'Raw Data'!C:C=D255
  ),
 1
 ),
 """"
)"),"8 Bar")</f>
        <v>8 Bar</v>
      </c>
      <c r="G255" s="176"/>
      <c r="H255" s="97" t="str">
        <f>IFERROR(__xludf.DUMMYFUNCTION("IFERROR(
 INDEX(
  FILTER(
   'Raw Data'!D:D,
   'Raw Data'!B:B=B255,
   'Raw Data'!C:C=G255
  ),
 1
 ),
 """"
)"),"")</f>
        <v/>
      </c>
      <c r="I255" s="97" t="str">
        <f>IFERROR(__xludf.DUMMYFUNCTION("IFERROR(
 INDEX(
  FILTER(
   'Raw Data'!E:E,
   'Raw Data'!B:B=B255,
   'Raw Data'!C:C=G255
  ),
 1
 ),
 """"
)"),"")</f>
        <v/>
      </c>
      <c r="J255" s="155" t="s">
        <v>169</v>
      </c>
      <c r="AC255" s="146"/>
    </row>
    <row r="256" ht="15.75" customHeight="1">
      <c r="A256" s="155">
        <v>8.0</v>
      </c>
      <c r="B256" s="178">
        <v>46193.0</v>
      </c>
      <c r="C256" s="169">
        <v>1.0</v>
      </c>
      <c r="D256" s="169" t="s">
        <v>72</v>
      </c>
      <c r="E256" s="170" t="str">
        <f>IFERROR(__xludf.DUMMYFUNCTION("IFERROR(
 INDEX(
  FILTER(
   'Raw Data'!D:D,
   'Raw Data'!B:B=B257,
   'Raw Data'!C:C=D257
  ),
 1
 ),
 """"
)"),"")</f>
        <v/>
      </c>
      <c r="G256" s="179"/>
      <c r="AC256" s="146"/>
    </row>
    <row r="257" ht="15.75" customHeight="1">
      <c r="A257" s="155">
        <v>8.0</v>
      </c>
      <c r="B257" s="180">
        <v>46193.0</v>
      </c>
      <c r="C257" s="172">
        <v>2.0</v>
      </c>
      <c r="G257" s="181"/>
      <c r="AC257" s="146"/>
    </row>
    <row r="258" ht="15.75" customHeight="1">
      <c r="A258" s="155">
        <v>8.0</v>
      </c>
      <c r="B258" s="178">
        <v>46193.0</v>
      </c>
      <c r="C258" s="169">
        <v>3.0</v>
      </c>
      <c r="G258" s="179"/>
      <c r="AC258" s="146"/>
    </row>
    <row r="259" ht="15.75" customHeight="1">
      <c r="A259" s="155">
        <v>8.0</v>
      </c>
      <c r="B259" s="180">
        <v>46193.0</v>
      </c>
      <c r="C259" s="172">
        <v>4.0</v>
      </c>
      <c r="G259" s="181"/>
      <c r="AC259" s="146"/>
    </row>
    <row r="260" ht="15.75" customHeight="1">
      <c r="A260" s="155">
        <v>8.0</v>
      </c>
      <c r="B260" s="178">
        <v>46193.0</v>
      </c>
      <c r="C260" s="169">
        <v>1.0</v>
      </c>
      <c r="E260" s="170" t="str">
        <f>IFERROR(__xludf.DUMMYFUNCTION("IFERROR(
 INDEX(
  FILTER(
   'Raw Data'!D:D,
   'Raw Data'!B:B=B261,
   'Raw Data'!C:C=D261
  ),
 1
 ),
 """"
)"),"")</f>
        <v/>
      </c>
      <c r="G260" s="179"/>
      <c r="AC260" s="146"/>
    </row>
    <row r="261" ht="15.75" customHeight="1">
      <c r="A261" s="155">
        <v>8.0</v>
      </c>
      <c r="B261" s="180">
        <v>46193.0</v>
      </c>
      <c r="C261" s="172">
        <v>2.0</v>
      </c>
      <c r="G261" s="181"/>
      <c r="AC261" s="146"/>
    </row>
    <row r="262" ht="15.75" customHeight="1">
      <c r="A262" s="155">
        <v>8.0</v>
      </c>
      <c r="B262" s="178">
        <v>46193.0</v>
      </c>
      <c r="C262" s="169">
        <v>3.0</v>
      </c>
      <c r="G262" s="179"/>
      <c r="AC262" s="146"/>
    </row>
    <row r="263" ht="15.75" customHeight="1">
      <c r="A263" s="155">
        <v>8.0</v>
      </c>
      <c r="B263" s="180">
        <v>46193.0</v>
      </c>
      <c r="C263" s="172">
        <v>4.0</v>
      </c>
      <c r="G263" s="181"/>
      <c r="AC263" s="146"/>
    </row>
    <row r="264" ht="15.75" customHeight="1">
      <c r="A264" s="182">
        <v>8.0</v>
      </c>
      <c r="B264" s="174">
        <v>46193.0</v>
      </c>
      <c r="C264" s="183">
        <v>1.0</v>
      </c>
      <c r="D264" s="184"/>
      <c r="E264" s="184" t="str">
        <f>IFERROR(__xludf.DUMMYFUNCTION("IFERROR(
 INDEX(
  FILTER(
   'Raw Data'!D:D,
   'Raw Data'!B:B=B265,
   'Raw Data'!C:C=D265
  ),
 1
 ),
 """"
)"),"")</f>
        <v/>
      </c>
      <c r="F264" s="184"/>
      <c r="G264" s="184"/>
      <c r="H264" s="185"/>
      <c r="I264" s="185"/>
      <c r="J264" s="185"/>
      <c r="AC264" s="146"/>
    </row>
    <row r="265" ht="15.75" customHeight="1">
      <c r="A265" s="182">
        <v>8.0</v>
      </c>
      <c r="B265" s="175">
        <v>46193.0</v>
      </c>
      <c r="C265" s="186">
        <v>2.0</v>
      </c>
      <c r="D265" s="187"/>
      <c r="E265" s="187"/>
      <c r="F265" s="187"/>
      <c r="G265" s="187"/>
      <c r="H265" s="185"/>
      <c r="I265" s="185"/>
      <c r="J265" s="185"/>
      <c r="AC265" s="146"/>
    </row>
    <row r="266" ht="15.75" customHeight="1">
      <c r="A266" s="182">
        <v>8.0</v>
      </c>
      <c r="B266" s="174">
        <v>46193.0</v>
      </c>
      <c r="C266" s="183">
        <v>3.0</v>
      </c>
      <c r="D266" s="184"/>
      <c r="E266" s="184"/>
      <c r="F266" s="184"/>
      <c r="G266" s="184"/>
      <c r="H266" s="185"/>
      <c r="I266" s="185"/>
      <c r="J266" s="185"/>
      <c r="AC266" s="146"/>
    </row>
    <row r="267" ht="15.75" customHeight="1">
      <c r="A267" s="182">
        <v>8.0</v>
      </c>
      <c r="B267" s="175">
        <v>46193.0</v>
      </c>
      <c r="C267" s="186">
        <v>4.0</v>
      </c>
      <c r="D267" s="187"/>
      <c r="E267" s="187"/>
      <c r="F267" s="187"/>
      <c r="G267" s="187"/>
      <c r="H267" s="185"/>
      <c r="I267" s="185"/>
      <c r="J267" s="185"/>
      <c r="AC267" s="146"/>
    </row>
    <row r="268" ht="15.75" customHeight="1">
      <c r="A268" s="182">
        <v>8.0</v>
      </c>
      <c r="B268" s="174">
        <v>46193.0</v>
      </c>
      <c r="C268" s="183">
        <v>1.0</v>
      </c>
      <c r="D268" s="184"/>
      <c r="E268" s="184" t="str">
        <f>IFERROR(__xludf.DUMMYFUNCTION("IFERROR(
 INDEX(
  FILTER(
   'Raw Data'!D:D,
   'Raw Data'!B:B=B269,
   'Raw Data'!C:C=D269
  ),
 1
 ),
 """"
)"),"")</f>
        <v/>
      </c>
      <c r="F268" s="184"/>
      <c r="G268" s="184"/>
      <c r="H268" s="185"/>
      <c r="I268" s="185"/>
      <c r="J268" s="185"/>
      <c r="AC268" s="146"/>
    </row>
    <row r="269" ht="15.75" customHeight="1">
      <c r="A269" s="182">
        <v>8.0</v>
      </c>
      <c r="B269" s="175">
        <v>46193.0</v>
      </c>
      <c r="C269" s="186">
        <v>2.0</v>
      </c>
      <c r="D269" s="187"/>
      <c r="E269" s="187"/>
      <c r="F269" s="187"/>
      <c r="G269" s="187"/>
      <c r="H269" s="185"/>
      <c r="I269" s="185"/>
      <c r="J269" s="185"/>
      <c r="AC269" s="146"/>
    </row>
    <row r="270" ht="15.75" customHeight="1">
      <c r="A270" s="182">
        <v>8.0</v>
      </c>
      <c r="B270" s="174">
        <v>46193.0</v>
      </c>
      <c r="C270" s="183">
        <v>3.0</v>
      </c>
      <c r="D270" s="184"/>
      <c r="E270" s="184"/>
      <c r="F270" s="184"/>
      <c r="G270" s="184"/>
      <c r="H270" s="185"/>
      <c r="I270" s="185"/>
      <c r="J270" s="185"/>
      <c r="AC270" s="146"/>
    </row>
    <row r="271" ht="15.75" customHeight="1">
      <c r="A271" s="182">
        <v>8.0</v>
      </c>
      <c r="B271" s="175">
        <v>46193.0</v>
      </c>
      <c r="C271" s="186">
        <v>4.0</v>
      </c>
      <c r="D271" s="187"/>
      <c r="E271" s="187"/>
      <c r="F271" s="187"/>
      <c r="G271" s="187"/>
      <c r="H271" s="185"/>
      <c r="I271" s="185"/>
      <c r="J271" s="185"/>
      <c r="AC271" s="146"/>
    </row>
    <row r="272" ht="15.75" customHeight="1">
      <c r="A272" s="182">
        <v>8.0</v>
      </c>
      <c r="B272" s="174">
        <v>46193.0</v>
      </c>
      <c r="C272" s="183">
        <v>1.0</v>
      </c>
      <c r="D272" s="184"/>
      <c r="E272" s="184" t="str">
        <f>IFERROR(__xludf.DUMMYFUNCTION("IFERROR(
 INDEX(
  FILTER(
   'Raw Data'!D:D,
   'Raw Data'!B:B=B273,
   'Raw Data'!C:C=D273
  ),
 1
 ),
 """"
)"),"")</f>
        <v/>
      </c>
      <c r="F272" s="184"/>
      <c r="G272" s="184"/>
      <c r="H272" s="185"/>
      <c r="I272" s="185"/>
      <c r="J272" s="185"/>
      <c r="AC272" s="146"/>
    </row>
    <row r="273" ht="15.75" customHeight="1">
      <c r="A273" s="182">
        <v>8.0</v>
      </c>
      <c r="B273" s="175">
        <v>46193.0</v>
      </c>
      <c r="C273" s="186">
        <v>2.0</v>
      </c>
      <c r="D273" s="187"/>
      <c r="E273" s="187"/>
      <c r="F273" s="187"/>
      <c r="G273" s="187"/>
      <c r="H273" s="185"/>
      <c r="I273" s="185"/>
      <c r="J273" s="185"/>
      <c r="AC273" s="146"/>
    </row>
    <row r="274" ht="15.75" customHeight="1">
      <c r="A274" s="182">
        <v>8.0</v>
      </c>
      <c r="B274" s="174">
        <v>46193.0</v>
      </c>
      <c r="C274" s="183">
        <v>3.0</v>
      </c>
      <c r="D274" s="184"/>
      <c r="E274" s="184"/>
      <c r="F274" s="184"/>
      <c r="G274" s="184"/>
      <c r="H274" s="185"/>
      <c r="I274" s="185"/>
      <c r="J274" s="185"/>
      <c r="AC274" s="146"/>
    </row>
    <row r="275" ht="15.75" customHeight="1">
      <c r="A275" s="182">
        <v>8.0</v>
      </c>
      <c r="B275" s="175">
        <v>46193.0</v>
      </c>
      <c r="C275" s="186">
        <v>4.0</v>
      </c>
      <c r="D275" s="187"/>
      <c r="E275" s="187"/>
      <c r="F275" s="187"/>
      <c r="G275" s="187"/>
      <c r="H275" s="185"/>
      <c r="I275" s="185"/>
      <c r="J275" s="185"/>
      <c r="AC275" s="146"/>
    </row>
    <row r="276" ht="15.75" customHeight="1">
      <c r="A276" s="182">
        <v>8.0</v>
      </c>
      <c r="B276" s="174">
        <v>46193.0</v>
      </c>
      <c r="C276" s="183">
        <v>1.0</v>
      </c>
      <c r="D276" s="184"/>
      <c r="E276" s="184" t="str">
        <f>IFERROR(__xludf.DUMMYFUNCTION("IFERROR(
 INDEX(
  FILTER(
   'Raw Data'!D:D,
   'Raw Data'!B:B=B277,
   'Raw Data'!C:C=D277
  ),
 1
 ),
 """"
)"),"")</f>
        <v/>
      </c>
      <c r="F276" s="184"/>
      <c r="G276" s="184"/>
      <c r="H276" s="185"/>
      <c r="I276" s="185"/>
      <c r="J276" s="185"/>
      <c r="AC276" s="146"/>
    </row>
    <row r="277" ht="15.75" customHeight="1">
      <c r="A277" s="182">
        <v>8.0</v>
      </c>
      <c r="B277" s="175">
        <v>46193.0</v>
      </c>
      <c r="C277" s="186">
        <v>2.0</v>
      </c>
      <c r="D277" s="187"/>
      <c r="E277" s="187"/>
      <c r="F277" s="187"/>
      <c r="G277" s="187"/>
      <c r="H277" s="185"/>
      <c r="I277" s="185"/>
      <c r="J277" s="185"/>
      <c r="AC277" s="146"/>
    </row>
    <row r="278" ht="15.75" customHeight="1">
      <c r="A278" s="182">
        <v>8.0</v>
      </c>
      <c r="B278" s="174">
        <v>46193.0</v>
      </c>
      <c r="C278" s="183">
        <v>3.0</v>
      </c>
      <c r="D278" s="184"/>
      <c r="E278" s="184"/>
      <c r="F278" s="184"/>
      <c r="G278" s="184"/>
      <c r="H278" s="185"/>
      <c r="I278" s="185"/>
      <c r="J278" s="185"/>
      <c r="AC278" s="146"/>
    </row>
    <row r="279" ht="15.75" customHeight="1">
      <c r="A279" s="182">
        <v>8.0</v>
      </c>
      <c r="B279" s="175">
        <v>46193.0</v>
      </c>
      <c r="C279" s="186">
        <v>4.0</v>
      </c>
      <c r="D279" s="187"/>
      <c r="E279" s="187"/>
      <c r="F279" s="187"/>
      <c r="G279" s="187"/>
      <c r="H279" s="185"/>
      <c r="I279" s="185"/>
      <c r="J279" s="185"/>
      <c r="AC279" s="146"/>
    </row>
    <row r="280" ht="15.75" customHeight="1">
      <c r="A280" s="182">
        <v>8.0</v>
      </c>
      <c r="B280" s="174">
        <v>46193.0</v>
      </c>
      <c r="C280" s="183">
        <v>1.0</v>
      </c>
      <c r="D280" s="184"/>
      <c r="E280" s="184" t="str">
        <f>IFERROR(__xludf.DUMMYFUNCTION("IFERROR(
 INDEX(
  FILTER(
   'Raw Data'!D:D,
   'Raw Data'!B:B=B281,
   'Raw Data'!C:C=D281
  ),
 1
 ),
 """"
)"),"")</f>
        <v/>
      </c>
      <c r="F280" s="184"/>
      <c r="G280" s="184"/>
      <c r="H280" s="185"/>
      <c r="I280" s="185"/>
      <c r="J280" s="185"/>
      <c r="AC280" s="146"/>
    </row>
    <row r="281" ht="15.75" customHeight="1">
      <c r="A281" s="182">
        <v>8.0</v>
      </c>
      <c r="B281" s="175">
        <v>46193.0</v>
      </c>
      <c r="C281" s="186">
        <v>2.0</v>
      </c>
      <c r="D281" s="187"/>
      <c r="E281" s="187"/>
      <c r="F281" s="187"/>
      <c r="G281" s="187"/>
      <c r="H281" s="185"/>
      <c r="I281" s="185"/>
      <c r="J281" s="185"/>
      <c r="AC281" s="146"/>
    </row>
    <row r="282" ht="15.75" customHeight="1">
      <c r="A282" s="182">
        <v>8.0</v>
      </c>
      <c r="B282" s="174">
        <v>46193.0</v>
      </c>
      <c r="C282" s="183">
        <v>3.0</v>
      </c>
      <c r="D282" s="184"/>
      <c r="E282" s="184"/>
      <c r="F282" s="184"/>
      <c r="G282" s="184"/>
      <c r="H282" s="185"/>
      <c r="I282" s="185"/>
      <c r="J282" s="185"/>
      <c r="AC282" s="146"/>
    </row>
    <row r="283" ht="15.75" customHeight="1">
      <c r="A283" s="182">
        <v>8.0</v>
      </c>
      <c r="B283" s="175">
        <v>46193.0</v>
      </c>
      <c r="C283" s="186">
        <v>4.0</v>
      </c>
      <c r="D283" s="187"/>
      <c r="E283" s="187"/>
      <c r="F283" s="187"/>
      <c r="G283" s="187"/>
      <c r="H283" s="185"/>
      <c r="I283" s="185"/>
      <c r="J283" s="185"/>
      <c r="AC283" s="146"/>
    </row>
    <row r="284" ht="15.75" customHeight="1">
      <c r="A284" s="182">
        <v>8.0</v>
      </c>
      <c r="B284" s="174">
        <v>46193.0</v>
      </c>
      <c r="C284" s="183">
        <v>1.0</v>
      </c>
      <c r="D284" s="184"/>
      <c r="E284" s="184" t="str">
        <f>IFERROR(__xludf.DUMMYFUNCTION("IFERROR(
 INDEX(
  FILTER(
   'Raw Data'!D:D,
   'Raw Data'!B:B=B285,
   'Raw Data'!C:C=D285
  ),
 1
 ),
 """"
)"),"")</f>
        <v/>
      </c>
      <c r="F284" s="184"/>
      <c r="G284" s="184"/>
      <c r="H284" s="185"/>
      <c r="I284" s="185"/>
      <c r="J284" s="185"/>
      <c r="AC284" s="146"/>
    </row>
    <row r="285" ht="15.75" customHeight="1">
      <c r="A285" s="182">
        <v>8.0</v>
      </c>
      <c r="B285" s="175">
        <v>46193.0</v>
      </c>
      <c r="C285" s="186">
        <v>2.0</v>
      </c>
      <c r="D285" s="187"/>
      <c r="E285" s="187"/>
      <c r="F285" s="187"/>
      <c r="G285" s="187"/>
      <c r="H285" s="185"/>
      <c r="I285" s="185"/>
      <c r="J285" s="185"/>
      <c r="AC285" s="146"/>
    </row>
    <row r="286" ht="15.75" customHeight="1">
      <c r="A286" s="182">
        <v>8.0</v>
      </c>
      <c r="B286" s="174">
        <v>46193.0</v>
      </c>
      <c r="C286" s="183">
        <v>3.0</v>
      </c>
      <c r="D286" s="184"/>
      <c r="E286" s="184"/>
      <c r="F286" s="184"/>
      <c r="G286" s="184"/>
      <c r="H286" s="185"/>
      <c r="I286" s="185"/>
      <c r="J286" s="185"/>
      <c r="AC286" s="146"/>
    </row>
    <row r="287" ht="15.75" customHeight="1">
      <c r="A287" s="182">
        <v>8.0</v>
      </c>
      <c r="B287" s="175">
        <v>46193.0</v>
      </c>
      <c r="C287" s="186">
        <v>4.0</v>
      </c>
      <c r="D287" s="187"/>
      <c r="E287" s="187"/>
      <c r="F287" s="187"/>
      <c r="G287" s="187"/>
      <c r="H287" s="185"/>
      <c r="I287" s="185"/>
      <c r="J287" s="185"/>
      <c r="AC287" s="146"/>
    </row>
    <row r="288" ht="15.75" customHeight="1">
      <c r="A288" s="182">
        <v>8.0</v>
      </c>
      <c r="B288" s="174">
        <v>46193.0</v>
      </c>
      <c r="C288" s="183">
        <v>1.0</v>
      </c>
      <c r="D288" s="184"/>
      <c r="E288" s="184" t="str">
        <f>IFERROR(__xludf.DUMMYFUNCTION("IFERROR(
 INDEX(
  FILTER(
   'Raw Data'!D:D,
   'Raw Data'!B:B=B289,
   'Raw Data'!C:C=D289
  ),
 1
 ),
 """"
)"),"")</f>
        <v/>
      </c>
      <c r="F288" s="184"/>
      <c r="G288" s="184"/>
      <c r="H288" s="185"/>
      <c r="I288" s="185"/>
      <c r="J288" s="185"/>
      <c r="AC288" s="146"/>
    </row>
    <row r="289" ht="15.75" customHeight="1">
      <c r="A289" s="182">
        <v>8.0</v>
      </c>
      <c r="B289" s="175">
        <v>46193.0</v>
      </c>
      <c r="C289" s="186">
        <v>2.0</v>
      </c>
      <c r="D289" s="187"/>
      <c r="E289" s="187"/>
      <c r="F289" s="187"/>
      <c r="G289" s="187"/>
      <c r="H289" s="185"/>
      <c r="I289" s="185"/>
      <c r="J289" s="185"/>
      <c r="AC289" s="146"/>
    </row>
    <row r="290" ht="15.75" customHeight="1">
      <c r="A290" s="182">
        <v>8.0</v>
      </c>
      <c r="B290" s="174">
        <v>46193.0</v>
      </c>
      <c r="C290" s="183">
        <v>3.0</v>
      </c>
      <c r="D290" s="184"/>
      <c r="E290" s="184"/>
      <c r="F290" s="184"/>
      <c r="G290" s="184"/>
      <c r="H290" s="185"/>
      <c r="I290" s="185"/>
      <c r="J290" s="185"/>
      <c r="AC290" s="146"/>
    </row>
    <row r="291" ht="15.75" customHeight="1">
      <c r="A291" s="182">
        <v>8.0</v>
      </c>
      <c r="B291" s="175">
        <v>46193.0</v>
      </c>
      <c r="C291" s="186">
        <v>4.0</v>
      </c>
      <c r="D291" s="187"/>
      <c r="E291" s="187"/>
      <c r="F291" s="187"/>
      <c r="G291" s="187"/>
      <c r="H291" s="185"/>
      <c r="I291" s="185"/>
      <c r="J291" s="185"/>
      <c r="AC291" s="146"/>
    </row>
    <row r="292" ht="15.75" customHeight="1">
      <c r="A292" s="182">
        <v>8.0</v>
      </c>
      <c r="B292" s="174">
        <v>46193.0</v>
      </c>
      <c r="C292" s="183">
        <v>1.0</v>
      </c>
      <c r="D292" s="184"/>
      <c r="E292" s="184" t="str">
        <f>IFERROR(__xludf.DUMMYFUNCTION("IFERROR(
 INDEX(
  FILTER(
   'Raw Data'!D:D,
   'Raw Data'!B:B=B293,
   'Raw Data'!C:C=D293
  ),
 1
 ),
 """"
)"),"")</f>
        <v/>
      </c>
      <c r="F292" s="184"/>
      <c r="G292" s="184"/>
      <c r="H292" s="185"/>
      <c r="I292" s="185"/>
      <c r="J292" s="185"/>
      <c r="AC292" s="146"/>
    </row>
    <row r="293" ht="15.75" customHeight="1">
      <c r="A293" s="182">
        <v>8.0</v>
      </c>
      <c r="B293" s="175">
        <v>46193.0</v>
      </c>
      <c r="C293" s="186">
        <v>2.0</v>
      </c>
      <c r="D293" s="187"/>
      <c r="E293" s="187"/>
      <c r="F293" s="187"/>
      <c r="G293" s="187"/>
      <c r="H293" s="185"/>
      <c r="I293" s="185"/>
      <c r="J293" s="185"/>
      <c r="AC293" s="146"/>
    </row>
    <row r="294" ht="15.75" customHeight="1">
      <c r="A294" s="182">
        <v>8.0</v>
      </c>
      <c r="B294" s="174">
        <v>46193.0</v>
      </c>
      <c r="C294" s="183">
        <v>3.0</v>
      </c>
      <c r="D294" s="184"/>
      <c r="E294" s="184"/>
      <c r="F294" s="184"/>
      <c r="G294" s="184"/>
      <c r="H294" s="185"/>
      <c r="I294" s="185"/>
      <c r="J294" s="185"/>
      <c r="AC294" s="146"/>
    </row>
    <row r="295" ht="15.75" customHeight="1">
      <c r="A295" s="182">
        <v>8.0</v>
      </c>
      <c r="B295" s="175">
        <v>46193.0</v>
      </c>
      <c r="C295" s="186">
        <v>4.0</v>
      </c>
      <c r="D295" s="187"/>
      <c r="E295" s="187"/>
      <c r="F295" s="187"/>
      <c r="G295" s="187"/>
      <c r="H295" s="185"/>
      <c r="I295" s="185"/>
      <c r="J295" s="185"/>
      <c r="AC295" s="146"/>
    </row>
    <row r="296" ht="15.75" customHeight="1">
      <c r="A296" s="182">
        <v>8.0</v>
      </c>
      <c r="B296" s="174">
        <v>46193.0</v>
      </c>
      <c r="C296" s="183">
        <v>1.0</v>
      </c>
      <c r="D296" s="184"/>
      <c r="E296" s="184" t="str">
        <f>IFERROR(__xludf.DUMMYFUNCTION("IFERROR(
 INDEX(
  FILTER(
   'Raw Data'!D:D,
   'Raw Data'!B:B=B297,
   'Raw Data'!C:C=D297
  ),
 1
 ),
 """"
)"),"")</f>
        <v/>
      </c>
      <c r="F296" s="184"/>
      <c r="G296" s="184"/>
      <c r="H296" s="185"/>
      <c r="I296" s="185"/>
      <c r="J296" s="185"/>
      <c r="AC296" s="146"/>
    </row>
    <row r="297" ht="15.75" customHeight="1">
      <c r="A297" s="182">
        <v>8.0</v>
      </c>
      <c r="B297" s="175">
        <v>46193.0</v>
      </c>
      <c r="C297" s="186">
        <v>2.0</v>
      </c>
      <c r="D297" s="187"/>
      <c r="E297" s="187"/>
      <c r="F297" s="187"/>
      <c r="G297" s="187"/>
      <c r="H297" s="185"/>
      <c r="I297" s="185"/>
      <c r="J297" s="185"/>
      <c r="AC297" s="146"/>
    </row>
    <row r="298" ht="15.75" customHeight="1">
      <c r="A298" s="182">
        <v>8.0</v>
      </c>
      <c r="B298" s="174">
        <v>46193.0</v>
      </c>
      <c r="C298" s="183">
        <v>3.0</v>
      </c>
      <c r="D298" s="184"/>
      <c r="E298" s="184"/>
      <c r="F298" s="184"/>
      <c r="G298" s="184"/>
      <c r="H298" s="185"/>
      <c r="I298" s="185"/>
      <c r="J298" s="185"/>
      <c r="AC298" s="146"/>
    </row>
    <row r="299" ht="15.75" customHeight="1">
      <c r="A299" s="182">
        <v>8.0</v>
      </c>
      <c r="B299" s="175">
        <v>46193.0</v>
      </c>
      <c r="C299" s="186">
        <v>4.0</v>
      </c>
      <c r="D299" s="187"/>
      <c r="E299" s="187"/>
      <c r="F299" s="187"/>
      <c r="G299" s="187"/>
      <c r="H299" s="185"/>
      <c r="I299" s="185"/>
      <c r="J299" s="185"/>
      <c r="AC299" s="146"/>
    </row>
    <row r="300" ht="15.75" customHeight="1">
      <c r="A300" s="182">
        <v>8.0</v>
      </c>
      <c r="B300" s="174">
        <v>46193.0</v>
      </c>
      <c r="C300" s="183">
        <v>1.0</v>
      </c>
      <c r="D300" s="184"/>
      <c r="E300" s="184" t="str">
        <f>IFERROR(__xludf.DUMMYFUNCTION("IFERROR(
 INDEX(
  FILTER(
   'Raw Data'!D:D,
   'Raw Data'!B:B=B301,
   'Raw Data'!C:C=D301
  ),
 1
 ),
 """"
)"),"")</f>
        <v/>
      </c>
      <c r="F300" s="184"/>
      <c r="G300" s="184"/>
      <c r="H300" s="185"/>
      <c r="I300" s="185"/>
      <c r="J300" s="185"/>
      <c r="AC300" s="146"/>
    </row>
    <row r="301" ht="15.75" customHeight="1">
      <c r="A301" s="182">
        <v>8.0</v>
      </c>
      <c r="B301" s="175">
        <v>46193.0</v>
      </c>
      <c r="C301" s="186">
        <v>2.0</v>
      </c>
      <c r="D301" s="187"/>
      <c r="E301" s="187"/>
      <c r="F301" s="187"/>
      <c r="G301" s="187"/>
      <c r="H301" s="185"/>
      <c r="I301" s="185"/>
      <c r="J301" s="185"/>
      <c r="AC301" s="146"/>
    </row>
    <row r="302" ht="15.75" customHeight="1">
      <c r="A302" s="182">
        <v>8.0</v>
      </c>
      <c r="B302" s="174">
        <v>46193.0</v>
      </c>
      <c r="C302" s="183">
        <v>3.0</v>
      </c>
      <c r="D302" s="184"/>
      <c r="E302" s="184"/>
      <c r="F302" s="184"/>
      <c r="G302" s="184"/>
      <c r="H302" s="185"/>
      <c r="I302" s="185"/>
      <c r="J302" s="185"/>
      <c r="AC302" s="146"/>
    </row>
    <row r="303" ht="15.75" customHeight="1">
      <c r="A303" s="182">
        <v>8.0</v>
      </c>
      <c r="B303" s="175">
        <v>46193.0</v>
      </c>
      <c r="C303" s="186">
        <v>4.0</v>
      </c>
      <c r="D303" s="187"/>
      <c r="E303" s="187"/>
      <c r="F303" s="187"/>
      <c r="G303" s="187"/>
      <c r="H303" s="185"/>
      <c r="I303" s="185"/>
      <c r="J303" s="185"/>
      <c r="AC303" s="146"/>
    </row>
    <row r="304" ht="15.75" customHeight="1">
      <c r="A304" s="182">
        <v>8.0</v>
      </c>
      <c r="B304" s="174">
        <v>46193.0</v>
      </c>
      <c r="C304" s="183">
        <v>1.0</v>
      </c>
      <c r="D304" s="184"/>
      <c r="E304" s="184" t="str">
        <f>IFERROR(__xludf.DUMMYFUNCTION("IFERROR(
 INDEX(
  FILTER(
   'Raw Data'!D:D,
   'Raw Data'!B:B=B305,
   'Raw Data'!C:C=D305
  ),
 1
 ),
 """"
)"),"")</f>
        <v/>
      </c>
      <c r="F304" s="184"/>
      <c r="G304" s="184"/>
      <c r="H304" s="185"/>
      <c r="I304" s="185"/>
      <c r="J304" s="185"/>
      <c r="AC304" s="146"/>
    </row>
    <row r="305" ht="15.75" customHeight="1">
      <c r="A305" s="182">
        <v>8.0</v>
      </c>
      <c r="B305" s="175">
        <v>46193.0</v>
      </c>
      <c r="C305" s="186">
        <v>2.0</v>
      </c>
      <c r="D305" s="187"/>
      <c r="E305" s="187"/>
      <c r="F305" s="187"/>
      <c r="G305" s="187"/>
      <c r="H305" s="185"/>
      <c r="I305" s="185"/>
      <c r="J305" s="185"/>
      <c r="AC305" s="146"/>
    </row>
    <row r="306" ht="15.75" customHeight="1">
      <c r="A306" s="182">
        <v>8.0</v>
      </c>
      <c r="B306" s="174">
        <v>46193.0</v>
      </c>
      <c r="C306" s="183">
        <v>3.0</v>
      </c>
      <c r="D306" s="184"/>
      <c r="E306" s="184"/>
      <c r="F306" s="184"/>
      <c r="G306" s="184"/>
      <c r="H306" s="185"/>
      <c r="I306" s="185"/>
      <c r="J306" s="185"/>
      <c r="AC306" s="146"/>
    </row>
    <row r="307" ht="15.75" customHeight="1">
      <c r="A307" s="182">
        <v>8.0</v>
      </c>
      <c r="B307" s="175">
        <v>46193.0</v>
      </c>
      <c r="C307" s="186">
        <v>4.0</v>
      </c>
      <c r="D307" s="187"/>
      <c r="E307" s="187"/>
      <c r="F307" s="187"/>
      <c r="G307" s="187"/>
      <c r="H307" s="185"/>
      <c r="I307" s="185"/>
      <c r="J307" s="185"/>
      <c r="AC307" s="146"/>
    </row>
    <row r="308" ht="15.75" customHeight="1">
      <c r="A308" s="182">
        <v>8.0</v>
      </c>
      <c r="B308" s="174">
        <v>46193.0</v>
      </c>
      <c r="C308" s="183">
        <v>1.0</v>
      </c>
      <c r="D308" s="184"/>
      <c r="E308" s="184" t="str">
        <f>IFERROR(__xludf.DUMMYFUNCTION("IFERROR(
 INDEX(
  FILTER(
   'Raw Data'!D:D,
   'Raw Data'!B:B=B309,
   'Raw Data'!C:C=D309
  ),
 1
 ),
 """"
)"),"")</f>
        <v/>
      </c>
      <c r="F308" s="184"/>
      <c r="G308" s="184"/>
      <c r="H308" s="185"/>
      <c r="I308" s="185"/>
      <c r="J308" s="185"/>
      <c r="AC308" s="146"/>
    </row>
    <row r="309" ht="15.75" customHeight="1">
      <c r="A309" s="182">
        <v>8.0</v>
      </c>
      <c r="B309" s="175">
        <v>46193.0</v>
      </c>
      <c r="C309" s="186">
        <v>2.0</v>
      </c>
      <c r="D309" s="187"/>
      <c r="E309" s="187"/>
      <c r="F309" s="187"/>
      <c r="G309" s="187"/>
      <c r="H309" s="185"/>
      <c r="I309" s="185"/>
      <c r="J309" s="185"/>
      <c r="AC309" s="146"/>
    </row>
    <row r="310" ht="15.75" customHeight="1">
      <c r="A310" s="182">
        <v>8.0</v>
      </c>
      <c r="B310" s="174">
        <v>46193.0</v>
      </c>
      <c r="C310" s="183">
        <v>3.0</v>
      </c>
      <c r="D310" s="184"/>
      <c r="E310" s="184"/>
      <c r="F310" s="184"/>
      <c r="G310" s="184"/>
      <c r="H310" s="185"/>
      <c r="I310" s="185"/>
      <c r="J310" s="185"/>
      <c r="AC310" s="146"/>
    </row>
    <row r="311" ht="15.75" customHeight="1">
      <c r="A311" s="182">
        <v>8.0</v>
      </c>
      <c r="B311" s="175">
        <v>46193.0</v>
      </c>
      <c r="C311" s="186">
        <v>4.0</v>
      </c>
      <c r="D311" s="187"/>
      <c r="E311" s="187"/>
      <c r="F311" s="187"/>
      <c r="G311" s="187"/>
      <c r="H311" s="185"/>
      <c r="I311" s="185"/>
      <c r="J311" s="185"/>
      <c r="AC311" s="146"/>
    </row>
    <row r="312" ht="15.75" customHeight="1">
      <c r="A312" s="182">
        <v>8.0</v>
      </c>
      <c r="B312" s="174">
        <v>46193.0</v>
      </c>
      <c r="C312" s="183">
        <v>1.0</v>
      </c>
      <c r="D312" s="184"/>
      <c r="E312" s="184" t="str">
        <f>IFERROR(__xludf.DUMMYFUNCTION("IFERROR(
 INDEX(
  FILTER(
   'Raw Data'!D:D,
   'Raw Data'!B:B=B313,
   'Raw Data'!C:C=D313
  ),
 1
 ),
 """"
)"),"")</f>
        <v/>
      </c>
      <c r="F312" s="184"/>
      <c r="G312" s="184"/>
      <c r="H312" s="185"/>
      <c r="I312" s="185"/>
      <c r="J312" s="185"/>
      <c r="AC312" s="146"/>
    </row>
    <row r="313" ht="15.75" customHeight="1">
      <c r="A313" s="182">
        <v>8.0</v>
      </c>
      <c r="B313" s="175">
        <v>46193.0</v>
      </c>
      <c r="C313" s="186">
        <v>2.0</v>
      </c>
      <c r="D313" s="187"/>
      <c r="E313" s="187"/>
      <c r="F313" s="187"/>
      <c r="G313" s="187"/>
      <c r="H313" s="185"/>
      <c r="I313" s="185"/>
      <c r="J313" s="185"/>
      <c r="AC313" s="146"/>
    </row>
    <row r="314" ht="15.75" customHeight="1">
      <c r="A314" s="182">
        <v>8.0</v>
      </c>
      <c r="B314" s="174">
        <v>46193.0</v>
      </c>
      <c r="C314" s="183">
        <v>3.0</v>
      </c>
      <c r="D314" s="184"/>
      <c r="E314" s="184"/>
      <c r="F314" s="184"/>
      <c r="G314" s="184"/>
      <c r="H314" s="185"/>
      <c r="I314" s="185"/>
      <c r="J314" s="185"/>
      <c r="AC314" s="146"/>
    </row>
    <row r="315" ht="15.75" customHeight="1">
      <c r="A315" s="182">
        <v>8.0</v>
      </c>
      <c r="B315" s="175">
        <v>46193.0</v>
      </c>
      <c r="C315" s="186">
        <v>4.0</v>
      </c>
      <c r="D315" s="187"/>
      <c r="E315" s="187"/>
      <c r="F315" s="187"/>
      <c r="G315" s="187"/>
      <c r="H315" s="185"/>
      <c r="I315" s="185"/>
      <c r="J315" s="185"/>
      <c r="AC315" s="146"/>
    </row>
    <row r="316" ht="15.75" customHeight="1">
      <c r="B316" s="120"/>
      <c r="AC316" s="146"/>
    </row>
    <row r="317" ht="15.75" customHeight="1">
      <c r="B317" s="120"/>
      <c r="AC317" s="146"/>
    </row>
    <row r="318" ht="15.75" customHeight="1">
      <c r="B318" s="120"/>
      <c r="AC318" s="146"/>
    </row>
    <row r="319" ht="15.75" customHeight="1">
      <c r="B319" s="120"/>
      <c r="AC319" s="146"/>
    </row>
    <row r="320" ht="15.75" customHeight="1">
      <c r="B320" s="120"/>
      <c r="AC320" s="146"/>
    </row>
    <row r="321" ht="15.75" customHeight="1">
      <c r="B321" s="120"/>
      <c r="AC321" s="146"/>
    </row>
    <row r="322" ht="15.75" customHeight="1">
      <c r="B322" s="120"/>
      <c r="AC322" s="146"/>
    </row>
    <row r="323" ht="15.75" customHeight="1">
      <c r="B323" s="120"/>
      <c r="AC323" s="146"/>
    </row>
    <row r="324" ht="15.75" customHeight="1">
      <c r="B324" s="120"/>
      <c r="AC324" s="146"/>
    </row>
    <row r="325" ht="15.75" customHeight="1">
      <c r="B325" s="120"/>
      <c r="AC325" s="146"/>
    </row>
    <row r="326" ht="15.75" customHeight="1">
      <c r="B326" s="120"/>
      <c r="AC326" s="146"/>
    </row>
    <row r="327" ht="15.75" customHeight="1">
      <c r="B327" s="120"/>
      <c r="AC327" s="146"/>
    </row>
    <row r="328" ht="15.75" customHeight="1">
      <c r="B328" s="120"/>
      <c r="AC328" s="146"/>
    </row>
    <row r="329" ht="15.75" customHeight="1">
      <c r="B329" s="120"/>
      <c r="AC329" s="146"/>
    </row>
    <row r="330" ht="15.75" customHeight="1">
      <c r="B330" s="120"/>
      <c r="AC330" s="146"/>
    </row>
    <row r="331" ht="15.75" customHeight="1">
      <c r="B331" s="120"/>
      <c r="AC331" s="146"/>
    </row>
    <row r="332" ht="15.75" customHeight="1">
      <c r="B332" s="120"/>
      <c r="AC332" s="146"/>
    </row>
    <row r="333" ht="15.75" customHeight="1">
      <c r="B333" s="120"/>
      <c r="AC333" s="146"/>
    </row>
    <row r="334" ht="15.75" customHeight="1">
      <c r="B334" s="120"/>
      <c r="AC334" s="146"/>
    </row>
    <row r="335" ht="15.75" customHeight="1">
      <c r="B335" s="120"/>
      <c r="AC335" s="146"/>
    </row>
    <row r="336" ht="15.75" customHeight="1">
      <c r="B336" s="120"/>
      <c r="AC336" s="146"/>
    </row>
    <row r="337" ht="15.75" customHeight="1">
      <c r="B337" s="120"/>
      <c r="AC337" s="146"/>
    </row>
    <row r="338" ht="15.75" customHeight="1">
      <c r="B338" s="120"/>
      <c r="AC338" s="146"/>
    </row>
    <row r="339" ht="15.75" customHeight="1">
      <c r="B339" s="120"/>
      <c r="AC339" s="146"/>
    </row>
    <row r="340" ht="15.75" customHeight="1">
      <c r="B340" s="120"/>
      <c r="AC340" s="146"/>
    </row>
    <row r="341" ht="15.75" customHeight="1">
      <c r="B341" s="120"/>
      <c r="AC341" s="146"/>
    </row>
    <row r="342" ht="15.75" customHeight="1">
      <c r="B342" s="120"/>
      <c r="AC342" s="146"/>
    </row>
    <row r="343" ht="15.75" customHeight="1">
      <c r="B343" s="120"/>
      <c r="AC343" s="146"/>
    </row>
    <row r="344" ht="15.75" customHeight="1">
      <c r="B344" s="120"/>
      <c r="AC344" s="146"/>
    </row>
    <row r="345" ht="15.75" customHeight="1">
      <c r="B345" s="120"/>
      <c r="AC345" s="146"/>
    </row>
    <row r="346" ht="15.75" customHeight="1">
      <c r="B346" s="120"/>
      <c r="AC346" s="146"/>
    </row>
    <row r="347" ht="15.75" customHeight="1">
      <c r="B347" s="120"/>
      <c r="AC347" s="146"/>
    </row>
    <row r="348" ht="15.75" customHeight="1">
      <c r="B348" s="120"/>
      <c r="AC348" s="146"/>
    </row>
    <row r="349" ht="15.75" customHeight="1">
      <c r="B349" s="120"/>
      <c r="AC349" s="146"/>
    </row>
    <row r="350" ht="15.75" customHeight="1">
      <c r="B350" s="120"/>
      <c r="AC350" s="146"/>
    </row>
    <row r="351" ht="15.75" customHeight="1">
      <c r="B351" s="120"/>
      <c r="AC351" s="146"/>
    </row>
    <row r="352" ht="15.75" customHeight="1">
      <c r="B352" s="120"/>
      <c r="AC352" s="146"/>
    </row>
    <row r="353" ht="15.75" customHeight="1">
      <c r="B353" s="120"/>
      <c r="AC353" s="146"/>
    </row>
    <row r="354" ht="15.75" customHeight="1">
      <c r="B354" s="120"/>
      <c r="AC354" s="146"/>
    </row>
    <row r="355" ht="15.75" customHeight="1">
      <c r="B355" s="120"/>
      <c r="AC355" s="146"/>
    </row>
    <row r="356" ht="15.75" customHeight="1">
      <c r="B356" s="120"/>
      <c r="AC356" s="146"/>
    </row>
    <row r="357" ht="15.75" customHeight="1">
      <c r="B357" s="120"/>
      <c r="AC357" s="146"/>
    </row>
    <row r="358" ht="15.75" customHeight="1">
      <c r="B358" s="120"/>
      <c r="AC358" s="146"/>
    </row>
    <row r="359" ht="15.75" customHeight="1">
      <c r="B359" s="120"/>
      <c r="AC359" s="146"/>
    </row>
    <row r="360" ht="15.75" customHeight="1">
      <c r="B360" s="120"/>
      <c r="AC360" s="146"/>
    </row>
    <row r="361" ht="15.75" customHeight="1">
      <c r="B361" s="120"/>
      <c r="AC361" s="146"/>
    </row>
    <row r="362" ht="15.75" customHeight="1">
      <c r="B362" s="120"/>
      <c r="AC362" s="146"/>
    </row>
    <row r="363" ht="15.75" customHeight="1">
      <c r="B363" s="120"/>
      <c r="AC363" s="146"/>
    </row>
    <row r="364" ht="15.75" customHeight="1">
      <c r="B364" s="120"/>
      <c r="AC364" s="146"/>
    </row>
    <row r="365" ht="15.75" customHeight="1">
      <c r="B365" s="120"/>
      <c r="AC365" s="146"/>
    </row>
    <row r="366" ht="15.75" customHeight="1">
      <c r="B366" s="120"/>
      <c r="AC366" s="146"/>
    </row>
    <row r="367" ht="15.75" customHeight="1">
      <c r="B367" s="120"/>
      <c r="AC367" s="146"/>
    </row>
    <row r="368" ht="15.75" customHeight="1">
      <c r="B368" s="120"/>
      <c r="AC368" s="146"/>
    </row>
    <row r="369" ht="15.75" customHeight="1">
      <c r="B369" s="120"/>
      <c r="AC369" s="146"/>
    </row>
    <row r="370" ht="15.75" customHeight="1">
      <c r="B370" s="120"/>
      <c r="AC370" s="146"/>
    </row>
    <row r="371" ht="15.75" customHeight="1">
      <c r="B371" s="120"/>
      <c r="AC371" s="146"/>
    </row>
    <row r="372" ht="15.75" customHeight="1">
      <c r="B372" s="120"/>
      <c r="AC372" s="146"/>
    </row>
    <row r="373" ht="15.75" customHeight="1">
      <c r="B373" s="120"/>
      <c r="AC373" s="146"/>
    </row>
    <row r="374" ht="15.75" customHeight="1">
      <c r="B374" s="120"/>
      <c r="AC374" s="146"/>
    </row>
    <row r="375" ht="15.75" customHeight="1">
      <c r="B375" s="120"/>
      <c r="AC375" s="146"/>
    </row>
    <row r="376" ht="15.75" customHeight="1">
      <c r="B376" s="120"/>
      <c r="AC376" s="146"/>
    </row>
    <row r="377" ht="15.75" customHeight="1">
      <c r="B377" s="120"/>
      <c r="AC377" s="146"/>
    </row>
    <row r="378" ht="15.75" customHeight="1">
      <c r="B378" s="120"/>
      <c r="AC378" s="146"/>
    </row>
    <row r="379" ht="15.75" customHeight="1">
      <c r="B379" s="120"/>
      <c r="AC379" s="146"/>
    </row>
    <row r="380" ht="15.75" customHeight="1">
      <c r="B380" s="120"/>
      <c r="AC380" s="146"/>
    </row>
    <row r="381" ht="15.75" customHeight="1">
      <c r="B381" s="120"/>
      <c r="AC381" s="146"/>
    </row>
    <row r="382" ht="15.75" customHeight="1">
      <c r="B382" s="120"/>
      <c r="AC382" s="146"/>
    </row>
    <row r="383" ht="15.75" customHeight="1">
      <c r="B383" s="120"/>
      <c r="AC383" s="146"/>
    </row>
    <row r="384" ht="15.75" customHeight="1">
      <c r="B384" s="120"/>
      <c r="AC384" s="146"/>
    </row>
    <row r="385" ht="15.75" customHeight="1">
      <c r="B385" s="120"/>
      <c r="AC385" s="146"/>
    </row>
    <row r="386" ht="15.75" customHeight="1">
      <c r="B386" s="120"/>
      <c r="AC386" s="146"/>
    </row>
    <row r="387" ht="15.75" customHeight="1">
      <c r="B387" s="120"/>
      <c r="AC387" s="146"/>
    </row>
    <row r="388" ht="15.75" customHeight="1">
      <c r="B388" s="120"/>
      <c r="AC388" s="146"/>
    </row>
    <row r="389" ht="15.75" customHeight="1">
      <c r="B389" s="120"/>
      <c r="AC389" s="146"/>
    </row>
    <row r="390" ht="15.75" customHeight="1">
      <c r="B390" s="120"/>
      <c r="AC390" s="146"/>
    </row>
    <row r="391" ht="15.75" customHeight="1">
      <c r="B391" s="120"/>
      <c r="AC391" s="146"/>
    </row>
    <row r="392" ht="15.75" customHeight="1">
      <c r="B392" s="120"/>
      <c r="AC392" s="146"/>
    </row>
    <row r="393" ht="15.75" customHeight="1">
      <c r="B393" s="120"/>
      <c r="AC393" s="146"/>
    </row>
    <row r="394" ht="15.75" customHeight="1">
      <c r="B394" s="120"/>
      <c r="AC394" s="146"/>
    </row>
    <row r="395" ht="15.75" customHeight="1">
      <c r="B395" s="120"/>
      <c r="AC395" s="146"/>
    </row>
    <row r="396" ht="15.75" customHeight="1">
      <c r="B396" s="120"/>
      <c r="AC396" s="146"/>
    </row>
    <row r="397" ht="15.75" customHeight="1">
      <c r="B397" s="120"/>
      <c r="AC397" s="146"/>
    </row>
    <row r="398" ht="15.75" customHeight="1">
      <c r="B398" s="120"/>
      <c r="AC398" s="146"/>
    </row>
    <row r="399" ht="15.75" customHeight="1">
      <c r="B399" s="120"/>
      <c r="AC399" s="146"/>
    </row>
    <row r="400" ht="15.75" customHeight="1">
      <c r="B400" s="120"/>
      <c r="AC400" s="146"/>
    </row>
    <row r="401" ht="15.75" customHeight="1">
      <c r="B401" s="120"/>
      <c r="AC401" s="146"/>
    </row>
    <row r="402" ht="15.75" customHeight="1">
      <c r="B402" s="120"/>
      <c r="AC402" s="146"/>
    </row>
    <row r="403" ht="15.75" customHeight="1">
      <c r="B403" s="120"/>
      <c r="AC403" s="146"/>
    </row>
    <row r="404" ht="15.75" customHeight="1">
      <c r="B404" s="120"/>
      <c r="AC404" s="146"/>
    </row>
    <row r="405" ht="15.75" customHeight="1">
      <c r="B405" s="120"/>
      <c r="AC405" s="146"/>
    </row>
    <row r="406" ht="15.75" customHeight="1">
      <c r="B406" s="120"/>
      <c r="AC406" s="146"/>
    </row>
    <row r="407" ht="15.75" customHeight="1">
      <c r="B407" s="120"/>
      <c r="AC407" s="146"/>
    </row>
    <row r="408" ht="15.75" customHeight="1">
      <c r="B408" s="120"/>
      <c r="AC408" s="146"/>
    </row>
    <row r="409" ht="15.75" customHeight="1">
      <c r="B409" s="120"/>
      <c r="AC409" s="146"/>
    </row>
    <row r="410" ht="15.75" customHeight="1">
      <c r="B410" s="120"/>
      <c r="AC410" s="146"/>
    </row>
    <row r="411" ht="15.75" customHeight="1">
      <c r="B411" s="120"/>
      <c r="AC411" s="146"/>
    </row>
    <row r="412" ht="15.75" customHeight="1">
      <c r="B412" s="120"/>
      <c r="AC412" s="146"/>
    </row>
    <row r="413" ht="15.75" customHeight="1">
      <c r="B413" s="120"/>
      <c r="AC413" s="146"/>
    </row>
    <row r="414" ht="15.75" customHeight="1">
      <c r="B414" s="120"/>
      <c r="AC414" s="146"/>
    </row>
    <row r="415" ht="15.75" customHeight="1">
      <c r="B415" s="120"/>
      <c r="AC415" s="146"/>
    </row>
    <row r="416" ht="15.75" customHeight="1">
      <c r="B416" s="120"/>
      <c r="AC416" s="146"/>
    </row>
    <row r="417" ht="15.75" customHeight="1">
      <c r="B417" s="120"/>
      <c r="AC417" s="146"/>
    </row>
    <row r="418" ht="15.75" customHeight="1">
      <c r="B418" s="120"/>
      <c r="AC418" s="146"/>
    </row>
    <row r="419" ht="15.75" customHeight="1">
      <c r="B419" s="120"/>
      <c r="AC419" s="146"/>
    </row>
    <row r="420" ht="15.75" customHeight="1">
      <c r="B420" s="120"/>
      <c r="AC420" s="146"/>
    </row>
    <row r="421" ht="15.75" customHeight="1">
      <c r="B421" s="120"/>
      <c r="AC421" s="146"/>
    </row>
    <row r="422" ht="15.75" customHeight="1">
      <c r="B422" s="120"/>
      <c r="AC422" s="146"/>
    </row>
    <row r="423" ht="15.75" customHeight="1">
      <c r="B423" s="120"/>
      <c r="AC423" s="146"/>
    </row>
    <row r="424" ht="15.75" customHeight="1">
      <c r="B424" s="120"/>
      <c r="AC424" s="146"/>
    </row>
    <row r="425" ht="15.75" customHeight="1">
      <c r="B425" s="120"/>
      <c r="AC425" s="146"/>
    </row>
    <row r="426" ht="15.75" customHeight="1">
      <c r="B426" s="120"/>
      <c r="AC426" s="146"/>
    </row>
    <row r="427" ht="15.75" customHeight="1">
      <c r="B427" s="120"/>
      <c r="AC427" s="146"/>
    </row>
    <row r="428" ht="15.75" customHeight="1">
      <c r="B428" s="120"/>
      <c r="AC428" s="146"/>
    </row>
    <row r="429" ht="15.75" customHeight="1">
      <c r="B429" s="120"/>
      <c r="AC429" s="146"/>
    </row>
    <row r="430" ht="15.75" customHeight="1">
      <c r="B430" s="120"/>
      <c r="AC430" s="146"/>
    </row>
    <row r="431" ht="15.75" customHeight="1">
      <c r="B431" s="120"/>
      <c r="AC431" s="146"/>
    </row>
    <row r="432" ht="15.75" customHeight="1">
      <c r="B432" s="120"/>
      <c r="AC432" s="146"/>
    </row>
    <row r="433" ht="15.75" customHeight="1">
      <c r="B433" s="120"/>
      <c r="AC433" s="146"/>
    </row>
    <row r="434" ht="15.75" customHeight="1">
      <c r="B434" s="120"/>
      <c r="AC434" s="146"/>
    </row>
    <row r="435" ht="15.75" customHeight="1">
      <c r="B435" s="120"/>
      <c r="AC435" s="146"/>
    </row>
    <row r="436" ht="15.75" customHeight="1">
      <c r="B436" s="120"/>
      <c r="AC436" s="146"/>
    </row>
    <row r="437" ht="15.75" customHeight="1">
      <c r="B437" s="120"/>
      <c r="AC437" s="146"/>
    </row>
    <row r="438" ht="15.75" customHeight="1">
      <c r="B438" s="120"/>
      <c r="AC438" s="146"/>
    </row>
    <row r="439" ht="15.75" customHeight="1">
      <c r="B439" s="120"/>
      <c r="AC439" s="146"/>
    </row>
    <row r="440" ht="15.75" customHeight="1">
      <c r="B440" s="120"/>
      <c r="AC440" s="146"/>
    </row>
    <row r="441" ht="15.75" customHeight="1">
      <c r="B441" s="120"/>
      <c r="AC441" s="146"/>
    </row>
    <row r="442" ht="15.75" customHeight="1">
      <c r="B442" s="120"/>
      <c r="AC442" s="146"/>
    </row>
    <row r="443" ht="15.75" customHeight="1">
      <c r="B443" s="120"/>
      <c r="AC443" s="146"/>
    </row>
    <row r="444" ht="15.75" customHeight="1">
      <c r="B444" s="120"/>
      <c r="AC444" s="146"/>
    </row>
    <row r="445" ht="15.75" customHeight="1">
      <c r="B445" s="120"/>
      <c r="AC445" s="146"/>
    </row>
    <row r="446" ht="15.75" customHeight="1">
      <c r="B446" s="120"/>
      <c r="AC446" s="146"/>
    </row>
    <row r="447" ht="15.75" customHeight="1">
      <c r="B447" s="120"/>
      <c r="AC447" s="146"/>
    </row>
    <row r="448" ht="15.75" customHeight="1">
      <c r="B448" s="120"/>
      <c r="AC448" s="146"/>
    </row>
    <row r="449" ht="15.75" customHeight="1">
      <c r="B449" s="120"/>
      <c r="AC449" s="146"/>
    </row>
    <row r="450" ht="15.75" customHeight="1">
      <c r="B450" s="120"/>
      <c r="AC450" s="146"/>
    </row>
    <row r="451" ht="15.75" customHeight="1">
      <c r="B451" s="120"/>
      <c r="AC451" s="146"/>
    </row>
    <row r="452" ht="15.75" customHeight="1">
      <c r="B452" s="120"/>
      <c r="AC452" s="146"/>
    </row>
    <row r="453" ht="15.75" customHeight="1">
      <c r="B453" s="120"/>
      <c r="AC453" s="146"/>
    </row>
    <row r="454" ht="15.75" customHeight="1">
      <c r="B454" s="120"/>
      <c r="AC454" s="146"/>
    </row>
    <row r="455" ht="15.75" customHeight="1">
      <c r="B455" s="120"/>
      <c r="AC455" s="146"/>
    </row>
    <row r="456" ht="15.75" customHeight="1">
      <c r="B456" s="120"/>
      <c r="AC456" s="146"/>
    </row>
    <row r="457" ht="15.75" customHeight="1">
      <c r="B457" s="120"/>
      <c r="AC457" s="146"/>
    </row>
    <row r="458" ht="15.75" customHeight="1">
      <c r="B458" s="120"/>
      <c r="AC458" s="146"/>
    </row>
    <row r="459" ht="15.75" customHeight="1">
      <c r="B459" s="120"/>
      <c r="AC459" s="146"/>
    </row>
    <row r="460" ht="15.75" customHeight="1">
      <c r="B460" s="120"/>
      <c r="AC460" s="146"/>
    </row>
    <row r="461" ht="15.75" customHeight="1">
      <c r="B461" s="120"/>
      <c r="AC461" s="146"/>
    </row>
    <row r="462" ht="15.75" customHeight="1">
      <c r="B462" s="120"/>
      <c r="AC462" s="146"/>
    </row>
    <row r="463" ht="15.75" customHeight="1">
      <c r="B463" s="120"/>
      <c r="AC463" s="146"/>
    </row>
    <row r="464" ht="15.75" customHeight="1">
      <c r="B464" s="120"/>
      <c r="AC464" s="146"/>
    </row>
    <row r="465" ht="15.75" customHeight="1">
      <c r="B465" s="120"/>
      <c r="AC465" s="146"/>
    </row>
    <row r="466" ht="15.75" customHeight="1">
      <c r="B466" s="120"/>
      <c r="AC466" s="146"/>
    </row>
    <row r="467" ht="15.75" customHeight="1">
      <c r="B467" s="120"/>
      <c r="AC467" s="146"/>
    </row>
    <row r="468" ht="15.75" customHeight="1">
      <c r="B468" s="120"/>
      <c r="AC468" s="146"/>
    </row>
    <row r="469" ht="15.75" customHeight="1">
      <c r="B469" s="120"/>
      <c r="AC469" s="146"/>
    </row>
    <row r="470" ht="15.75" customHeight="1">
      <c r="B470" s="120"/>
      <c r="AC470" s="146"/>
    </row>
    <row r="471" ht="15.75" customHeight="1">
      <c r="B471" s="120"/>
      <c r="AC471" s="146"/>
    </row>
    <row r="472" ht="15.75" customHeight="1">
      <c r="B472" s="120"/>
      <c r="AC472" s="146"/>
    </row>
    <row r="473" ht="15.75" customHeight="1">
      <c r="B473" s="120"/>
      <c r="AC473" s="146"/>
    </row>
    <row r="474" ht="15.75" customHeight="1">
      <c r="B474" s="120"/>
      <c r="AC474" s="146"/>
    </row>
    <row r="475" ht="15.75" customHeight="1">
      <c r="B475" s="120"/>
      <c r="AC475" s="146"/>
    </row>
    <row r="476" ht="15.75" customHeight="1">
      <c r="B476" s="120"/>
      <c r="AC476" s="146"/>
    </row>
    <row r="477" ht="15.75" customHeight="1">
      <c r="B477" s="120"/>
      <c r="AC477" s="146"/>
    </row>
    <row r="478" ht="15.75" customHeight="1">
      <c r="B478" s="120"/>
      <c r="AC478" s="146"/>
    </row>
    <row r="479" ht="15.75" customHeight="1">
      <c r="B479" s="120"/>
      <c r="AC479" s="146"/>
    </row>
    <row r="480" ht="15.75" customHeight="1">
      <c r="B480" s="120"/>
      <c r="AC480" s="146"/>
    </row>
    <row r="481" ht="15.75" customHeight="1">
      <c r="B481" s="120"/>
      <c r="AC481" s="146"/>
    </row>
    <row r="482" ht="15.75" customHeight="1">
      <c r="B482" s="120"/>
      <c r="AC482" s="146"/>
    </row>
    <row r="483" ht="15.75" customHeight="1">
      <c r="B483" s="120"/>
      <c r="AC483" s="146"/>
    </row>
    <row r="484" ht="15.75" customHeight="1">
      <c r="B484" s="120"/>
      <c r="AC484" s="146"/>
    </row>
    <row r="485" ht="15.75" customHeight="1">
      <c r="B485" s="120"/>
      <c r="AC485" s="146"/>
    </row>
    <row r="486" ht="15.75" customHeight="1">
      <c r="B486" s="120"/>
      <c r="AC486" s="146"/>
    </row>
    <row r="487" ht="15.75" customHeight="1">
      <c r="B487" s="120"/>
      <c r="AC487" s="146"/>
    </row>
    <row r="488" ht="15.75" customHeight="1">
      <c r="B488" s="120"/>
      <c r="AC488" s="146"/>
    </row>
    <row r="489" ht="15.75" customHeight="1">
      <c r="B489" s="120"/>
      <c r="AC489" s="146"/>
    </row>
    <row r="490" ht="15.75" customHeight="1">
      <c r="B490" s="120"/>
      <c r="AC490" s="146"/>
    </row>
    <row r="491" ht="15.75" customHeight="1">
      <c r="B491" s="120"/>
      <c r="AC491" s="146"/>
    </row>
    <row r="492" ht="15.75" customHeight="1">
      <c r="B492" s="120"/>
      <c r="AC492" s="146"/>
    </row>
    <row r="493" ht="15.75" customHeight="1">
      <c r="B493" s="120"/>
      <c r="AC493" s="146"/>
    </row>
    <row r="494" ht="15.75" customHeight="1">
      <c r="B494" s="120"/>
      <c r="AC494" s="146"/>
    </row>
    <row r="495" ht="15.75" customHeight="1">
      <c r="B495" s="120"/>
      <c r="AC495" s="146"/>
    </row>
    <row r="496" ht="15.75" customHeight="1">
      <c r="B496" s="120"/>
      <c r="AC496" s="146"/>
    </row>
    <row r="497" ht="15.75" customHeight="1">
      <c r="B497" s="120"/>
      <c r="AC497" s="146"/>
    </row>
    <row r="498" ht="15.75" customHeight="1">
      <c r="B498" s="120"/>
      <c r="AC498" s="146"/>
    </row>
    <row r="499" ht="15.75" customHeight="1">
      <c r="B499" s="120"/>
      <c r="AC499" s="146"/>
    </row>
    <row r="500" ht="15.75" customHeight="1">
      <c r="B500" s="120"/>
      <c r="AC500" s="146"/>
    </row>
    <row r="501" ht="15.75" customHeight="1">
      <c r="B501" s="120"/>
      <c r="AC501" s="146"/>
    </row>
    <row r="502" ht="15.75" customHeight="1">
      <c r="B502" s="120"/>
      <c r="AC502" s="146"/>
    </row>
    <row r="503" ht="15.75" customHeight="1">
      <c r="B503" s="120"/>
      <c r="AC503" s="146"/>
    </row>
    <row r="504" ht="15.75" customHeight="1">
      <c r="B504" s="120"/>
      <c r="AC504" s="146"/>
    </row>
    <row r="505" ht="15.75" customHeight="1">
      <c r="B505" s="120"/>
      <c r="AC505" s="146"/>
    </row>
    <row r="506" ht="15.75" customHeight="1">
      <c r="B506" s="120"/>
      <c r="AC506" s="146"/>
    </row>
    <row r="507" ht="15.75" customHeight="1">
      <c r="B507" s="120"/>
      <c r="AC507" s="146"/>
    </row>
    <row r="508" ht="15.75" customHeight="1">
      <c r="B508" s="120"/>
      <c r="AC508" s="146"/>
    </row>
    <row r="509" ht="15.75" customHeight="1">
      <c r="B509" s="120"/>
      <c r="AC509" s="146"/>
    </row>
    <row r="510" ht="15.75" customHeight="1">
      <c r="B510" s="120"/>
      <c r="AC510" s="146"/>
    </row>
    <row r="511" ht="15.75" customHeight="1">
      <c r="B511" s="120"/>
      <c r="AC511" s="146"/>
    </row>
    <row r="512" ht="15.75" customHeight="1">
      <c r="B512" s="120"/>
      <c r="AC512" s="146"/>
    </row>
    <row r="513" ht="15.75" customHeight="1">
      <c r="B513" s="120"/>
      <c r="AC513" s="146"/>
    </row>
    <row r="514" ht="15.75" customHeight="1">
      <c r="B514" s="120"/>
      <c r="AC514" s="146"/>
    </row>
    <row r="515" ht="15.75" customHeight="1">
      <c r="B515" s="120"/>
      <c r="AC515" s="146"/>
    </row>
    <row r="516" ht="15.75" customHeight="1">
      <c r="B516" s="120"/>
      <c r="AC516" s="146"/>
    </row>
    <row r="517" ht="15.75" customHeight="1">
      <c r="B517" s="120"/>
      <c r="AC517" s="146"/>
    </row>
    <row r="518" ht="15.75" customHeight="1">
      <c r="B518" s="120"/>
      <c r="AC518" s="146"/>
    </row>
    <row r="519" ht="15.75" customHeight="1">
      <c r="B519" s="120"/>
      <c r="AC519" s="146"/>
    </row>
    <row r="520" ht="15.75" customHeight="1">
      <c r="B520" s="120"/>
      <c r="AC520" s="146"/>
    </row>
    <row r="521" ht="15.75" customHeight="1">
      <c r="B521" s="120"/>
      <c r="AC521" s="146"/>
    </row>
    <row r="522" ht="15.75" customHeight="1">
      <c r="B522" s="120"/>
      <c r="AC522" s="146"/>
    </row>
    <row r="523" ht="15.75" customHeight="1">
      <c r="B523" s="120"/>
      <c r="AC523" s="146"/>
    </row>
    <row r="524" ht="15.75" customHeight="1">
      <c r="B524" s="120"/>
      <c r="AC524" s="146"/>
    </row>
    <row r="525" ht="15.75" customHeight="1">
      <c r="B525" s="120"/>
      <c r="AC525" s="146"/>
    </row>
    <row r="526" ht="15.75" customHeight="1">
      <c r="B526" s="120"/>
      <c r="AC526" s="146"/>
    </row>
    <row r="527" ht="15.75" customHeight="1">
      <c r="B527" s="120"/>
      <c r="AC527" s="146"/>
    </row>
    <row r="528" ht="15.75" customHeight="1">
      <c r="B528" s="120"/>
      <c r="AC528" s="146"/>
    </row>
    <row r="529" ht="15.75" customHeight="1">
      <c r="B529" s="120"/>
      <c r="AC529" s="146"/>
    </row>
    <row r="530" ht="15.75" customHeight="1">
      <c r="B530" s="120"/>
      <c r="AC530" s="146"/>
    </row>
    <row r="531" ht="15.75" customHeight="1">
      <c r="B531" s="120"/>
      <c r="AC531" s="146"/>
    </row>
    <row r="532" ht="15.75" customHeight="1">
      <c r="B532" s="120"/>
      <c r="AC532" s="146"/>
    </row>
    <row r="533" ht="15.75" customHeight="1">
      <c r="B533" s="120"/>
      <c r="AC533" s="146"/>
    </row>
    <row r="534" ht="15.75" customHeight="1">
      <c r="B534" s="120"/>
      <c r="AC534" s="146"/>
    </row>
    <row r="535" ht="15.75" customHeight="1">
      <c r="B535" s="120"/>
      <c r="AC535" s="146"/>
    </row>
    <row r="536" ht="15.75" customHeight="1">
      <c r="B536" s="120"/>
      <c r="AC536" s="146"/>
    </row>
    <row r="537" ht="15.75" customHeight="1">
      <c r="B537" s="120"/>
      <c r="AC537" s="146"/>
    </row>
    <row r="538" ht="15.75" customHeight="1">
      <c r="B538" s="120"/>
      <c r="AC538" s="146"/>
    </row>
    <row r="539" ht="15.75" customHeight="1">
      <c r="B539" s="120"/>
      <c r="AC539" s="146"/>
    </row>
    <row r="540" ht="15.75" customHeight="1">
      <c r="B540" s="120"/>
      <c r="AC540" s="146"/>
    </row>
    <row r="541" ht="15.75" customHeight="1">
      <c r="B541" s="120"/>
      <c r="AC541" s="146"/>
    </row>
    <row r="542" ht="15.75" customHeight="1">
      <c r="B542" s="120"/>
      <c r="AC542" s="146"/>
    </row>
    <row r="543" ht="15.75" customHeight="1">
      <c r="B543" s="120"/>
      <c r="AC543" s="146"/>
    </row>
    <row r="544" ht="15.75" customHeight="1">
      <c r="B544" s="120"/>
      <c r="AC544" s="146"/>
    </row>
    <row r="545" ht="15.75" customHeight="1">
      <c r="B545" s="120"/>
      <c r="AC545" s="146"/>
    </row>
    <row r="546" ht="15.75" customHeight="1">
      <c r="B546" s="120"/>
      <c r="AC546" s="146"/>
    </row>
    <row r="547" ht="15.75" customHeight="1">
      <c r="B547" s="120"/>
      <c r="AC547" s="146"/>
    </row>
    <row r="548" ht="15.75" customHeight="1">
      <c r="B548" s="120"/>
      <c r="AC548" s="146"/>
    </row>
    <row r="549" ht="15.75" customHeight="1">
      <c r="B549" s="120"/>
      <c r="AC549" s="146"/>
    </row>
    <row r="550" ht="15.75" customHeight="1">
      <c r="B550" s="120"/>
      <c r="AC550" s="146"/>
    </row>
    <row r="551" ht="15.75" customHeight="1">
      <c r="B551" s="120"/>
      <c r="AC551" s="146"/>
    </row>
    <row r="552" ht="15.75" customHeight="1">
      <c r="B552" s="120"/>
      <c r="AC552" s="146"/>
    </row>
    <row r="553" ht="15.75" customHeight="1">
      <c r="B553" s="120"/>
      <c r="AC553" s="146"/>
    </row>
    <row r="554" ht="15.75" customHeight="1">
      <c r="B554" s="120"/>
      <c r="AC554" s="146"/>
    </row>
    <row r="555" ht="15.75" customHeight="1">
      <c r="B555" s="120"/>
      <c r="AC555" s="146"/>
    </row>
    <row r="556" ht="15.75" customHeight="1">
      <c r="B556" s="120"/>
      <c r="AC556" s="146"/>
    </row>
    <row r="557" ht="15.75" customHeight="1">
      <c r="B557" s="120"/>
      <c r="AC557" s="146"/>
    </row>
    <row r="558" ht="15.75" customHeight="1">
      <c r="B558" s="120"/>
      <c r="AC558" s="146"/>
    </row>
    <row r="559" ht="15.75" customHeight="1">
      <c r="B559" s="120"/>
      <c r="AC559" s="146"/>
    </row>
    <row r="560" ht="15.75" customHeight="1">
      <c r="B560" s="120"/>
      <c r="AC560" s="146"/>
    </row>
    <row r="561" ht="15.75" customHeight="1">
      <c r="B561" s="120"/>
      <c r="AC561" s="146"/>
    </row>
    <row r="562" ht="15.75" customHeight="1">
      <c r="B562" s="120"/>
      <c r="AC562" s="146"/>
    </row>
    <row r="563" ht="15.75" customHeight="1">
      <c r="B563" s="120"/>
      <c r="AC563" s="146"/>
    </row>
    <row r="564" ht="15.75" customHeight="1">
      <c r="B564" s="120"/>
      <c r="AC564" s="146"/>
    </row>
    <row r="565" ht="15.75" customHeight="1">
      <c r="B565" s="120"/>
      <c r="AC565" s="146"/>
    </row>
    <row r="566" ht="15.75" customHeight="1">
      <c r="B566" s="120"/>
      <c r="AC566" s="146"/>
    </row>
    <row r="567" ht="15.75" customHeight="1">
      <c r="B567" s="120"/>
      <c r="AC567" s="146"/>
    </row>
    <row r="568" ht="15.75" customHeight="1">
      <c r="B568" s="120"/>
      <c r="AC568" s="146"/>
    </row>
    <row r="569" ht="15.75" customHeight="1">
      <c r="B569" s="120"/>
      <c r="AC569" s="146"/>
    </row>
    <row r="570" ht="15.75" customHeight="1">
      <c r="B570" s="120"/>
      <c r="AC570" s="146"/>
    </row>
    <row r="571" ht="15.75" customHeight="1">
      <c r="B571" s="120"/>
      <c r="AC571" s="146"/>
    </row>
    <row r="572" ht="15.75" customHeight="1">
      <c r="B572" s="120"/>
      <c r="AC572" s="146"/>
    </row>
    <row r="573" ht="15.75" customHeight="1">
      <c r="B573" s="120"/>
      <c r="AC573" s="146"/>
    </row>
    <row r="574" ht="15.75" customHeight="1">
      <c r="B574" s="120"/>
      <c r="AC574" s="146"/>
    </row>
    <row r="575" ht="15.75" customHeight="1">
      <c r="B575" s="120"/>
      <c r="AC575" s="146"/>
    </row>
    <row r="576" ht="15.75" customHeight="1">
      <c r="B576" s="120"/>
      <c r="AC576" s="146"/>
    </row>
    <row r="577" ht="15.75" customHeight="1">
      <c r="B577" s="120"/>
      <c r="AC577" s="146"/>
    </row>
    <row r="578" ht="15.75" customHeight="1">
      <c r="B578" s="120"/>
      <c r="AC578" s="146"/>
    </row>
    <row r="579" ht="15.75" customHeight="1">
      <c r="B579" s="120"/>
      <c r="AC579" s="146"/>
    </row>
    <row r="580" ht="15.75" customHeight="1">
      <c r="B580" s="120"/>
      <c r="AC580" s="146"/>
    </row>
    <row r="581" ht="15.75" customHeight="1">
      <c r="B581" s="120"/>
      <c r="AC581" s="146"/>
    </row>
    <row r="582" ht="15.75" customHeight="1">
      <c r="B582" s="120"/>
      <c r="AC582" s="146"/>
    </row>
    <row r="583" ht="15.75" customHeight="1">
      <c r="B583" s="120"/>
      <c r="AC583" s="146"/>
    </row>
    <row r="584" ht="15.75" customHeight="1">
      <c r="B584" s="120"/>
      <c r="AC584" s="146"/>
    </row>
    <row r="585" ht="15.75" customHeight="1">
      <c r="B585" s="120"/>
      <c r="AC585" s="146"/>
    </row>
    <row r="586" ht="15.75" customHeight="1">
      <c r="B586" s="120"/>
      <c r="AC586" s="146"/>
    </row>
    <row r="587" ht="15.75" customHeight="1">
      <c r="B587" s="120"/>
      <c r="AC587" s="146"/>
    </row>
    <row r="588" ht="15.75" customHeight="1">
      <c r="B588" s="120"/>
      <c r="AC588" s="146"/>
    </row>
    <row r="589" ht="15.75" customHeight="1">
      <c r="B589" s="120"/>
      <c r="AC589" s="146"/>
    </row>
    <row r="590" ht="15.75" customHeight="1">
      <c r="B590" s="120"/>
      <c r="AC590" s="146"/>
    </row>
    <row r="591" ht="15.75" customHeight="1">
      <c r="B591" s="120"/>
      <c r="AC591" s="146"/>
    </row>
    <row r="592" ht="15.75" customHeight="1">
      <c r="B592" s="120"/>
      <c r="AC592" s="146"/>
    </row>
    <row r="593" ht="15.75" customHeight="1">
      <c r="B593" s="120"/>
      <c r="AC593" s="146"/>
    </row>
    <row r="594" ht="15.75" customHeight="1">
      <c r="B594" s="120"/>
      <c r="AC594" s="146"/>
    </row>
    <row r="595" ht="15.75" customHeight="1">
      <c r="B595" s="120"/>
      <c r="AC595" s="146"/>
    </row>
    <row r="596" ht="15.75" customHeight="1">
      <c r="B596" s="120"/>
      <c r="AC596" s="146"/>
    </row>
    <row r="597" ht="15.75" customHeight="1">
      <c r="B597" s="120"/>
      <c r="AC597" s="146"/>
    </row>
    <row r="598" ht="15.75" customHeight="1">
      <c r="B598" s="120"/>
      <c r="AC598" s="146"/>
    </row>
    <row r="599" ht="15.75" customHeight="1">
      <c r="B599" s="120"/>
      <c r="AC599" s="146"/>
    </row>
    <row r="600" ht="15.75" customHeight="1">
      <c r="B600" s="120"/>
      <c r="AC600" s="146"/>
    </row>
    <row r="601" ht="15.75" customHeight="1">
      <c r="B601" s="120"/>
      <c r="AC601" s="146"/>
    </row>
    <row r="602" ht="15.75" customHeight="1">
      <c r="B602" s="120"/>
      <c r="AC602" s="146"/>
    </row>
    <row r="603" ht="15.75" customHeight="1">
      <c r="B603" s="120"/>
      <c r="AC603" s="146"/>
    </row>
    <row r="604" ht="15.75" customHeight="1">
      <c r="B604" s="120"/>
      <c r="AC604" s="146"/>
    </row>
    <row r="605" ht="15.75" customHeight="1">
      <c r="B605" s="120"/>
      <c r="AC605" s="146"/>
    </row>
    <row r="606" ht="15.75" customHeight="1">
      <c r="B606" s="120"/>
      <c r="AC606" s="146"/>
    </row>
    <row r="607" ht="15.75" customHeight="1">
      <c r="B607" s="120"/>
      <c r="AC607" s="146"/>
    </row>
    <row r="608" ht="15.75" customHeight="1">
      <c r="B608" s="120"/>
      <c r="AC608" s="146"/>
    </row>
    <row r="609" ht="15.75" customHeight="1">
      <c r="B609" s="120"/>
      <c r="AC609" s="146"/>
    </row>
    <row r="610" ht="15.75" customHeight="1">
      <c r="B610" s="120"/>
      <c r="AC610" s="146"/>
    </row>
    <row r="611" ht="15.75" customHeight="1">
      <c r="B611" s="120"/>
      <c r="AC611" s="146"/>
    </row>
    <row r="612" ht="15.75" customHeight="1">
      <c r="B612" s="120"/>
      <c r="AC612" s="146"/>
    </row>
    <row r="613" ht="15.75" customHeight="1">
      <c r="B613" s="120"/>
      <c r="AC613" s="146"/>
    </row>
    <row r="614" ht="15.75" customHeight="1">
      <c r="B614" s="120"/>
      <c r="AC614" s="146"/>
    </row>
    <row r="615" ht="15.75" customHeight="1">
      <c r="B615" s="120"/>
      <c r="AC615" s="146"/>
    </row>
    <row r="616" ht="15.75" customHeight="1">
      <c r="B616" s="120"/>
      <c r="AC616" s="146"/>
    </row>
    <row r="617" ht="15.75" customHeight="1">
      <c r="B617" s="120"/>
      <c r="AC617" s="146"/>
    </row>
    <row r="618" ht="15.75" customHeight="1">
      <c r="B618" s="120"/>
      <c r="AC618" s="146"/>
    </row>
    <row r="619" ht="15.75" customHeight="1">
      <c r="B619" s="120"/>
      <c r="AC619" s="146"/>
    </row>
    <row r="620" ht="15.75" customHeight="1">
      <c r="B620" s="120"/>
      <c r="AC620" s="146"/>
    </row>
    <row r="621" ht="15.75" customHeight="1">
      <c r="B621" s="120"/>
      <c r="AC621" s="146"/>
    </row>
    <row r="622" ht="15.75" customHeight="1">
      <c r="B622" s="120"/>
      <c r="AC622" s="146"/>
    </row>
    <row r="623" ht="15.75" customHeight="1">
      <c r="B623" s="120"/>
      <c r="AC623" s="146"/>
    </row>
    <row r="624" ht="15.75" customHeight="1">
      <c r="B624" s="120"/>
      <c r="AC624" s="146"/>
    </row>
    <row r="625" ht="15.75" customHeight="1">
      <c r="B625" s="120"/>
      <c r="AC625" s="146"/>
    </row>
    <row r="626" ht="15.75" customHeight="1">
      <c r="B626" s="120"/>
      <c r="AC626" s="146"/>
    </row>
    <row r="627" ht="15.75" customHeight="1">
      <c r="B627" s="120"/>
      <c r="AC627" s="146"/>
    </row>
    <row r="628" ht="15.75" customHeight="1">
      <c r="B628" s="120"/>
      <c r="AC628" s="146"/>
    </row>
    <row r="629" ht="15.75" customHeight="1">
      <c r="B629" s="120"/>
      <c r="AC629" s="146"/>
    </row>
    <row r="630" ht="15.75" customHeight="1">
      <c r="B630" s="120"/>
      <c r="AC630" s="146"/>
    </row>
    <row r="631" ht="15.75" customHeight="1">
      <c r="B631" s="120"/>
      <c r="AC631" s="146"/>
    </row>
    <row r="632" ht="15.75" customHeight="1">
      <c r="B632" s="120"/>
      <c r="AC632" s="146"/>
    </row>
    <row r="633" ht="15.75" customHeight="1">
      <c r="B633" s="120"/>
      <c r="AC633" s="146"/>
    </row>
    <row r="634" ht="15.75" customHeight="1">
      <c r="B634" s="120"/>
      <c r="AC634" s="146"/>
    </row>
    <row r="635" ht="15.75" customHeight="1">
      <c r="B635" s="120"/>
      <c r="AC635" s="146"/>
    </row>
    <row r="636" ht="15.75" customHeight="1">
      <c r="B636" s="120"/>
      <c r="AC636" s="146"/>
    </row>
    <row r="637" ht="15.75" customHeight="1">
      <c r="B637" s="120"/>
      <c r="AC637" s="146"/>
    </row>
    <row r="638" ht="15.75" customHeight="1">
      <c r="B638" s="120"/>
      <c r="AC638" s="146"/>
    </row>
    <row r="639" ht="15.75" customHeight="1">
      <c r="B639" s="120"/>
      <c r="AC639" s="146"/>
    </row>
    <row r="640" ht="15.75" customHeight="1">
      <c r="B640" s="120"/>
      <c r="AC640" s="146"/>
    </row>
    <row r="641" ht="15.75" customHeight="1">
      <c r="B641" s="120"/>
      <c r="AC641" s="146"/>
    </row>
    <row r="642" ht="15.75" customHeight="1">
      <c r="B642" s="120"/>
      <c r="AC642" s="146"/>
    </row>
    <row r="643" ht="15.75" customHeight="1">
      <c r="B643" s="120"/>
      <c r="AC643" s="146"/>
    </row>
    <row r="644" ht="15.75" customHeight="1">
      <c r="B644" s="120"/>
      <c r="AC644" s="146"/>
    </row>
    <row r="645" ht="15.75" customHeight="1">
      <c r="B645" s="120"/>
      <c r="AC645" s="146"/>
    </row>
    <row r="646" ht="15.75" customHeight="1">
      <c r="B646" s="120"/>
      <c r="AC646" s="146"/>
    </row>
    <row r="647" ht="15.75" customHeight="1">
      <c r="B647" s="120"/>
      <c r="AC647" s="146"/>
    </row>
    <row r="648" ht="15.75" customHeight="1">
      <c r="B648" s="120"/>
      <c r="AC648" s="146"/>
    </row>
    <row r="649" ht="15.75" customHeight="1">
      <c r="B649" s="120"/>
      <c r="AC649" s="146"/>
    </row>
    <row r="650" ht="15.75" customHeight="1">
      <c r="B650" s="120"/>
      <c r="AC650" s="146"/>
    </row>
    <row r="651" ht="15.75" customHeight="1">
      <c r="B651" s="120"/>
      <c r="AC651" s="146"/>
    </row>
    <row r="652" ht="15.75" customHeight="1">
      <c r="B652" s="120"/>
      <c r="AC652" s="146"/>
    </row>
    <row r="653" ht="15.75" customHeight="1">
      <c r="B653" s="120"/>
      <c r="AC653" s="146"/>
    </row>
    <row r="654" ht="15.75" customHeight="1">
      <c r="B654" s="120"/>
      <c r="AC654" s="146"/>
    </row>
    <row r="655" ht="15.75" customHeight="1">
      <c r="B655" s="120"/>
      <c r="AC655" s="146"/>
    </row>
    <row r="656" ht="15.75" customHeight="1">
      <c r="B656" s="120"/>
      <c r="AC656" s="146"/>
    </row>
    <row r="657" ht="15.75" customHeight="1">
      <c r="B657" s="120"/>
      <c r="AC657" s="146"/>
    </row>
    <row r="658" ht="15.75" customHeight="1">
      <c r="B658" s="120"/>
      <c r="AC658" s="146"/>
    </row>
    <row r="659" ht="15.75" customHeight="1">
      <c r="B659" s="120"/>
      <c r="AC659" s="146"/>
    </row>
    <row r="660" ht="15.75" customHeight="1">
      <c r="B660" s="120"/>
      <c r="AC660" s="146"/>
    </row>
    <row r="661" ht="15.75" customHeight="1">
      <c r="B661" s="120"/>
      <c r="AC661" s="146"/>
    </row>
    <row r="662" ht="15.75" customHeight="1">
      <c r="B662" s="120"/>
      <c r="AC662" s="146"/>
    </row>
    <row r="663" ht="15.75" customHeight="1">
      <c r="B663" s="120"/>
      <c r="AC663" s="146"/>
    </row>
    <row r="664" ht="15.75" customHeight="1">
      <c r="B664" s="120"/>
      <c r="AC664" s="146"/>
    </row>
    <row r="665" ht="15.75" customHeight="1">
      <c r="B665" s="120"/>
      <c r="AC665" s="146"/>
    </row>
    <row r="666" ht="15.75" customHeight="1">
      <c r="B666" s="120"/>
      <c r="AC666" s="146"/>
    </row>
    <row r="667" ht="15.75" customHeight="1">
      <c r="B667" s="120"/>
      <c r="AC667" s="146"/>
    </row>
    <row r="668" ht="15.75" customHeight="1">
      <c r="B668" s="120"/>
      <c r="AC668" s="146"/>
    </row>
    <row r="669" ht="15.75" customHeight="1">
      <c r="B669" s="120"/>
      <c r="AC669" s="146"/>
    </row>
    <row r="670" ht="15.75" customHeight="1">
      <c r="B670" s="120"/>
      <c r="AC670" s="146"/>
    </row>
    <row r="671" ht="15.75" customHeight="1">
      <c r="B671" s="120"/>
      <c r="AC671" s="146"/>
    </row>
    <row r="672" ht="15.75" customHeight="1">
      <c r="B672" s="120"/>
      <c r="AC672" s="146"/>
    </row>
    <row r="673" ht="15.75" customHeight="1">
      <c r="B673" s="120"/>
      <c r="AC673" s="146"/>
    </row>
    <row r="674" ht="15.75" customHeight="1">
      <c r="B674" s="120"/>
      <c r="AC674" s="146"/>
    </row>
    <row r="675" ht="15.75" customHeight="1">
      <c r="B675" s="120"/>
      <c r="AC675" s="146"/>
    </row>
    <row r="676" ht="15.75" customHeight="1">
      <c r="B676" s="120"/>
      <c r="AC676" s="146"/>
    </row>
    <row r="677" ht="15.75" customHeight="1">
      <c r="B677" s="120"/>
      <c r="AC677" s="146"/>
    </row>
    <row r="678" ht="15.75" customHeight="1">
      <c r="B678" s="120"/>
      <c r="AC678" s="146"/>
    </row>
    <row r="679" ht="15.75" customHeight="1">
      <c r="B679" s="120"/>
      <c r="AC679" s="146"/>
    </row>
    <row r="680" ht="15.75" customHeight="1">
      <c r="B680" s="120"/>
      <c r="AC680" s="146"/>
    </row>
    <row r="681" ht="15.75" customHeight="1">
      <c r="B681" s="120"/>
      <c r="AC681" s="146"/>
    </row>
    <row r="682" ht="15.75" customHeight="1">
      <c r="B682" s="120"/>
      <c r="AC682" s="146"/>
    </row>
    <row r="683" ht="15.75" customHeight="1">
      <c r="B683" s="120"/>
      <c r="AC683" s="146"/>
    </row>
    <row r="684" ht="15.75" customHeight="1">
      <c r="B684" s="120"/>
      <c r="AC684" s="146"/>
    </row>
    <row r="685" ht="15.75" customHeight="1">
      <c r="B685" s="120"/>
      <c r="AC685" s="146"/>
    </row>
    <row r="686" ht="15.75" customHeight="1">
      <c r="B686" s="120"/>
      <c r="AC686" s="146"/>
    </row>
    <row r="687" ht="15.75" customHeight="1">
      <c r="B687" s="120"/>
      <c r="AC687" s="146"/>
    </row>
    <row r="688" ht="15.75" customHeight="1">
      <c r="B688" s="120"/>
      <c r="AC688" s="146"/>
    </row>
    <row r="689" ht="15.75" customHeight="1">
      <c r="B689" s="120"/>
      <c r="AC689" s="146"/>
    </row>
    <row r="690" ht="15.75" customHeight="1">
      <c r="B690" s="120"/>
      <c r="AC690" s="146"/>
    </row>
    <row r="691" ht="15.75" customHeight="1">
      <c r="B691" s="120"/>
      <c r="AC691" s="146"/>
    </row>
    <row r="692" ht="15.75" customHeight="1">
      <c r="B692" s="120"/>
      <c r="AC692" s="146"/>
    </row>
    <row r="693" ht="15.75" customHeight="1">
      <c r="B693" s="120"/>
      <c r="AC693" s="146"/>
    </row>
    <row r="694" ht="15.75" customHeight="1">
      <c r="B694" s="120"/>
      <c r="AC694" s="146"/>
    </row>
    <row r="695" ht="15.75" customHeight="1">
      <c r="B695" s="120"/>
      <c r="AC695" s="146"/>
    </row>
    <row r="696" ht="15.75" customHeight="1">
      <c r="B696" s="120"/>
      <c r="AC696" s="146"/>
    </row>
    <row r="697" ht="15.75" customHeight="1">
      <c r="B697" s="120"/>
      <c r="AC697" s="146"/>
    </row>
    <row r="698" ht="15.75" customHeight="1">
      <c r="B698" s="120"/>
      <c r="AC698" s="146"/>
    </row>
    <row r="699" ht="15.75" customHeight="1">
      <c r="B699" s="120"/>
      <c r="AC699" s="146"/>
    </row>
    <row r="700" ht="15.75" customHeight="1">
      <c r="B700" s="120"/>
      <c r="AC700" s="146"/>
    </row>
    <row r="701" ht="15.75" customHeight="1">
      <c r="B701" s="120"/>
      <c r="AC701" s="146"/>
    </row>
    <row r="702" ht="15.75" customHeight="1">
      <c r="B702" s="120"/>
      <c r="AC702" s="146"/>
    </row>
    <row r="703" ht="15.75" customHeight="1">
      <c r="B703" s="120"/>
      <c r="AC703" s="146"/>
    </row>
    <row r="704" ht="15.75" customHeight="1">
      <c r="B704" s="120"/>
      <c r="AC704" s="146"/>
    </row>
    <row r="705" ht="15.75" customHeight="1">
      <c r="B705" s="120"/>
      <c r="AC705" s="146"/>
    </row>
    <row r="706" ht="15.75" customHeight="1">
      <c r="B706" s="120"/>
      <c r="AC706" s="146"/>
    </row>
    <row r="707" ht="15.75" customHeight="1">
      <c r="B707" s="120"/>
      <c r="AC707" s="146"/>
    </row>
    <row r="708" ht="15.75" customHeight="1">
      <c r="B708" s="120"/>
      <c r="AC708" s="146"/>
    </row>
    <row r="709" ht="15.75" customHeight="1">
      <c r="B709" s="120"/>
      <c r="AC709" s="146"/>
    </row>
    <row r="710" ht="15.75" customHeight="1">
      <c r="B710" s="120"/>
      <c r="AC710" s="146"/>
    </row>
    <row r="711" ht="15.75" customHeight="1">
      <c r="B711" s="120"/>
      <c r="AC711" s="146"/>
    </row>
    <row r="712" ht="15.75" customHeight="1">
      <c r="B712" s="120"/>
      <c r="AC712" s="146"/>
    </row>
    <row r="713" ht="15.75" customHeight="1">
      <c r="B713" s="120"/>
      <c r="AC713" s="146"/>
    </row>
    <row r="714" ht="15.75" customHeight="1">
      <c r="B714" s="120"/>
      <c r="AC714" s="146"/>
    </row>
    <row r="715" ht="15.75" customHeight="1">
      <c r="B715" s="120"/>
      <c r="AC715" s="146"/>
    </row>
    <row r="716" ht="15.75" customHeight="1">
      <c r="B716" s="120"/>
      <c r="AC716" s="146"/>
    </row>
    <row r="717" ht="15.75" customHeight="1">
      <c r="B717" s="120"/>
      <c r="AC717" s="146"/>
    </row>
    <row r="718" ht="15.75" customHeight="1">
      <c r="B718" s="120"/>
      <c r="AC718" s="146"/>
    </row>
    <row r="719" ht="15.75" customHeight="1">
      <c r="B719" s="120"/>
      <c r="AC719" s="146"/>
    </row>
    <row r="720" ht="15.75" customHeight="1">
      <c r="B720" s="120"/>
      <c r="AC720" s="146"/>
    </row>
    <row r="721" ht="15.75" customHeight="1">
      <c r="B721" s="120"/>
      <c r="AC721" s="146"/>
    </row>
    <row r="722" ht="15.75" customHeight="1">
      <c r="B722" s="120"/>
      <c r="AC722" s="146"/>
    </row>
    <row r="723" ht="15.75" customHeight="1">
      <c r="B723" s="120"/>
      <c r="AC723" s="146"/>
    </row>
    <row r="724" ht="15.75" customHeight="1">
      <c r="B724" s="120"/>
      <c r="AC724" s="146"/>
    </row>
    <row r="725" ht="15.75" customHeight="1">
      <c r="B725" s="120"/>
      <c r="AC725" s="146"/>
    </row>
    <row r="726" ht="15.75" customHeight="1">
      <c r="B726" s="120"/>
      <c r="AC726" s="146"/>
    </row>
    <row r="727" ht="15.75" customHeight="1">
      <c r="B727" s="120"/>
      <c r="AC727" s="146"/>
    </row>
    <row r="728" ht="15.75" customHeight="1">
      <c r="B728" s="120"/>
      <c r="AC728" s="146"/>
    </row>
    <row r="729" ht="15.75" customHeight="1">
      <c r="B729" s="120"/>
      <c r="AC729" s="146"/>
    </row>
    <row r="730" ht="15.75" customHeight="1">
      <c r="B730" s="120"/>
      <c r="AC730" s="146"/>
    </row>
    <row r="731" ht="15.75" customHeight="1">
      <c r="B731" s="120"/>
      <c r="AC731" s="146"/>
    </row>
    <row r="732" ht="15.75" customHeight="1">
      <c r="B732" s="120"/>
      <c r="AC732" s="146"/>
    </row>
    <row r="733" ht="15.75" customHeight="1">
      <c r="B733" s="120"/>
      <c r="AC733" s="146"/>
    </row>
    <row r="734" ht="15.75" customHeight="1">
      <c r="B734" s="120"/>
      <c r="AC734" s="146"/>
    </row>
    <row r="735" ht="15.75" customHeight="1">
      <c r="B735" s="120"/>
      <c r="AC735" s="146"/>
    </row>
    <row r="736" ht="15.75" customHeight="1">
      <c r="B736" s="120"/>
      <c r="AC736" s="146"/>
    </row>
    <row r="737" ht="15.75" customHeight="1">
      <c r="B737" s="120"/>
      <c r="AC737" s="146"/>
    </row>
    <row r="738" ht="15.75" customHeight="1">
      <c r="B738" s="120"/>
      <c r="AC738" s="146"/>
    </row>
    <row r="739" ht="15.75" customHeight="1">
      <c r="B739" s="120"/>
      <c r="AC739" s="146"/>
    </row>
    <row r="740" ht="15.75" customHeight="1">
      <c r="B740" s="120"/>
      <c r="AC740" s="146"/>
    </row>
    <row r="741" ht="15.75" customHeight="1">
      <c r="B741" s="120"/>
      <c r="AC741" s="146"/>
    </row>
    <row r="742" ht="15.75" customHeight="1">
      <c r="B742" s="120"/>
      <c r="AC742" s="146"/>
    </row>
    <row r="743" ht="15.75" customHeight="1">
      <c r="B743" s="120"/>
      <c r="AC743" s="146"/>
    </row>
    <row r="744" ht="15.75" customHeight="1">
      <c r="B744" s="120"/>
      <c r="AC744" s="146"/>
    </row>
    <row r="745" ht="15.75" customHeight="1">
      <c r="B745" s="120"/>
      <c r="AC745" s="146"/>
    </row>
    <row r="746" ht="15.75" customHeight="1">
      <c r="B746" s="120"/>
      <c r="AC746" s="146"/>
    </row>
    <row r="747" ht="15.75" customHeight="1">
      <c r="B747" s="120"/>
      <c r="AC747" s="146"/>
    </row>
    <row r="748" ht="15.75" customHeight="1">
      <c r="B748" s="120"/>
      <c r="AC748" s="146"/>
    </row>
    <row r="749" ht="15.75" customHeight="1">
      <c r="B749" s="120"/>
      <c r="AC749" s="146"/>
    </row>
    <row r="750" ht="15.75" customHeight="1">
      <c r="B750" s="120"/>
      <c r="AC750" s="146"/>
    </row>
    <row r="751" ht="15.75" customHeight="1">
      <c r="B751" s="120"/>
      <c r="AC751" s="146"/>
    </row>
    <row r="752" ht="15.75" customHeight="1">
      <c r="B752" s="120"/>
      <c r="AC752" s="146"/>
    </row>
    <row r="753" ht="15.75" customHeight="1">
      <c r="B753" s="120"/>
      <c r="AC753" s="146"/>
    </row>
    <row r="754" ht="15.75" customHeight="1">
      <c r="B754" s="120"/>
      <c r="AC754" s="146"/>
    </row>
    <row r="755" ht="15.75" customHeight="1">
      <c r="B755" s="120"/>
      <c r="AC755" s="146"/>
    </row>
    <row r="756" ht="15.75" customHeight="1">
      <c r="B756" s="120"/>
      <c r="AC756" s="146"/>
    </row>
    <row r="757" ht="15.75" customHeight="1">
      <c r="B757" s="120"/>
      <c r="AC757" s="146"/>
    </row>
    <row r="758" ht="15.75" customHeight="1">
      <c r="B758" s="120"/>
      <c r="AC758" s="146"/>
    </row>
    <row r="759" ht="15.75" customHeight="1">
      <c r="B759" s="120"/>
      <c r="AC759" s="146"/>
    </row>
    <row r="760" ht="15.75" customHeight="1">
      <c r="B760" s="120"/>
      <c r="AC760" s="146"/>
    </row>
    <row r="761" ht="15.75" customHeight="1">
      <c r="B761" s="120"/>
      <c r="AC761" s="146"/>
    </row>
    <row r="762" ht="15.75" customHeight="1">
      <c r="B762" s="120"/>
      <c r="AC762" s="146"/>
    </row>
    <row r="763" ht="15.75" customHeight="1">
      <c r="B763" s="120"/>
      <c r="AC763" s="146"/>
    </row>
    <row r="764" ht="15.75" customHeight="1">
      <c r="B764" s="120"/>
      <c r="AC764" s="146"/>
    </row>
    <row r="765" ht="15.75" customHeight="1">
      <c r="B765" s="120"/>
      <c r="AC765" s="146"/>
    </row>
    <row r="766" ht="15.75" customHeight="1">
      <c r="B766" s="120"/>
      <c r="AC766" s="146"/>
    </row>
    <row r="767" ht="15.75" customHeight="1">
      <c r="B767" s="120"/>
      <c r="AC767" s="146"/>
    </row>
    <row r="768" ht="15.75" customHeight="1">
      <c r="B768" s="120"/>
      <c r="AC768" s="146"/>
    </row>
    <row r="769" ht="15.75" customHeight="1">
      <c r="B769" s="120"/>
      <c r="AC769" s="146"/>
    </row>
    <row r="770" ht="15.75" customHeight="1">
      <c r="B770" s="120"/>
      <c r="AC770" s="146"/>
    </row>
    <row r="771" ht="15.75" customHeight="1">
      <c r="B771" s="120"/>
      <c r="AC771" s="146"/>
    </row>
    <row r="772" ht="15.75" customHeight="1">
      <c r="B772" s="120"/>
      <c r="AC772" s="146"/>
    </row>
    <row r="773" ht="15.75" customHeight="1">
      <c r="B773" s="120"/>
      <c r="AC773" s="146"/>
    </row>
    <row r="774" ht="15.75" customHeight="1">
      <c r="B774" s="120"/>
      <c r="AC774" s="146"/>
    </row>
    <row r="775" ht="15.75" customHeight="1">
      <c r="B775" s="120"/>
      <c r="AC775" s="146"/>
    </row>
    <row r="776" ht="15.75" customHeight="1">
      <c r="B776" s="120"/>
      <c r="AC776" s="146"/>
    </row>
    <row r="777" ht="15.75" customHeight="1">
      <c r="B777" s="120"/>
      <c r="AC777" s="146"/>
    </row>
    <row r="778" ht="15.75" customHeight="1">
      <c r="B778" s="120"/>
      <c r="AC778" s="146"/>
    </row>
    <row r="779" ht="15.75" customHeight="1">
      <c r="B779" s="120"/>
      <c r="AC779" s="146"/>
    </row>
    <row r="780" ht="15.75" customHeight="1">
      <c r="B780" s="120"/>
      <c r="AC780" s="146"/>
    </row>
    <row r="781" ht="15.75" customHeight="1">
      <c r="B781" s="120"/>
      <c r="AC781" s="146"/>
    </row>
    <row r="782" ht="15.75" customHeight="1">
      <c r="B782" s="120"/>
      <c r="AC782" s="146"/>
    </row>
    <row r="783" ht="15.75" customHeight="1">
      <c r="B783" s="120"/>
      <c r="AC783" s="146"/>
    </row>
    <row r="784" ht="15.75" customHeight="1">
      <c r="B784" s="120"/>
      <c r="AC784" s="146"/>
    </row>
    <row r="785" ht="15.75" customHeight="1">
      <c r="B785" s="120"/>
      <c r="AC785" s="146"/>
    </row>
    <row r="786" ht="15.75" customHeight="1">
      <c r="B786" s="120"/>
      <c r="AC786" s="146"/>
    </row>
    <row r="787" ht="15.75" customHeight="1">
      <c r="B787" s="120"/>
      <c r="AC787" s="146"/>
    </row>
    <row r="788" ht="15.75" customHeight="1">
      <c r="B788" s="120"/>
      <c r="AC788" s="146"/>
    </row>
    <row r="789" ht="15.75" customHeight="1">
      <c r="B789" s="120"/>
      <c r="AC789" s="146"/>
    </row>
    <row r="790" ht="15.75" customHeight="1">
      <c r="B790" s="120"/>
      <c r="AC790" s="146"/>
    </row>
    <row r="791" ht="15.75" customHeight="1">
      <c r="B791" s="120"/>
      <c r="AC791" s="146"/>
    </row>
    <row r="792" ht="15.75" customHeight="1">
      <c r="B792" s="120"/>
      <c r="AC792" s="146"/>
    </row>
    <row r="793" ht="15.75" customHeight="1">
      <c r="B793" s="120"/>
      <c r="AC793" s="146"/>
    </row>
    <row r="794" ht="15.75" customHeight="1">
      <c r="B794" s="120"/>
      <c r="AC794" s="146"/>
    </row>
    <row r="795" ht="15.75" customHeight="1">
      <c r="B795" s="120"/>
      <c r="AC795" s="146"/>
    </row>
    <row r="796" ht="15.75" customHeight="1">
      <c r="B796" s="120"/>
      <c r="AC796" s="146"/>
    </row>
    <row r="797" ht="15.75" customHeight="1">
      <c r="B797" s="120"/>
      <c r="AC797" s="146"/>
    </row>
    <row r="798" ht="15.75" customHeight="1">
      <c r="B798" s="120"/>
      <c r="AC798" s="146"/>
    </row>
    <row r="799" ht="15.75" customHeight="1">
      <c r="B799" s="120"/>
      <c r="AC799" s="146"/>
    </row>
    <row r="800" ht="15.75" customHeight="1">
      <c r="B800" s="120"/>
      <c r="AC800" s="146"/>
    </row>
    <row r="801" ht="15.75" customHeight="1">
      <c r="B801" s="120"/>
      <c r="AC801" s="146"/>
    </row>
    <row r="802" ht="15.75" customHeight="1">
      <c r="B802" s="120"/>
      <c r="AC802" s="146"/>
    </row>
    <row r="803" ht="15.75" customHeight="1">
      <c r="B803" s="120"/>
      <c r="AC803" s="146"/>
    </row>
    <row r="804" ht="15.75" customHeight="1">
      <c r="B804" s="120"/>
      <c r="AC804" s="146"/>
    </row>
    <row r="805" ht="15.75" customHeight="1">
      <c r="B805" s="120"/>
      <c r="AC805" s="146"/>
    </row>
    <row r="806" ht="15.75" customHeight="1">
      <c r="B806" s="120"/>
      <c r="AC806" s="146"/>
    </row>
    <row r="807" ht="15.75" customHeight="1">
      <c r="B807" s="120"/>
      <c r="AC807" s="146"/>
    </row>
    <row r="808" ht="15.75" customHeight="1">
      <c r="B808" s="120"/>
      <c r="AC808" s="146"/>
    </row>
    <row r="809" ht="15.75" customHeight="1">
      <c r="B809" s="120"/>
      <c r="AC809" s="146"/>
    </row>
    <row r="810" ht="15.75" customHeight="1">
      <c r="B810" s="120"/>
      <c r="AC810" s="146"/>
    </row>
    <row r="811" ht="15.75" customHeight="1">
      <c r="B811" s="120"/>
      <c r="AC811" s="146"/>
    </row>
    <row r="812" ht="15.75" customHeight="1">
      <c r="B812" s="120"/>
      <c r="AC812" s="146"/>
    </row>
    <row r="813" ht="15.75" customHeight="1">
      <c r="B813" s="120"/>
      <c r="AC813" s="146"/>
    </row>
    <row r="814" ht="15.75" customHeight="1">
      <c r="B814" s="120"/>
      <c r="AC814" s="146"/>
    </row>
    <row r="815" ht="15.75" customHeight="1">
      <c r="B815" s="120"/>
      <c r="AC815" s="146"/>
    </row>
    <row r="816" ht="15.75" customHeight="1">
      <c r="B816" s="120"/>
      <c r="AC816" s="146"/>
    </row>
    <row r="817" ht="15.75" customHeight="1">
      <c r="B817" s="120"/>
      <c r="AC817" s="146"/>
    </row>
    <row r="818" ht="15.75" customHeight="1">
      <c r="B818" s="120"/>
      <c r="AC818" s="146"/>
    </row>
    <row r="819" ht="15.75" customHeight="1">
      <c r="B819" s="120"/>
      <c r="AC819" s="146"/>
    </row>
    <row r="820" ht="15.75" customHeight="1">
      <c r="B820" s="120"/>
      <c r="AC820" s="146"/>
    </row>
    <row r="821" ht="15.75" customHeight="1">
      <c r="B821" s="120"/>
      <c r="AC821" s="146"/>
    </row>
    <row r="822" ht="15.75" customHeight="1">
      <c r="B822" s="120"/>
      <c r="AC822" s="146"/>
    </row>
    <row r="823" ht="15.75" customHeight="1">
      <c r="B823" s="120"/>
      <c r="AC823" s="146"/>
    </row>
    <row r="824" ht="15.75" customHeight="1">
      <c r="B824" s="120"/>
      <c r="AC824" s="146"/>
    </row>
    <row r="825" ht="15.75" customHeight="1">
      <c r="B825" s="120"/>
      <c r="AC825" s="146"/>
    </row>
    <row r="826" ht="15.75" customHeight="1">
      <c r="B826" s="120"/>
      <c r="AC826" s="146"/>
    </row>
    <row r="827" ht="15.75" customHeight="1">
      <c r="B827" s="120"/>
      <c r="AC827" s="146"/>
    </row>
    <row r="828" ht="15.75" customHeight="1">
      <c r="B828" s="120"/>
      <c r="AC828" s="146"/>
    </row>
    <row r="829" ht="15.75" customHeight="1">
      <c r="B829" s="120"/>
      <c r="AC829" s="146"/>
    </row>
    <row r="830" ht="15.75" customHeight="1">
      <c r="B830" s="120"/>
      <c r="AC830" s="146"/>
    </row>
    <row r="831" ht="15.75" customHeight="1">
      <c r="B831" s="120"/>
      <c r="AC831" s="146"/>
    </row>
    <row r="832" ht="15.75" customHeight="1">
      <c r="B832" s="120"/>
      <c r="AC832" s="146"/>
    </row>
    <row r="833" ht="15.75" customHeight="1">
      <c r="B833" s="120"/>
      <c r="AC833" s="146"/>
    </row>
    <row r="834" ht="15.75" customHeight="1">
      <c r="B834" s="120"/>
      <c r="AC834" s="146"/>
    </row>
    <row r="835" ht="15.75" customHeight="1">
      <c r="B835" s="120"/>
      <c r="AC835" s="146"/>
    </row>
    <row r="836" ht="15.75" customHeight="1">
      <c r="B836" s="120"/>
      <c r="AC836" s="146"/>
    </row>
    <row r="837" ht="15.75" customHeight="1">
      <c r="B837" s="120"/>
      <c r="AC837" s="146"/>
    </row>
    <row r="838" ht="15.75" customHeight="1">
      <c r="B838" s="120"/>
      <c r="AC838" s="146"/>
    </row>
    <row r="839" ht="15.75" customHeight="1">
      <c r="B839" s="120"/>
      <c r="AC839" s="146"/>
    </row>
    <row r="840" ht="15.75" customHeight="1">
      <c r="B840" s="120"/>
      <c r="AC840" s="146"/>
    </row>
    <row r="841" ht="15.75" customHeight="1">
      <c r="B841" s="120"/>
      <c r="AC841" s="146"/>
    </row>
    <row r="842" ht="15.75" customHeight="1">
      <c r="B842" s="120"/>
      <c r="AC842" s="146"/>
    </row>
    <row r="843" ht="15.75" customHeight="1">
      <c r="B843" s="120"/>
      <c r="AC843" s="146"/>
    </row>
    <row r="844" ht="15.75" customHeight="1">
      <c r="B844" s="120"/>
      <c r="AC844" s="146"/>
    </row>
    <row r="845" ht="15.75" customHeight="1">
      <c r="B845" s="120"/>
      <c r="AC845" s="146"/>
    </row>
    <row r="846" ht="15.75" customHeight="1">
      <c r="B846" s="120"/>
      <c r="AC846" s="146"/>
    </row>
    <row r="847" ht="15.75" customHeight="1">
      <c r="B847" s="120"/>
      <c r="AC847" s="146"/>
    </row>
    <row r="848" ht="15.75" customHeight="1">
      <c r="B848" s="120"/>
      <c r="AC848" s="146"/>
    </row>
    <row r="849" ht="15.75" customHeight="1">
      <c r="B849" s="120"/>
      <c r="AC849" s="146"/>
    </row>
    <row r="850" ht="15.75" customHeight="1">
      <c r="B850" s="120"/>
      <c r="AC850" s="146"/>
    </row>
    <row r="851" ht="15.75" customHeight="1">
      <c r="B851" s="120"/>
      <c r="AC851" s="146"/>
    </row>
    <row r="852" ht="15.75" customHeight="1">
      <c r="B852" s="120"/>
      <c r="AC852" s="146"/>
    </row>
    <row r="853" ht="15.75" customHeight="1">
      <c r="B853" s="120"/>
      <c r="AC853" s="146"/>
    </row>
    <row r="854" ht="15.75" customHeight="1">
      <c r="B854" s="120"/>
      <c r="AC854" s="146"/>
    </row>
    <row r="855" ht="15.75" customHeight="1">
      <c r="B855" s="120"/>
      <c r="AC855" s="146"/>
    </row>
    <row r="856" ht="15.75" customHeight="1">
      <c r="B856" s="120"/>
      <c r="AC856" s="146"/>
    </row>
    <row r="857" ht="15.75" customHeight="1">
      <c r="B857" s="120"/>
      <c r="AC857" s="146"/>
    </row>
    <row r="858" ht="15.75" customHeight="1">
      <c r="B858" s="120"/>
      <c r="AC858" s="146"/>
    </row>
    <row r="859" ht="15.75" customHeight="1">
      <c r="B859" s="120"/>
      <c r="AC859" s="146"/>
    </row>
    <row r="860" ht="15.75" customHeight="1">
      <c r="B860" s="120"/>
      <c r="AC860" s="146"/>
    </row>
    <row r="861" ht="15.75" customHeight="1">
      <c r="B861" s="120"/>
      <c r="AC861" s="146"/>
    </row>
    <row r="862" ht="15.75" customHeight="1">
      <c r="B862" s="120"/>
      <c r="AC862" s="146"/>
    </row>
    <row r="863" ht="15.75" customHeight="1">
      <c r="B863" s="120"/>
      <c r="AC863" s="146"/>
    </row>
    <row r="864" ht="15.75" customHeight="1">
      <c r="B864" s="120"/>
      <c r="AC864" s="146"/>
    </row>
    <row r="865" ht="15.75" customHeight="1">
      <c r="B865" s="120"/>
      <c r="AC865" s="146"/>
    </row>
    <row r="866" ht="15.75" customHeight="1">
      <c r="B866" s="120"/>
      <c r="AC866" s="146"/>
    </row>
    <row r="867" ht="15.75" customHeight="1">
      <c r="B867" s="120"/>
      <c r="AC867" s="146"/>
    </row>
    <row r="868" ht="15.75" customHeight="1">
      <c r="B868" s="120"/>
      <c r="AC868" s="146"/>
    </row>
    <row r="869" ht="15.75" customHeight="1">
      <c r="B869" s="120"/>
      <c r="AC869" s="146"/>
    </row>
    <row r="870" ht="15.75" customHeight="1">
      <c r="B870" s="120"/>
      <c r="AC870" s="146"/>
    </row>
    <row r="871" ht="15.75" customHeight="1">
      <c r="B871" s="120"/>
      <c r="AC871" s="146"/>
    </row>
    <row r="872" ht="15.75" customHeight="1">
      <c r="B872" s="120"/>
      <c r="AC872" s="146"/>
    </row>
    <row r="873" ht="15.75" customHeight="1">
      <c r="B873" s="120"/>
      <c r="AC873" s="146"/>
    </row>
    <row r="874" ht="15.75" customHeight="1">
      <c r="B874" s="120"/>
      <c r="AC874" s="146"/>
    </row>
    <row r="875" ht="15.75" customHeight="1">
      <c r="B875" s="120"/>
      <c r="AC875" s="146"/>
    </row>
    <row r="876" ht="15.75" customHeight="1">
      <c r="B876" s="120"/>
      <c r="AC876" s="146"/>
    </row>
    <row r="877" ht="15.75" customHeight="1">
      <c r="B877" s="120"/>
      <c r="AC877" s="146"/>
    </row>
    <row r="878" ht="15.75" customHeight="1">
      <c r="B878" s="120"/>
      <c r="AC878" s="146"/>
    </row>
    <row r="879" ht="15.75" customHeight="1">
      <c r="B879" s="120"/>
      <c r="AC879" s="146"/>
    </row>
    <row r="880" ht="15.75" customHeight="1">
      <c r="B880" s="120"/>
      <c r="AC880" s="146"/>
    </row>
    <row r="881" ht="15.75" customHeight="1">
      <c r="B881" s="120"/>
      <c r="AC881" s="146"/>
    </row>
    <row r="882" ht="15.75" customHeight="1">
      <c r="B882" s="120"/>
      <c r="AC882" s="146"/>
    </row>
    <row r="883" ht="15.75" customHeight="1">
      <c r="B883" s="120"/>
      <c r="AC883" s="146"/>
    </row>
    <row r="884" ht="15.75" customHeight="1">
      <c r="B884" s="120"/>
      <c r="AC884" s="146"/>
    </row>
    <row r="885" ht="15.75" customHeight="1">
      <c r="B885" s="120"/>
      <c r="AC885" s="146"/>
    </row>
    <row r="886" ht="15.75" customHeight="1">
      <c r="B886" s="120"/>
      <c r="AC886" s="146"/>
    </row>
    <row r="887" ht="15.75" customHeight="1">
      <c r="B887" s="120"/>
      <c r="AC887" s="146"/>
    </row>
    <row r="888" ht="15.75" customHeight="1">
      <c r="B888" s="120"/>
      <c r="AC888" s="146"/>
    </row>
    <row r="889" ht="15.75" customHeight="1">
      <c r="B889" s="120"/>
      <c r="AC889" s="146"/>
    </row>
    <row r="890" ht="15.75" customHeight="1">
      <c r="B890" s="120"/>
      <c r="AC890" s="146"/>
    </row>
    <row r="891" ht="15.75" customHeight="1">
      <c r="B891" s="120"/>
      <c r="AC891" s="146"/>
    </row>
    <row r="892" ht="15.75" customHeight="1">
      <c r="B892" s="120"/>
      <c r="AC892" s="146"/>
    </row>
    <row r="893" ht="15.75" customHeight="1">
      <c r="B893" s="120"/>
      <c r="AC893" s="146"/>
    </row>
    <row r="894" ht="15.75" customHeight="1">
      <c r="B894" s="120"/>
      <c r="AC894" s="146"/>
    </row>
    <row r="895" ht="15.75" customHeight="1">
      <c r="B895" s="120"/>
      <c r="AC895" s="146"/>
    </row>
    <row r="896" ht="15.75" customHeight="1">
      <c r="B896" s="120"/>
      <c r="AC896" s="146"/>
    </row>
    <row r="897" ht="15.75" customHeight="1">
      <c r="B897" s="120"/>
      <c r="AC897" s="146"/>
    </row>
    <row r="898" ht="15.75" customHeight="1">
      <c r="B898" s="120"/>
      <c r="AC898" s="146"/>
    </row>
    <row r="899" ht="15.75" customHeight="1">
      <c r="B899" s="120"/>
      <c r="AC899" s="146"/>
    </row>
    <row r="900" ht="15.75" customHeight="1">
      <c r="B900" s="120"/>
      <c r="AC900" s="146"/>
    </row>
    <row r="901" ht="15.75" customHeight="1">
      <c r="B901" s="120"/>
      <c r="AC901" s="146"/>
    </row>
    <row r="902" ht="15.75" customHeight="1">
      <c r="B902" s="120"/>
      <c r="AC902" s="146"/>
    </row>
    <row r="903" ht="15.75" customHeight="1">
      <c r="B903" s="120"/>
      <c r="AC903" s="146"/>
    </row>
    <row r="904" ht="15.75" customHeight="1">
      <c r="B904" s="120"/>
      <c r="AC904" s="146"/>
    </row>
    <row r="905" ht="15.75" customHeight="1">
      <c r="B905" s="120"/>
      <c r="AC905" s="146"/>
    </row>
    <row r="906" ht="15.75" customHeight="1">
      <c r="B906" s="120"/>
      <c r="AC906" s="146"/>
    </row>
    <row r="907" ht="15.75" customHeight="1">
      <c r="B907" s="120"/>
      <c r="AC907" s="146"/>
    </row>
    <row r="908" ht="15.75" customHeight="1">
      <c r="B908" s="120"/>
      <c r="AC908" s="146"/>
    </row>
    <row r="909" ht="15.75" customHeight="1">
      <c r="B909" s="120"/>
      <c r="AC909" s="146"/>
    </row>
    <row r="910" ht="15.75" customHeight="1">
      <c r="B910" s="120"/>
      <c r="AC910" s="146"/>
    </row>
    <row r="911" ht="15.75" customHeight="1">
      <c r="B911" s="120"/>
      <c r="AC911" s="146"/>
    </row>
    <row r="912" ht="15.75" customHeight="1">
      <c r="B912" s="120"/>
      <c r="AC912" s="146"/>
    </row>
    <row r="913" ht="15.75" customHeight="1">
      <c r="B913" s="120"/>
      <c r="AC913" s="146"/>
    </row>
    <row r="914" ht="15.75" customHeight="1">
      <c r="B914" s="120"/>
      <c r="AC914" s="146"/>
    </row>
    <row r="915" ht="15.75" customHeight="1">
      <c r="B915" s="120"/>
      <c r="AC915" s="146"/>
    </row>
    <row r="916" ht="15.75" customHeight="1">
      <c r="B916" s="120"/>
      <c r="AC916" s="146"/>
    </row>
    <row r="917" ht="15.75" customHeight="1">
      <c r="B917" s="120"/>
      <c r="AC917" s="146"/>
    </row>
    <row r="918" ht="15.75" customHeight="1">
      <c r="B918" s="120"/>
      <c r="AC918" s="146"/>
    </row>
    <row r="919" ht="15.75" customHeight="1">
      <c r="B919" s="120"/>
      <c r="AC919" s="146"/>
    </row>
    <row r="920" ht="15.75" customHeight="1">
      <c r="B920" s="120"/>
      <c r="AC920" s="146"/>
    </row>
    <row r="921" ht="15.75" customHeight="1">
      <c r="B921" s="120"/>
      <c r="AC921" s="146"/>
    </row>
    <row r="922" ht="15.75" customHeight="1">
      <c r="B922" s="120"/>
      <c r="AC922" s="146"/>
    </row>
    <row r="923" ht="15.75" customHeight="1">
      <c r="B923" s="120"/>
      <c r="AC923" s="146"/>
    </row>
    <row r="924" ht="15.75" customHeight="1">
      <c r="B924" s="120"/>
      <c r="AC924" s="146"/>
    </row>
    <row r="925" ht="15.75" customHeight="1">
      <c r="B925" s="120"/>
      <c r="AC925" s="146"/>
    </row>
    <row r="926" ht="15.75" customHeight="1">
      <c r="B926" s="120"/>
      <c r="AC926" s="146"/>
    </row>
    <row r="927" ht="15.75" customHeight="1">
      <c r="B927" s="120"/>
      <c r="AC927" s="146"/>
    </row>
    <row r="928" ht="15.75" customHeight="1">
      <c r="B928" s="120"/>
      <c r="AC928" s="146"/>
    </row>
    <row r="929" ht="15.75" customHeight="1">
      <c r="B929" s="120"/>
      <c r="AC929" s="146"/>
    </row>
    <row r="930" ht="15.75" customHeight="1">
      <c r="B930" s="120"/>
      <c r="AC930" s="146"/>
    </row>
    <row r="931" ht="15.75" customHeight="1">
      <c r="B931" s="120"/>
      <c r="AC931" s="146"/>
    </row>
    <row r="932" ht="15.75" customHeight="1">
      <c r="B932" s="120"/>
      <c r="AC932" s="146"/>
    </row>
    <row r="933" ht="15.75" customHeight="1">
      <c r="B933" s="120"/>
      <c r="AC933" s="146"/>
    </row>
    <row r="934" ht="15.75" customHeight="1">
      <c r="B934" s="120"/>
      <c r="AC934" s="146"/>
    </row>
    <row r="935" ht="15.75" customHeight="1">
      <c r="B935" s="120"/>
      <c r="AC935" s="146"/>
    </row>
    <row r="936" ht="15.75" customHeight="1">
      <c r="B936" s="120"/>
      <c r="AC936" s="146"/>
    </row>
    <row r="937" ht="15.75" customHeight="1">
      <c r="B937" s="120"/>
      <c r="AC937" s="146"/>
    </row>
    <row r="938" ht="15.75" customHeight="1">
      <c r="B938" s="120"/>
      <c r="AC938" s="146"/>
    </row>
    <row r="939" ht="15.75" customHeight="1">
      <c r="B939" s="120"/>
      <c r="AC939" s="146"/>
    </row>
    <row r="940" ht="15.75" customHeight="1">
      <c r="B940" s="120"/>
      <c r="AC940" s="146"/>
    </row>
    <row r="941" ht="15.75" customHeight="1">
      <c r="B941" s="120"/>
      <c r="AC941" s="146"/>
    </row>
    <row r="942" ht="15.75" customHeight="1">
      <c r="B942" s="120"/>
      <c r="AC942" s="146"/>
    </row>
    <row r="943" ht="15.75" customHeight="1">
      <c r="B943" s="120"/>
      <c r="AC943" s="146"/>
    </row>
    <row r="944" ht="15.75" customHeight="1">
      <c r="B944" s="120"/>
      <c r="AC944" s="146"/>
    </row>
    <row r="945" ht="15.75" customHeight="1">
      <c r="B945" s="120"/>
      <c r="AC945" s="146"/>
    </row>
    <row r="946" ht="15.75" customHeight="1">
      <c r="B946" s="120"/>
      <c r="AC946" s="146"/>
    </row>
    <row r="947" ht="15.75" customHeight="1">
      <c r="B947" s="120"/>
      <c r="AC947" s="146"/>
    </row>
    <row r="948" ht="15.75" customHeight="1">
      <c r="B948" s="120"/>
      <c r="AC948" s="146"/>
    </row>
    <row r="949" ht="15.75" customHeight="1">
      <c r="B949" s="120"/>
      <c r="AC949" s="146"/>
    </row>
    <row r="950" ht="15.75" customHeight="1">
      <c r="B950" s="120"/>
      <c r="AC950" s="146"/>
    </row>
    <row r="951" ht="15.75" customHeight="1">
      <c r="B951" s="120"/>
      <c r="AC951" s="146"/>
    </row>
    <row r="952" ht="15.75" customHeight="1">
      <c r="B952" s="120"/>
      <c r="AC952" s="146"/>
    </row>
    <row r="953" ht="15.75" customHeight="1">
      <c r="B953" s="120"/>
      <c r="AC953" s="146"/>
    </row>
    <row r="954" ht="15.75" customHeight="1">
      <c r="B954" s="120"/>
      <c r="AC954" s="146"/>
    </row>
    <row r="955" ht="15.75" customHeight="1">
      <c r="B955" s="120"/>
      <c r="AC955" s="146"/>
    </row>
    <row r="956" ht="15.75" customHeight="1">
      <c r="B956" s="120"/>
      <c r="AC956" s="146"/>
    </row>
    <row r="957" ht="15.75" customHeight="1">
      <c r="B957" s="120"/>
      <c r="AC957" s="146"/>
    </row>
    <row r="958" ht="15.75" customHeight="1">
      <c r="B958" s="120"/>
      <c r="AC958" s="146"/>
    </row>
    <row r="959" ht="15.75" customHeight="1">
      <c r="B959" s="120"/>
      <c r="AC959" s="146"/>
    </row>
    <row r="960" ht="15.75" customHeight="1">
      <c r="B960" s="120"/>
      <c r="AC960" s="146"/>
    </row>
    <row r="961" ht="15.75" customHeight="1">
      <c r="B961" s="120"/>
      <c r="AC961" s="146"/>
    </row>
    <row r="962" ht="15.75" customHeight="1">
      <c r="B962" s="120"/>
      <c r="AC962" s="146"/>
    </row>
    <row r="963" ht="15.75" customHeight="1">
      <c r="B963" s="120"/>
      <c r="AC963" s="146"/>
    </row>
    <row r="964" ht="15.75" customHeight="1">
      <c r="B964" s="120"/>
      <c r="AC964" s="146"/>
    </row>
    <row r="965" ht="15.75" customHeight="1">
      <c r="B965" s="120"/>
      <c r="AC965" s="146"/>
    </row>
    <row r="966" ht="15.75" customHeight="1">
      <c r="B966" s="120"/>
      <c r="AC966" s="146"/>
    </row>
    <row r="967" ht="15.75" customHeight="1">
      <c r="B967" s="120"/>
      <c r="AC967" s="146"/>
    </row>
    <row r="968" ht="15.75" customHeight="1">
      <c r="B968" s="120"/>
      <c r="AC968" s="146"/>
    </row>
    <row r="969" ht="15.75" customHeight="1">
      <c r="B969" s="120"/>
      <c r="AC969" s="146"/>
    </row>
    <row r="970" ht="15.75" customHeight="1">
      <c r="B970" s="120"/>
      <c r="AC970" s="146"/>
    </row>
    <row r="971" ht="15.75" customHeight="1">
      <c r="B971" s="120"/>
      <c r="AC971" s="146"/>
    </row>
    <row r="972" ht="15.75" customHeight="1">
      <c r="B972" s="120"/>
      <c r="AC972" s="146"/>
    </row>
    <row r="973" ht="15.75" customHeight="1">
      <c r="B973" s="120"/>
      <c r="AC973" s="146"/>
    </row>
    <row r="974" ht="15.75" customHeight="1">
      <c r="B974" s="120"/>
      <c r="AC974" s="146"/>
    </row>
    <row r="975" ht="15.75" customHeight="1">
      <c r="B975" s="120"/>
      <c r="AC975" s="146"/>
    </row>
    <row r="976" ht="15.75" customHeight="1">
      <c r="B976" s="120"/>
      <c r="AC976" s="146"/>
    </row>
    <row r="977" ht="15.75" customHeight="1">
      <c r="B977" s="120"/>
      <c r="AC977" s="146"/>
    </row>
    <row r="978" ht="15.75" customHeight="1">
      <c r="B978" s="120"/>
      <c r="AC978" s="146"/>
    </row>
    <row r="979" ht="15.75" customHeight="1">
      <c r="B979" s="120"/>
      <c r="AC979" s="146"/>
    </row>
    <row r="980" ht="15.75" customHeight="1">
      <c r="B980" s="120"/>
      <c r="AC980" s="146"/>
    </row>
    <row r="981" ht="15.75" customHeight="1">
      <c r="B981" s="120"/>
      <c r="AC981" s="146"/>
    </row>
    <row r="982" ht="15.75" customHeight="1">
      <c r="B982" s="120"/>
      <c r="AC982" s="146"/>
    </row>
    <row r="983" ht="15.75" customHeight="1">
      <c r="B983" s="120"/>
      <c r="AC983" s="146"/>
    </row>
    <row r="984" ht="15.75" customHeight="1">
      <c r="B984" s="120"/>
      <c r="AC984" s="146"/>
    </row>
    <row r="985" ht="15.75" customHeight="1">
      <c r="B985" s="120"/>
      <c r="AC985" s="146"/>
    </row>
    <row r="986" ht="15.75" customHeight="1">
      <c r="B986" s="120"/>
      <c r="AC986" s="146"/>
    </row>
    <row r="987" ht="15.75" customHeight="1">
      <c r="B987" s="120"/>
      <c r="AC987" s="146"/>
    </row>
    <row r="988" ht="15.75" customHeight="1">
      <c r="B988" s="120"/>
      <c r="AC988" s="146"/>
    </row>
    <row r="989" ht="15.75" customHeight="1">
      <c r="B989" s="120"/>
      <c r="AC989" s="146"/>
    </row>
    <row r="990" ht="15.75" customHeight="1">
      <c r="B990" s="120"/>
      <c r="AC990" s="146"/>
    </row>
    <row r="991" ht="15.75" customHeight="1">
      <c r="B991" s="120"/>
      <c r="AC991" s="146"/>
    </row>
    <row r="992" ht="15.75" customHeight="1">
      <c r="B992" s="120"/>
      <c r="AC992" s="146"/>
    </row>
    <row r="993" ht="15.75" customHeight="1">
      <c r="B993" s="120"/>
      <c r="AC993" s="146"/>
    </row>
    <row r="994" ht="15.75" customHeight="1">
      <c r="B994" s="120"/>
      <c r="AC994" s="146"/>
    </row>
    <row r="995" ht="15.75" customHeight="1">
      <c r="B995" s="120"/>
      <c r="AC995" s="146"/>
    </row>
    <row r="996" ht="15.75" customHeight="1">
      <c r="B996" s="120"/>
      <c r="AC996" s="146"/>
    </row>
    <row r="997" ht="15.75" customHeight="1">
      <c r="B997" s="120"/>
      <c r="AC997" s="146"/>
    </row>
    <row r="998" ht="15.75" customHeight="1">
      <c r="B998" s="120"/>
      <c r="AC998" s="146"/>
    </row>
    <row r="999" ht="15.75" customHeight="1">
      <c r="B999" s="120"/>
      <c r="AC999" s="146"/>
    </row>
    <row r="1000" ht="15.75" customHeight="1">
      <c r="B1000" s="163"/>
      <c r="AC1000" s="146"/>
    </row>
  </sheetData>
  <autoFilter ref="$A$1:$J$315"/>
  <conditionalFormatting sqref="J2:J148 J150:J1000">
    <cfRule type="containsText" dxfId="13" priority="1" operator="containsText" text="W">
      <formula>NOT(ISERROR(SEARCH(("W"),(J2))))</formula>
    </cfRule>
  </conditionalFormatting>
  <conditionalFormatting sqref="J2:J148 J150:J1000">
    <cfRule type="containsText" dxfId="7" priority="2" operator="containsText" text="L">
      <formula>NOT(ISERROR(SEARCH(("L"),(J2))))</formula>
    </cfRule>
  </conditionalFormatting>
  <conditionalFormatting sqref="A1:A150">
    <cfRule type="colorScale" priority="3">
      <colorScale>
        <cfvo type="formula" val="1"/>
        <cfvo type="formula" val="6"/>
        <color rgb="FFFFFFFF"/>
        <color rgb="FFFFFF00"/>
      </colorScale>
    </cfRule>
  </conditionalFormatting>
  <conditionalFormatting sqref="C1:C1000">
    <cfRule type="colorScale" priority="4">
      <colorScale>
        <cfvo type="min"/>
        <cfvo type="max"/>
        <color rgb="FFFCE5CD"/>
        <color rgb="FFFF9900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33.13"/>
    <col customWidth="1" min="3" max="3" width="20.63"/>
    <col customWidth="1" min="4" max="5" width="10.13"/>
    <col customWidth="1" min="6" max="6" width="13.5"/>
    <col customWidth="1" min="7" max="7" width="13.25"/>
    <col customWidth="1" min="8" max="19" width="7.63"/>
  </cols>
  <sheetData>
    <row r="1">
      <c r="A1" s="188" t="s">
        <v>4</v>
      </c>
      <c r="B1" s="188" t="s">
        <v>55</v>
      </c>
      <c r="C1" s="188" t="s">
        <v>12</v>
      </c>
      <c r="D1" s="189" t="s">
        <v>182</v>
      </c>
      <c r="E1" s="189" t="s">
        <v>183</v>
      </c>
      <c r="F1" s="189" t="s">
        <v>184</v>
      </c>
      <c r="G1" s="189" t="s">
        <v>185</v>
      </c>
    </row>
    <row r="2">
      <c r="A2" s="190"/>
      <c r="B2" s="191"/>
      <c r="C2" s="192"/>
      <c r="D2" s="193"/>
      <c r="E2" s="193"/>
      <c r="F2" s="194" t="str">
        <f t="shared" ref="F2:F352" si="1">IF(D2="","",D2+E2)</f>
        <v/>
      </c>
      <c r="G2" s="195" t="str">
        <f t="shared" ref="G2:G352" si="2">IF(D2="","",D2/F2)</f>
        <v/>
      </c>
    </row>
    <row r="3">
      <c r="A3" s="190"/>
      <c r="B3" s="191"/>
      <c r="C3" s="192"/>
      <c r="D3" s="193"/>
      <c r="E3" s="193"/>
      <c r="F3" s="194" t="str">
        <f t="shared" si="1"/>
        <v/>
      </c>
      <c r="G3" s="195" t="str">
        <f t="shared" si="2"/>
        <v/>
      </c>
    </row>
    <row r="4">
      <c r="A4" s="190"/>
      <c r="B4" s="191"/>
      <c r="C4" s="192"/>
      <c r="D4" s="193"/>
      <c r="E4" s="193"/>
      <c r="F4" s="194" t="str">
        <f t="shared" si="1"/>
        <v/>
      </c>
      <c r="G4" s="195" t="str">
        <f t="shared" si="2"/>
        <v/>
      </c>
    </row>
    <row r="5">
      <c r="A5" s="190"/>
      <c r="B5" s="191"/>
      <c r="C5" s="192"/>
      <c r="D5" s="193"/>
      <c r="E5" s="193"/>
      <c r="F5" s="194" t="str">
        <f t="shared" si="1"/>
        <v/>
      </c>
      <c r="G5" s="195" t="str">
        <f t="shared" si="2"/>
        <v/>
      </c>
    </row>
    <row r="6">
      <c r="A6" s="190"/>
      <c r="B6" s="191"/>
      <c r="C6" s="192"/>
      <c r="D6" s="193"/>
      <c r="E6" s="193"/>
      <c r="F6" s="194" t="str">
        <f t="shared" si="1"/>
        <v/>
      </c>
      <c r="G6" s="195" t="str">
        <f t="shared" si="2"/>
        <v/>
      </c>
    </row>
    <row r="7">
      <c r="A7" s="190"/>
      <c r="B7" s="191"/>
      <c r="C7" s="192"/>
      <c r="D7" s="193"/>
      <c r="E7" s="193"/>
      <c r="F7" s="194" t="str">
        <f t="shared" si="1"/>
        <v/>
      </c>
      <c r="G7" s="195" t="str">
        <f t="shared" si="2"/>
        <v/>
      </c>
    </row>
    <row r="8">
      <c r="A8" s="190"/>
      <c r="B8" s="191"/>
      <c r="C8" s="192"/>
      <c r="D8" s="193"/>
      <c r="E8" s="193"/>
      <c r="F8" s="194" t="str">
        <f t="shared" si="1"/>
        <v/>
      </c>
      <c r="G8" s="195" t="str">
        <f t="shared" si="2"/>
        <v/>
      </c>
    </row>
    <row r="9">
      <c r="A9" s="190"/>
      <c r="B9" s="191"/>
      <c r="C9" s="192"/>
      <c r="D9" s="193"/>
      <c r="E9" s="193"/>
      <c r="F9" s="194" t="str">
        <f t="shared" si="1"/>
        <v/>
      </c>
      <c r="G9" s="195" t="str">
        <f t="shared" si="2"/>
        <v/>
      </c>
    </row>
    <row r="10">
      <c r="A10" s="190"/>
      <c r="B10" s="191"/>
      <c r="C10" s="192"/>
      <c r="D10" s="193"/>
      <c r="E10" s="193"/>
      <c r="F10" s="194" t="str">
        <f t="shared" si="1"/>
        <v/>
      </c>
      <c r="G10" s="195" t="str">
        <f t="shared" si="2"/>
        <v/>
      </c>
    </row>
    <row r="11">
      <c r="A11" s="190"/>
      <c r="B11" s="191"/>
      <c r="C11" s="192"/>
      <c r="D11" s="193"/>
      <c r="E11" s="193"/>
      <c r="F11" s="194" t="str">
        <f t="shared" si="1"/>
        <v/>
      </c>
      <c r="G11" s="195" t="str">
        <f t="shared" si="2"/>
        <v/>
      </c>
    </row>
    <row r="12">
      <c r="A12" s="190"/>
      <c r="B12" s="191"/>
      <c r="C12" s="192"/>
      <c r="D12" s="193"/>
      <c r="E12" s="193"/>
      <c r="F12" s="194" t="str">
        <f t="shared" si="1"/>
        <v/>
      </c>
      <c r="G12" s="195" t="str">
        <f t="shared" si="2"/>
        <v/>
      </c>
    </row>
    <row r="13">
      <c r="A13" s="190"/>
      <c r="B13" s="191"/>
      <c r="C13" s="192"/>
      <c r="D13" s="193"/>
      <c r="E13" s="193"/>
      <c r="F13" s="194" t="str">
        <f t="shared" si="1"/>
        <v/>
      </c>
      <c r="G13" s="195" t="str">
        <f t="shared" si="2"/>
        <v/>
      </c>
    </row>
    <row r="14">
      <c r="A14" s="190"/>
      <c r="B14" s="191"/>
      <c r="C14" s="192"/>
      <c r="D14" s="193"/>
      <c r="E14" s="193"/>
      <c r="F14" s="194" t="str">
        <f t="shared" si="1"/>
        <v/>
      </c>
      <c r="G14" s="195" t="str">
        <f t="shared" si="2"/>
        <v/>
      </c>
    </row>
    <row r="15">
      <c r="A15" s="190"/>
      <c r="B15" s="191"/>
      <c r="C15" s="192"/>
      <c r="D15" s="193"/>
      <c r="E15" s="193"/>
      <c r="F15" s="194" t="str">
        <f t="shared" si="1"/>
        <v/>
      </c>
      <c r="G15" s="195" t="str">
        <f t="shared" si="2"/>
        <v/>
      </c>
    </row>
    <row r="16">
      <c r="A16" s="190" t="s">
        <v>116</v>
      </c>
      <c r="B16" s="191" t="s">
        <v>186</v>
      </c>
      <c r="C16" s="192"/>
      <c r="D16" s="193"/>
      <c r="E16" s="193"/>
      <c r="F16" s="194" t="str">
        <f t="shared" si="1"/>
        <v/>
      </c>
      <c r="G16" s="195" t="str">
        <f t="shared" si="2"/>
        <v/>
      </c>
    </row>
    <row r="17">
      <c r="A17" s="190"/>
      <c r="B17" s="191" t="s">
        <v>187</v>
      </c>
      <c r="C17" s="192"/>
      <c r="D17" s="193"/>
      <c r="E17" s="193"/>
      <c r="F17" s="194" t="str">
        <f t="shared" si="1"/>
        <v/>
      </c>
      <c r="G17" s="195" t="str">
        <f t="shared" si="2"/>
        <v/>
      </c>
    </row>
    <row r="18">
      <c r="A18" s="190"/>
      <c r="B18" s="191" t="s">
        <v>188</v>
      </c>
      <c r="C18" s="192"/>
      <c r="D18" s="193"/>
      <c r="E18" s="193"/>
      <c r="F18" s="194" t="str">
        <f t="shared" si="1"/>
        <v/>
      </c>
      <c r="G18" s="195" t="str">
        <f t="shared" si="2"/>
        <v/>
      </c>
    </row>
    <row r="19">
      <c r="A19" s="190"/>
      <c r="B19" s="191"/>
      <c r="C19" s="192"/>
      <c r="D19" s="193"/>
      <c r="E19" s="193"/>
      <c r="F19" s="194" t="str">
        <f t="shared" si="1"/>
        <v/>
      </c>
      <c r="G19" s="195" t="str">
        <f t="shared" si="2"/>
        <v/>
      </c>
    </row>
    <row r="20">
      <c r="A20" s="196"/>
      <c r="B20" s="197" t="s">
        <v>189</v>
      </c>
      <c r="C20" s="197"/>
      <c r="D20" s="198"/>
      <c r="E20" s="198"/>
      <c r="F20" s="194" t="str">
        <f t="shared" si="1"/>
        <v/>
      </c>
      <c r="G20" s="195" t="str">
        <f t="shared" si="2"/>
        <v/>
      </c>
    </row>
    <row r="21" ht="15.75" customHeight="1">
      <c r="A21" s="190"/>
      <c r="B21" s="191" t="s">
        <v>190</v>
      </c>
      <c r="C21" s="192"/>
      <c r="D21" s="193"/>
      <c r="E21" s="193"/>
      <c r="F21" s="194" t="str">
        <f t="shared" si="1"/>
        <v/>
      </c>
      <c r="G21" s="195" t="str">
        <f t="shared" si="2"/>
        <v/>
      </c>
    </row>
    <row r="22" ht="15.75" customHeight="1">
      <c r="A22" s="190"/>
      <c r="B22" s="191" t="s">
        <v>191</v>
      </c>
      <c r="C22" s="192"/>
      <c r="D22" s="193"/>
      <c r="E22" s="193"/>
      <c r="F22" s="194" t="str">
        <f t="shared" si="1"/>
        <v/>
      </c>
      <c r="G22" s="195" t="str">
        <f t="shared" si="2"/>
        <v/>
      </c>
    </row>
    <row r="23" ht="15.75" customHeight="1">
      <c r="A23" s="190" t="s">
        <v>192</v>
      </c>
      <c r="B23" s="191"/>
      <c r="C23" s="192"/>
      <c r="D23" s="193"/>
      <c r="E23" s="193"/>
      <c r="F23" s="194" t="str">
        <f t="shared" si="1"/>
        <v/>
      </c>
      <c r="G23" s="195" t="str">
        <f t="shared" si="2"/>
        <v/>
      </c>
    </row>
    <row r="24" ht="15.75" customHeight="1">
      <c r="A24" s="190"/>
      <c r="B24" s="191" t="s">
        <v>115</v>
      </c>
      <c r="C24" s="192"/>
      <c r="D24" s="193"/>
      <c r="E24" s="193"/>
      <c r="F24" s="194" t="str">
        <f t="shared" si="1"/>
        <v/>
      </c>
      <c r="G24" s="195" t="str">
        <f t="shared" si="2"/>
        <v/>
      </c>
    </row>
    <row r="25" ht="15.75" customHeight="1">
      <c r="A25" s="190"/>
      <c r="B25" s="191"/>
      <c r="C25" s="192"/>
      <c r="D25" s="193"/>
      <c r="E25" s="193"/>
      <c r="F25" s="194" t="str">
        <f t="shared" si="1"/>
        <v/>
      </c>
      <c r="G25" s="195" t="str">
        <f t="shared" si="2"/>
        <v/>
      </c>
    </row>
    <row r="26" ht="15.75" customHeight="1">
      <c r="A26" s="190"/>
      <c r="B26" s="191" t="s">
        <v>101</v>
      </c>
      <c r="C26" s="192"/>
      <c r="D26" s="193"/>
      <c r="E26" s="193"/>
      <c r="F26" s="194" t="str">
        <f t="shared" si="1"/>
        <v/>
      </c>
      <c r="G26" s="195" t="str">
        <f t="shared" si="2"/>
        <v/>
      </c>
    </row>
    <row r="27" ht="15.75" customHeight="1">
      <c r="A27" s="190"/>
      <c r="B27" s="191"/>
      <c r="C27" s="192"/>
      <c r="D27" s="193"/>
      <c r="E27" s="193"/>
      <c r="F27" s="194" t="str">
        <f t="shared" si="1"/>
        <v/>
      </c>
      <c r="G27" s="195" t="str">
        <f t="shared" si="2"/>
        <v/>
      </c>
    </row>
    <row r="28" ht="15.75" customHeight="1">
      <c r="A28" s="190"/>
      <c r="B28" s="191" t="s">
        <v>193</v>
      </c>
      <c r="C28" s="192"/>
      <c r="D28" s="193"/>
      <c r="E28" s="193"/>
      <c r="F28" s="194" t="str">
        <f t="shared" si="1"/>
        <v/>
      </c>
      <c r="G28" s="195" t="str">
        <f t="shared" si="2"/>
        <v/>
      </c>
    </row>
    <row r="29" ht="15.75" customHeight="1">
      <c r="A29" s="190"/>
      <c r="B29" s="191"/>
      <c r="C29" s="192"/>
      <c r="D29" s="193"/>
      <c r="E29" s="193"/>
      <c r="F29" s="194" t="str">
        <f t="shared" si="1"/>
        <v/>
      </c>
      <c r="G29" s="195" t="str">
        <f t="shared" si="2"/>
        <v/>
      </c>
    </row>
    <row r="30" ht="15.75" customHeight="1">
      <c r="A30" s="190"/>
      <c r="B30" s="191" t="s">
        <v>79</v>
      </c>
      <c r="C30" s="192"/>
      <c r="D30" s="193"/>
      <c r="E30" s="193"/>
      <c r="F30" s="194" t="str">
        <f t="shared" si="1"/>
        <v/>
      </c>
      <c r="G30" s="195" t="str">
        <f t="shared" si="2"/>
        <v/>
      </c>
    </row>
    <row r="31" ht="15.75" customHeight="1">
      <c r="A31" s="190"/>
      <c r="B31" s="191" t="s">
        <v>66</v>
      </c>
      <c r="C31" s="192"/>
      <c r="D31" s="193"/>
      <c r="E31" s="193"/>
      <c r="F31" s="194" t="str">
        <f t="shared" si="1"/>
        <v/>
      </c>
      <c r="G31" s="195" t="str">
        <f t="shared" si="2"/>
        <v/>
      </c>
    </row>
    <row r="32" ht="15.75" customHeight="1">
      <c r="A32" s="190"/>
      <c r="B32" s="191" t="s">
        <v>73</v>
      </c>
      <c r="C32" s="192"/>
      <c r="D32" s="193"/>
      <c r="E32" s="193"/>
      <c r="F32" s="194" t="str">
        <f t="shared" si="1"/>
        <v/>
      </c>
      <c r="G32" s="195" t="str">
        <f t="shared" si="2"/>
        <v/>
      </c>
    </row>
    <row r="33" ht="15.75" customHeight="1">
      <c r="A33" s="190"/>
      <c r="B33" s="191" t="s">
        <v>194</v>
      </c>
      <c r="C33" s="192"/>
      <c r="D33" s="193"/>
      <c r="E33" s="193"/>
      <c r="F33" s="194" t="str">
        <f t="shared" si="1"/>
        <v/>
      </c>
      <c r="G33" s="195" t="str">
        <f t="shared" si="2"/>
        <v/>
      </c>
    </row>
    <row r="34" ht="15.75" customHeight="1">
      <c r="A34" s="190"/>
      <c r="B34" s="191" t="s">
        <v>149</v>
      </c>
      <c r="C34" s="192"/>
      <c r="D34" s="193"/>
      <c r="E34" s="193"/>
      <c r="F34" s="194" t="str">
        <f t="shared" si="1"/>
        <v/>
      </c>
      <c r="G34" s="195" t="str">
        <f t="shared" si="2"/>
        <v/>
      </c>
    </row>
    <row r="35" ht="15.75" customHeight="1">
      <c r="A35" s="190"/>
      <c r="B35" s="191"/>
      <c r="C35" s="192"/>
      <c r="D35" s="193"/>
      <c r="E35" s="193"/>
      <c r="F35" s="194" t="str">
        <f t="shared" si="1"/>
        <v/>
      </c>
      <c r="G35" s="195" t="str">
        <f t="shared" si="2"/>
        <v/>
      </c>
    </row>
    <row r="36" ht="15.75" customHeight="1">
      <c r="A36" s="190"/>
      <c r="B36" s="191" t="s">
        <v>195</v>
      </c>
      <c r="C36" s="192"/>
      <c r="D36" s="193"/>
      <c r="E36" s="193"/>
      <c r="F36" s="194" t="str">
        <f t="shared" si="1"/>
        <v/>
      </c>
      <c r="G36" s="195" t="str">
        <f t="shared" si="2"/>
        <v/>
      </c>
    </row>
    <row r="37" ht="15.75" customHeight="1">
      <c r="A37" s="190"/>
      <c r="B37" s="191" t="s">
        <v>196</v>
      </c>
      <c r="C37" s="192"/>
      <c r="D37" s="193"/>
      <c r="E37" s="193"/>
      <c r="F37" s="194" t="str">
        <f t="shared" si="1"/>
        <v/>
      </c>
      <c r="G37" s="195" t="str">
        <f t="shared" si="2"/>
        <v/>
      </c>
    </row>
    <row r="38" ht="15.75" customHeight="1">
      <c r="A38" s="190"/>
      <c r="B38" s="191" t="s">
        <v>197</v>
      </c>
      <c r="C38" s="192"/>
      <c r="D38" s="193"/>
      <c r="E38" s="193"/>
      <c r="F38" s="194" t="str">
        <f t="shared" si="1"/>
        <v/>
      </c>
      <c r="G38" s="195" t="str">
        <f t="shared" si="2"/>
        <v/>
      </c>
    </row>
    <row r="39" ht="15.75" customHeight="1">
      <c r="A39" s="190"/>
      <c r="B39" s="191" t="s">
        <v>151</v>
      </c>
      <c r="C39" s="192"/>
      <c r="D39" s="193"/>
      <c r="E39" s="193"/>
      <c r="F39" s="194" t="str">
        <f t="shared" si="1"/>
        <v/>
      </c>
      <c r="G39" s="195" t="str">
        <f t="shared" si="2"/>
        <v/>
      </c>
    </row>
    <row r="40" ht="15.75" customHeight="1">
      <c r="A40" s="190"/>
      <c r="B40" s="191" t="s">
        <v>198</v>
      </c>
      <c r="C40" s="192"/>
      <c r="D40" s="193"/>
      <c r="E40" s="193"/>
      <c r="F40" s="194" t="str">
        <f t="shared" si="1"/>
        <v/>
      </c>
      <c r="G40" s="195" t="str">
        <f t="shared" si="2"/>
        <v/>
      </c>
    </row>
    <row r="41" ht="15.75" customHeight="1">
      <c r="A41" s="190" t="s">
        <v>199</v>
      </c>
      <c r="B41" s="191" t="s">
        <v>101</v>
      </c>
      <c r="C41" s="192"/>
      <c r="D41" s="193"/>
      <c r="E41" s="193"/>
      <c r="F41" s="194" t="str">
        <f t="shared" si="1"/>
        <v/>
      </c>
      <c r="G41" s="195" t="str">
        <f t="shared" si="2"/>
        <v/>
      </c>
    </row>
    <row r="42" ht="15.75" customHeight="1">
      <c r="A42" s="190" t="s">
        <v>200</v>
      </c>
      <c r="B42" s="191" t="s">
        <v>66</v>
      </c>
      <c r="C42" s="192"/>
      <c r="D42" s="193"/>
      <c r="E42" s="193"/>
      <c r="F42" s="194" t="str">
        <f t="shared" si="1"/>
        <v/>
      </c>
      <c r="G42" s="195" t="str">
        <f t="shared" si="2"/>
        <v/>
      </c>
    </row>
    <row r="43" ht="15.75" customHeight="1">
      <c r="A43" s="190"/>
      <c r="B43" s="199" t="s">
        <v>201</v>
      </c>
      <c r="C43" s="192"/>
      <c r="D43" s="193"/>
      <c r="E43" s="193"/>
      <c r="F43" s="194" t="str">
        <f t="shared" si="1"/>
        <v/>
      </c>
      <c r="G43" s="195" t="str">
        <f t="shared" si="2"/>
        <v/>
      </c>
    </row>
    <row r="44" ht="15.75" customHeight="1">
      <c r="A44" s="190" t="s">
        <v>119</v>
      </c>
      <c r="B44" s="191" t="s">
        <v>202</v>
      </c>
      <c r="C44" s="192"/>
      <c r="D44" s="193"/>
      <c r="E44" s="193"/>
      <c r="F44" s="194" t="str">
        <f t="shared" si="1"/>
        <v/>
      </c>
      <c r="G44" s="195" t="str">
        <f t="shared" si="2"/>
        <v/>
      </c>
    </row>
    <row r="45" ht="15.75" customHeight="1">
      <c r="A45" s="190" t="s">
        <v>203</v>
      </c>
      <c r="B45" s="191" t="s">
        <v>115</v>
      </c>
      <c r="C45" s="192"/>
      <c r="D45" s="193"/>
      <c r="E45" s="193"/>
      <c r="F45" s="194" t="str">
        <f t="shared" si="1"/>
        <v/>
      </c>
      <c r="G45" s="195" t="str">
        <f t="shared" si="2"/>
        <v/>
      </c>
    </row>
    <row r="46" ht="15.75" customHeight="1">
      <c r="A46" s="190" t="s">
        <v>65</v>
      </c>
      <c r="B46" s="191" t="s">
        <v>66</v>
      </c>
      <c r="C46" s="200" t="s">
        <v>64</v>
      </c>
      <c r="D46" s="201">
        <v>4.0</v>
      </c>
      <c r="E46" s="201">
        <v>0.0</v>
      </c>
      <c r="F46" s="194">
        <f t="shared" si="1"/>
        <v>4</v>
      </c>
      <c r="G46" s="195">
        <f t="shared" si="2"/>
        <v>1</v>
      </c>
    </row>
    <row r="47" ht="15.75" customHeight="1">
      <c r="A47" s="190"/>
      <c r="B47" s="191"/>
      <c r="C47" s="192"/>
      <c r="D47" s="193"/>
      <c r="E47" s="193"/>
      <c r="F47" s="194" t="str">
        <f t="shared" si="1"/>
        <v/>
      </c>
      <c r="G47" s="195" t="str">
        <f t="shared" si="2"/>
        <v/>
      </c>
    </row>
    <row r="48" ht="15.75" customHeight="1">
      <c r="A48" s="190"/>
      <c r="B48" s="191" t="s">
        <v>73</v>
      </c>
      <c r="C48" s="192"/>
      <c r="D48" s="193"/>
      <c r="E48" s="193"/>
      <c r="F48" s="194" t="str">
        <f t="shared" si="1"/>
        <v/>
      </c>
      <c r="G48" s="195" t="str">
        <f t="shared" si="2"/>
        <v/>
      </c>
    </row>
    <row r="49" ht="15.75" customHeight="1">
      <c r="A49" s="190" t="s">
        <v>98</v>
      </c>
      <c r="B49" s="191" t="s">
        <v>204</v>
      </c>
      <c r="C49" s="192"/>
      <c r="D49" s="193"/>
      <c r="E49" s="193"/>
      <c r="F49" s="194" t="str">
        <f t="shared" si="1"/>
        <v/>
      </c>
      <c r="G49" s="195" t="str">
        <f t="shared" si="2"/>
        <v/>
      </c>
    </row>
    <row r="50" ht="15.75" customHeight="1">
      <c r="A50" s="190"/>
      <c r="B50" s="191" t="s">
        <v>205</v>
      </c>
      <c r="C50" s="192"/>
      <c r="D50" s="193"/>
      <c r="E50" s="193"/>
      <c r="F50" s="194" t="str">
        <f t="shared" si="1"/>
        <v/>
      </c>
      <c r="G50" s="195" t="str">
        <f t="shared" si="2"/>
        <v/>
      </c>
    </row>
    <row r="51" ht="15.75" customHeight="1">
      <c r="A51" s="190"/>
      <c r="B51" s="191"/>
      <c r="C51" s="192"/>
      <c r="D51" s="193"/>
      <c r="E51" s="193"/>
      <c r="F51" s="194" t="str">
        <f t="shared" si="1"/>
        <v/>
      </c>
      <c r="G51" s="195" t="str">
        <f t="shared" si="2"/>
        <v/>
      </c>
    </row>
    <row r="52" ht="15.75" customHeight="1">
      <c r="A52" s="190"/>
      <c r="B52" s="191" t="s">
        <v>115</v>
      </c>
      <c r="C52" s="192"/>
      <c r="D52" s="193"/>
      <c r="E52" s="193"/>
      <c r="F52" s="194" t="str">
        <f t="shared" si="1"/>
        <v/>
      </c>
      <c r="G52" s="195" t="str">
        <f t="shared" si="2"/>
        <v/>
      </c>
    </row>
    <row r="53" ht="15.75" customHeight="1">
      <c r="A53" s="190"/>
      <c r="B53" s="191"/>
      <c r="C53" s="192"/>
      <c r="D53" s="193"/>
      <c r="E53" s="193"/>
      <c r="F53" s="194" t="str">
        <f t="shared" si="1"/>
        <v/>
      </c>
      <c r="G53" s="195" t="str">
        <f t="shared" si="2"/>
        <v/>
      </c>
    </row>
    <row r="54" ht="15.75" customHeight="1">
      <c r="A54" s="190"/>
      <c r="B54" s="191" t="s">
        <v>206</v>
      </c>
      <c r="C54" s="192"/>
      <c r="D54" s="193"/>
      <c r="E54" s="193"/>
      <c r="F54" s="194" t="str">
        <f t="shared" si="1"/>
        <v/>
      </c>
      <c r="G54" s="195" t="str">
        <f t="shared" si="2"/>
        <v/>
      </c>
    </row>
    <row r="55" ht="15.75" customHeight="1">
      <c r="A55" s="190"/>
      <c r="B55" s="191" t="s">
        <v>79</v>
      </c>
      <c r="C55" s="192"/>
      <c r="D55" s="193"/>
      <c r="E55" s="193"/>
      <c r="F55" s="194" t="str">
        <f t="shared" si="1"/>
        <v/>
      </c>
      <c r="G55" s="195" t="str">
        <f t="shared" si="2"/>
        <v/>
      </c>
    </row>
    <row r="56" ht="15.75" customHeight="1">
      <c r="A56" s="190"/>
      <c r="B56" s="191" t="s">
        <v>66</v>
      </c>
      <c r="C56" s="192"/>
      <c r="D56" s="193"/>
      <c r="E56" s="193"/>
      <c r="F56" s="194" t="str">
        <f t="shared" si="1"/>
        <v/>
      </c>
      <c r="G56" s="195" t="str">
        <f t="shared" si="2"/>
        <v/>
      </c>
    </row>
    <row r="57" ht="15.75" customHeight="1">
      <c r="A57" s="196"/>
      <c r="B57" s="197" t="s">
        <v>207</v>
      </c>
      <c r="C57" s="197"/>
      <c r="D57" s="198"/>
      <c r="E57" s="198"/>
      <c r="F57" s="194" t="str">
        <f t="shared" si="1"/>
        <v/>
      </c>
      <c r="G57" s="195" t="str">
        <f t="shared" si="2"/>
        <v/>
      </c>
    </row>
    <row r="58" ht="15.75" customHeight="1">
      <c r="A58" s="190"/>
      <c r="B58" s="191" t="s">
        <v>208</v>
      </c>
      <c r="C58" s="192"/>
      <c r="D58" s="193"/>
      <c r="E58" s="193"/>
      <c r="F58" s="194" t="str">
        <f t="shared" si="1"/>
        <v/>
      </c>
      <c r="G58" s="195" t="str">
        <f t="shared" si="2"/>
        <v/>
      </c>
    </row>
    <row r="59" ht="15.75" customHeight="1">
      <c r="A59" s="190"/>
      <c r="B59" s="191" t="s">
        <v>209</v>
      </c>
      <c r="C59" s="192"/>
      <c r="D59" s="193"/>
      <c r="E59" s="193"/>
      <c r="F59" s="194" t="str">
        <f t="shared" si="1"/>
        <v/>
      </c>
      <c r="G59" s="195" t="str">
        <f t="shared" si="2"/>
        <v/>
      </c>
    </row>
    <row r="60" ht="15.75" customHeight="1">
      <c r="A60" s="190"/>
      <c r="B60" s="191" t="s">
        <v>73</v>
      </c>
      <c r="C60" s="192"/>
      <c r="D60" s="193"/>
      <c r="E60" s="193"/>
      <c r="F60" s="194" t="str">
        <f t="shared" si="1"/>
        <v/>
      </c>
      <c r="G60" s="195" t="str">
        <f t="shared" si="2"/>
        <v/>
      </c>
    </row>
    <row r="61" ht="15.75" customHeight="1">
      <c r="A61" s="190"/>
      <c r="B61" s="191" t="s">
        <v>210</v>
      </c>
      <c r="C61" s="192"/>
      <c r="D61" s="193"/>
      <c r="E61" s="193"/>
      <c r="F61" s="194" t="str">
        <f t="shared" si="1"/>
        <v/>
      </c>
      <c r="G61" s="195" t="str">
        <f t="shared" si="2"/>
        <v/>
      </c>
    </row>
    <row r="62" ht="15.75" customHeight="1">
      <c r="A62" s="190"/>
      <c r="B62" s="191" t="s">
        <v>211</v>
      </c>
      <c r="C62" s="192"/>
      <c r="D62" s="193"/>
      <c r="E62" s="193"/>
      <c r="F62" s="194" t="str">
        <f t="shared" si="1"/>
        <v/>
      </c>
      <c r="G62" s="195" t="str">
        <f t="shared" si="2"/>
        <v/>
      </c>
    </row>
    <row r="63" ht="15.75" customHeight="1">
      <c r="A63" s="190"/>
      <c r="B63" s="191" t="s">
        <v>212</v>
      </c>
      <c r="C63" s="192"/>
      <c r="D63" s="193"/>
      <c r="E63" s="193"/>
      <c r="F63" s="194" t="str">
        <f t="shared" si="1"/>
        <v/>
      </c>
      <c r="G63" s="195" t="str">
        <f t="shared" si="2"/>
        <v/>
      </c>
    </row>
    <row r="64" ht="15.75" customHeight="1">
      <c r="A64" s="190"/>
      <c r="B64" s="191" t="s">
        <v>213</v>
      </c>
      <c r="C64" s="192"/>
      <c r="D64" s="193"/>
      <c r="E64" s="193"/>
      <c r="F64" s="194" t="str">
        <f t="shared" si="1"/>
        <v/>
      </c>
      <c r="G64" s="195" t="str">
        <f t="shared" si="2"/>
        <v/>
      </c>
    </row>
    <row r="65" ht="15.75" customHeight="1">
      <c r="A65" s="190" t="s">
        <v>140</v>
      </c>
      <c r="B65" s="191"/>
      <c r="C65" s="192"/>
      <c r="D65" s="193"/>
      <c r="E65" s="193"/>
      <c r="F65" s="194" t="str">
        <f t="shared" si="1"/>
        <v/>
      </c>
      <c r="G65" s="195" t="str">
        <f t="shared" si="2"/>
        <v/>
      </c>
    </row>
    <row r="66" ht="15.75" customHeight="1">
      <c r="A66" s="190"/>
      <c r="B66" s="191" t="s">
        <v>115</v>
      </c>
      <c r="C66" s="192"/>
      <c r="D66" s="193"/>
      <c r="E66" s="193"/>
      <c r="F66" s="194" t="str">
        <f t="shared" si="1"/>
        <v/>
      </c>
      <c r="G66" s="195" t="str">
        <f t="shared" si="2"/>
        <v/>
      </c>
    </row>
    <row r="67" ht="15.75" customHeight="1">
      <c r="A67" s="190"/>
      <c r="B67" s="191" t="s">
        <v>73</v>
      </c>
      <c r="C67" s="192"/>
      <c r="D67" s="193"/>
      <c r="E67" s="193"/>
      <c r="F67" s="194" t="str">
        <f t="shared" si="1"/>
        <v/>
      </c>
      <c r="G67" s="195" t="str">
        <f t="shared" si="2"/>
        <v/>
      </c>
    </row>
    <row r="68" ht="15.75" customHeight="1">
      <c r="A68" s="190"/>
      <c r="B68" s="199" t="s">
        <v>214</v>
      </c>
      <c r="C68" s="192"/>
      <c r="D68" s="193"/>
      <c r="E68" s="193"/>
      <c r="F68" s="194" t="str">
        <f t="shared" si="1"/>
        <v/>
      </c>
      <c r="G68" s="195" t="str">
        <f t="shared" si="2"/>
        <v/>
      </c>
    </row>
    <row r="69" ht="15.75" customHeight="1">
      <c r="A69" s="190"/>
      <c r="B69" s="191" t="s">
        <v>141</v>
      </c>
      <c r="C69" s="192"/>
      <c r="D69" s="193"/>
      <c r="E69" s="193"/>
      <c r="F69" s="194" t="str">
        <f t="shared" si="1"/>
        <v/>
      </c>
      <c r="G69" s="195" t="str">
        <f t="shared" si="2"/>
        <v/>
      </c>
    </row>
    <row r="70" ht="15.75" customHeight="1">
      <c r="A70" s="190" t="s">
        <v>148</v>
      </c>
      <c r="B70" s="191" t="s">
        <v>115</v>
      </c>
      <c r="C70" s="192"/>
      <c r="D70" s="193"/>
      <c r="E70" s="193"/>
      <c r="F70" s="194" t="str">
        <f t="shared" si="1"/>
        <v/>
      </c>
      <c r="G70" s="195" t="str">
        <f t="shared" si="2"/>
        <v/>
      </c>
    </row>
    <row r="71" ht="15.75" customHeight="1">
      <c r="A71" s="190"/>
      <c r="B71" s="191" t="s">
        <v>215</v>
      </c>
      <c r="C71" s="192"/>
      <c r="D71" s="193"/>
      <c r="E71" s="193"/>
      <c r="F71" s="194" t="str">
        <f t="shared" si="1"/>
        <v/>
      </c>
      <c r="G71" s="195" t="str">
        <f t="shared" si="2"/>
        <v/>
      </c>
    </row>
    <row r="72" ht="15.75" customHeight="1">
      <c r="A72" s="190"/>
      <c r="B72" s="191"/>
      <c r="C72" s="192"/>
      <c r="D72" s="193"/>
      <c r="E72" s="193"/>
      <c r="F72" s="194" t="str">
        <f t="shared" si="1"/>
        <v/>
      </c>
      <c r="G72" s="195" t="str">
        <f t="shared" si="2"/>
        <v/>
      </c>
    </row>
    <row r="73" ht="15.75" customHeight="1">
      <c r="A73" s="190"/>
      <c r="B73" s="191"/>
      <c r="C73" s="192"/>
      <c r="D73" s="193"/>
      <c r="E73" s="193"/>
      <c r="F73" s="194" t="str">
        <f t="shared" si="1"/>
        <v/>
      </c>
      <c r="G73" s="195" t="str">
        <f t="shared" si="2"/>
        <v/>
      </c>
    </row>
    <row r="74" ht="15.75" customHeight="1">
      <c r="A74" s="190"/>
      <c r="B74" s="191" t="s">
        <v>149</v>
      </c>
      <c r="C74" s="192"/>
      <c r="D74" s="193"/>
      <c r="E74" s="193"/>
      <c r="F74" s="194" t="str">
        <f t="shared" si="1"/>
        <v/>
      </c>
      <c r="G74" s="195" t="str">
        <f t="shared" si="2"/>
        <v/>
      </c>
    </row>
    <row r="75" ht="15.75" customHeight="1">
      <c r="A75" s="190"/>
      <c r="B75" s="191"/>
      <c r="C75" s="192"/>
      <c r="D75" s="193"/>
      <c r="E75" s="193"/>
      <c r="F75" s="194" t="str">
        <f t="shared" si="1"/>
        <v/>
      </c>
      <c r="G75" s="195" t="str">
        <f t="shared" si="2"/>
        <v/>
      </c>
    </row>
    <row r="76" ht="15.75" customHeight="1">
      <c r="A76" s="190"/>
      <c r="B76" s="191" t="s">
        <v>216</v>
      </c>
      <c r="C76" s="192"/>
      <c r="D76" s="193"/>
      <c r="E76" s="193"/>
      <c r="F76" s="194" t="str">
        <f t="shared" si="1"/>
        <v/>
      </c>
      <c r="G76" s="195" t="str">
        <f t="shared" si="2"/>
        <v/>
      </c>
    </row>
    <row r="77" ht="15.75" customHeight="1">
      <c r="A77" s="190"/>
      <c r="B77" s="191" t="s">
        <v>217</v>
      </c>
      <c r="C77" s="192"/>
      <c r="D77" s="193"/>
      <c r="E77" s="193"/>
      <c r="F77" s="194" t="str">
        <f t="shared" si="1"/>
        <v/>
      </c>
      <c r="G77" s="195" t="str">
        <f t="shared" si="2"/>
        <v/>
      </c>
    </row>
    <row r="78" ht="15.75" customHeight="1">
      <c r="A78" s="190"/>
      <c r="B78" s="191" t="s">
        <v>218</v>
      </c>
      <c r="C78" s="192"/>
      <c r="D78" s="193"/>
      <c r="E78" s="193"/>
      <c r="F78" s="194" t="str">
        <f t="shared" si="1"/>
        <v/>
      </c>
      <c r="G78" s="195" t="str">
        <f t="shared" si="2"/>
        <v/>
      </c>
    </row>
    <row r="79" ht="15.75" customHeight="1">
      <c r="A79" s="190"/>
      <c r="B79" s="191"/>
      <c r="C79" s="192"/>
      <c r="D79" s="193"/>
      <c r="E79" s="193"/>
      <c r="F79" s="194" t="str">
        <f t="shared" si="1"/>
        <v/>
      </c>
      <c r="G79" s="195" t="str">
        <f t="shared" si="2"/>
        <v/>
      </c>
    </row>
    <row r="80" ht="15.75" customHeight="1">
      <c r="A80" s="190"/>
      <c r="B80" s="191"/>
      <c r="C80" s="192"/>
      <c r="D80" s="193"/>
      <c r="E80" s="193"/>
      <c r="F80" s="194" t="str">
        <f t="shared" si="1"/>
        <v/>
      </c>
      <c r="G80" s="195" t="str">
        <f t="shared" si="2"/>
        <v/>
      </c>
    </row>
    <row r="81" ht="15.75" customHeight="1">
      <c r="A81" s="190"/>
      <c r="B81" s="191"/>
      <c r="C81" s="192"/>
      <c r="D81" s="193"/>
      <c r="E81" s="193"/>
      <c r="F81" s="194" t="str">
        <f t="shared" si="1"/>
        <v/>
      </c>
      <c r="G81" s="195" t="str">
        <f t="shared" si="2"/>
        <v/>
      </c>
    </row>
    <row r="82" ht="15.75" customHeight="1">
      <c r="A82" s="190"/>
      <c r="B82" s="191"/>
      <c r="C82" s="192"/>
      <c r="D82" s="193"/>
      <c r="E82" s="193"/>
      <c r="F82" s="194" t="str">
        <f t="shared" si="1"/>
        <v/>
      </c>
      <c r="G82" s="195" t="str">
        <f t="shared" si="2"/>
        <v/>
      </c>
    </row>
    <row r="83" ht="15.75" customHeight="1">
      <c r="A83" s="190"/>
      <c r="B83" s="191"/>
      <c r="C83" s="192"/>
      <c r="D83" s="193"/>
      <c r="E83" s="193"/>
      <c r="F83" s="194" t="str">
        <f t="shared" si="1"/>
        <v/>
      </c>
      <c r="G83" s="195" t="str">
        <f t="shared" si="2"/>
        <v/>
      </c>
    </row>
    <row r="84" ht="15.75" customHeight="1">
      <c r="A84" s="190"/>
      <c r="B84" s="191"/>
      <c r="C84" s="192"/>
      <c r="D84" s="193"/>
      <c r="E84" s="193"/>
      <c r="F84" s="194" t="str">
        <f t="shared" si="1"/>
        <v/>
      </c>
      <c r="G84" s="195" t="str">
        <f t="shared" si="2"/>
        <v/>
      </c>
    </row>
    <row r="85" ht="15.75" customHeight="1">
      <c r="A85" s="190"/>
      <c r="B85" s="191"/>
      <c r="C85" s="192"/>
      <c r="D85" s="193"/>
      <c r="E85" s="193"/>
      <c r="F85" s="194" t="str">
        <f t="shared" si="1"/>
        <v/>
      </c>
      <c r="G85" s="195" t="str">
        <f t="shared" si="2"/>
        <v/>
      </c>
    </row>
    <row r="86" ht="15.75" customHeight="1">
      <c r="A86" s="190"/>
      <c r="B86" s="191" t="s">
        <v>219</v>
      </c>
      <c r="C86" s="192"/>
      <c r="D86" s="193"/>
      <c r="E86" s="193"/>
      <c r="F86" s="194" t="str">
        <f t="shared" si="1"/>
        <v/>
      </c>
      <c r="G86" s="195" t="str">
        <f t="shared" si="2"/>
        <v/>
      </c>
    </row>
    <row r="87" ht="15.75" customHeight="1">
      <c r="A87" s="190"/>
      <c r="B87" s="191" t="s">
        <v>220</v>
      </c>
      <c r="C87" s="192"/>
      <c r="D87" s="193"/>
      <c r="E87" s="193"/>
      <c r="F87" s="194" t="str">
        <f t="shared" si="1"/>
        <v/>
      </c>
      <c r="G87" s="195" t="str">
        <f t="shared" si="2"/>
        <v/>
      </c>
    </row>
    <row r="88" ht="15.75" customHeight="1">
      <c r="A88" s="190"/>
      <c r="B88" s="191" t="s">
        <v>221</v>
      </c>
      <c r="C88" s="192"/>
      <c r="D88" s="193"/>
      <c r="E88" s="193"/>
      <c r="F88" s="194" t="str">
        <f t="shared" si="1"/>
        <v/>
      </c>
      <c r="G88" s="195" t="str">
        <f t="shared" si="2"/>
        <v/>
      </c>
    </row>
    <row r="89" ht="15.75" customHeight="1">
      <c r="A89" s="190"/>
      <c r="B89" s="191" t="s">
        <v>222</v>
      </c>
      <c r="C89" s="192"/>
      <c r="D89" s="193"/>
      <c r="E89" s="193"/>
      <c r="F89" s="194" t="str">
        <f t="shared" si="1"/>
        <v/>
      </c>
      <c r="G89" s="195" t="str">
        <f t="shared" si="2"/>
        <v/>
      </c>
    </row>
    <row r="90" ht="15.75" customHeight="1">
      <c r="A90" s="190"/>
      <c r="B90" s="191" t="s">
        <v>223</v>
      </c>
      <c r="C90" s="192"/>
      <c r="D90" s="193"/>
      <c r="E90" s="193"/>
      <c r="F90" s="194" t="str">
        <f t="shared" si="1"/>
        <v/>
      </c>
      <c r="G90" s="195" t="str">
        <f t="shared" si="2"/>
        <v/>
      </c>
    </row>
    <row r="91" ht="15.75" customHeight="1">
      <c r="A91" s="190"/>
      <c r="B91" s="191" t="s">
        <v>123</v>
      </c>
      <c r="C91" s="192"/>
      <c r="D91" s="193"/>
      <c r="E91" s="193"/>
      <c r="F91" s="194" t="str">
        <f t="shared" si="1"/>
        <v/>
      </c>
      <c r="G91" s="195" t="str">
        <f t="shared" si="2"/>
        <v/>
      </c>
    </row>
    <row r="92" ht="15.75" customHeight="1">
      <c r="A92" s="190"/>
      <c r="B92" s="191" t="s">
        <v>224</v>
      </c>
      <c r="C92" s="192"/>
      <c r="D92" s="193"/>
      <c r="E92" s="193"/>
      <c r="F92" s="194" t="str">
        <f t="shared" si="1"/>
        <v/>
      </c>
      <c r="G92" s="195" t="str">
        <f t="shared" si="2"/>
        <v/>
      </c>
    </row>
    <row r="93" ht="15.75" customHeight="1">
      <c r="A93" s="190"/>
      <c r="B93" s="191"/>
      <c r="C93" s="192"/>
      <c r="D93" s="193"/>
      <c r="E93" s="193"/>
      <c r="F93" s="194" t="str">
        <f t="shared" si="1"/>
        <v/>
      </c>
      <c r="G93" s="195" t="str">
        <f t="shared" si="2"/>
        <v/>
      </c>
    </row>
    <row r="94" ht="15.75" customHeight="1">
      <c r="A94" s="190"/>
      <c r="B94" s="191"/>
      <c r="C94" s="192"/>
      <c r="D94" s="193"/>
      <c r="E94" s="193"/>
      <c r="F94" s="194" t="str">
        <f t="shared" si="1"/>
        <v/>
      </c>
      <c r="G94" s="195" t="str">
        <f t="shared" si="2"/>
        <v/>
      </c>
    </row>
    <row r="95" ht="15.75" customHeight="1">
      <c r="A95" s="190" t="s">
        <v>124</v>
      </c>
      <c r="B95" s="191" t="s">
        <v>125</v>
      </c>
      <c r="C95" s="192"/>
      <c r="D95" s="193"/>
      <c r="E95" s="193"/>
      <c r="F95" s="194" t="str">
        <f t="shared" si="1"/>
        <v/>
      </c>
      <c r="G95" s="195" t="str">
        <f t="shared" si="2"/>
        <v/>
      </c>
    </row>
    <row r="96" ht="15.75" customHeight="1">
      <c r="A96" s="190"/>
      <c r="B96" s="191"/>
      <c r="C96" s="192"/>
      <c r="D96" s="193"/>
      <c r="E96" s="193"/>
      <c r="F96" s="194" t="str">
        <f t="shared" si="1"/>
        <v/>
      </c>
      <c r="G96" s="195" t="str">
        <f t="shared" si="2"/>
        <v/>
      </c>
    </row>
    <row r="97" ht="15.75" customHeight="1">
      <c r="A97" s="190" t="s">
        <v>139</v>
      </c>
      <c r="B97" s="191" t="s">
        <v>73</v>
      </c>
      <c r="C97" s="192"/>
      <c r="D97" s="193"/>
      <c r="E97" s="193"/>
      <c r="F97" s="194" t="str">
        <f t="shared" si="1"/>
        <v/>
      </c>
      <c r="G97" s="195" t="str">
        <f t="shared" si="2"/>
        <v/>
      </c>
    </row>
    <row r="98" ht="15.75" customHeight="1">
      <c r="A98" s="190"/>
      <c r="B98" s="199" t="s">
        <v>131</v>
      </c>
      <c r="C98" s="192"/>
      <c r="D98" s="193"/>
      <c r="E98" s="193"/>
      <c r="F98" s="194" t="str">
        <f t="shared" si="1"/>
        <v/>
      </c>
      <c r="G98" s="195" t="str">
        <f t="shared" si="2"/>
        <v/>
      </c>
    </row>
    <row r="99" ht="15.75" customHeight="1">
      <c r="A99" s="190"/>
      <c r="B99" s="191"/>
      <c r="C99" s="192"/>
      <c r="D99" s="193"/>
      <c r="E99" s="193"/>
      <c r="F99" s="194" t="str">
        <f t="shared" si="1"/>
        <v/>
      </c>
      <c r="G99" s="195" t="str">
        <f t="shared" si="2"/>
        <v/>
      </c>
    </row>
    <row r="100" ht="15.75" customHeight="1">
      <c r="A100" s="190"/>
      <c r="B100" s="191"/>
      <c r="C100" s="192"/>
      <c r="D100" s="193"/>
      <c r="E100" s="193"/>
      <c r="F100" s="194" t="str">
        <f t="shared" si="1"/>
        <v/>
      </c>
      <c r="G100" s="195" t="str">
        <f t="shared" si="2"/>
        <v/>
      </c>
    </row>
    <row r="101" ht="15.75" customHeight="1">
      <c r="A101" s="190"/>
      <c r="B101" s="191"/>
      <c r="C101" s="192"/>
      <c r="D101" s="193"/>
      <c r="E101" s="193"/>
      <c r="F101" s="194" t="str">
        <f t="shared" si="1"/>
        <v/>
      </c>
      <c r="G101" s="195" t="str">
        <f t="shared" si="2"/>
        <v/>
      </c>
    </row>
    <row r="102" ht="15.75" customHeight="1">
      <c r="A102" s="190"/>
      <c r="B102" s="191"/>
      <c r="C102" s="192"/>
      <c r="D102" s="193"/>
      <c r="E102" s="193"/>
      <c r="F102" s="194" t="str">
        <f t="shared" si="1"/>
        <v/>
      </c>
      <c r="G102" s="195" t="str">
        <f t="shared" si="2"/>
        <v/>
      </c>
    </row>
    <row r="103" ht="15.75" customHeight="1">
      <c r="A103" s="190" t="s">
        <v>121</v>
      </c>
      <c r="B103" s="191" t="s">
        <v>73</v>
      </c>
      <c r="C103" s="192"/>
      <c r="D103" s="193"/>
      <c r="E103" s="193"/>
      <c r="F103" s="194" t="str">
        <f t="shared" si="1"/>
        <v/>
      </c>
      <c r="G103" s="195" t="str">
        <f t="shared" si="2"/>
        <v/>
      </c>
    </row>
    <row r="104" ht="15.75" customHeight="1">
      <c r="A104" s="190"/>
      <c r="B104" s="191"/>
      <c r="C104" s="192"/>
      <c r="D104" s="193"/>
      <c r="E104" s="193"/>
      <c r="F104" s="194" t="str">
        <f t="shared" si="1"/>
        <v/>
      </c>
      <c r="G104" s="195" t="str">
        <f t="shared" si="2"/>
        <v/>
      </c>
    </row>
    <row r="105" ht="15.75" customHeight="1">
      <c r="A105" s="190"/>
      <c r="B105" s="191" t="s">
        <v>225</v>
      </c>
      <c r="C105" s="192"/>
      <c r="D105" s="193"/>
      <c r="E105" s="193"/>
      <c r="F105" s="194" t="str">
        <f t="shared" si="1"/>
        <v/>
      </c>
      <c r="G105" s="195" t="str">
        <f t="shared" si="2"/>
        <v/>
      </c>
    </row>
    <row r="106" ht="15.75" customHeight="1">
      <c r="A106" s="190" t="s">
        <v>226</v>
      </c>
      <c r="B106" s="191" t="s">
        <v>227</v>
      </c>
      <c r="C106" s="192"/>
      <c r="D106" s="193"/>
      <c r="E106" s="193"/>
      <c r="F106" s="194" t="str">
        <f t="shared" si="1"/>
        <v/>
      </c>
      <c r="G106" s="195" t="str">
        <f t="shared" si="2"/>
        <v/>
      </c>
    </row>
    <row r="107" ht="15.75" customHeight="1">
      <c r="A107" s="190" t="s">
        <v>100</v>
      </c>
      <c r="B107" s="191" t="s">
        <v>115</v>
      </c>
      <c r="C107" s="192"/>
      <c r="D107" s="193"/>
      <c r="E107" s="193"/>
      <c r="F107" s="194" t="str">
        <f t="shared" si="1"/>
        <v/>
      </c>
      <c r="G107" s="195" t="str">
        <f t="shared" si="2"/>
        <v/>
      </c>
    </row>
    <row r="108" ht="15.75" customHeight="1">
      <c r="A108" s="190"/>
      <c r="B108" s="191" t="s">
        <v>101</v>
      </c>
      <c r="C108" s="192"/>
      <c r="D108" s="193"/>
      <c r="E108" s="193"/>
      <c r="F108" s="194" t="str">
        <f t="shared" si="1"/>
        <v/>
      </c>
      <c r="G108" s="195" t="str">
        <f t="shared" si="2"/>
        <v/>
      </c>
    </row>
    <row r="109" ht="15.75" customHeight="1">
      <c r="A109" s="190" t="s">
        <v>228</v>
      </c>
      <c r="B109" s="191" t="s">
        <v>96</v>
      </c>
      <c r="C109" s="192"/>
      <c r="D109" s="193"/>
      <c r="E109" s="193"/>
      <c r="F109" s="194" t="str">
        <f t="shared" si="1"/>
        <v/>
      </c>
      <c r="G109" s="195" t="str">
        <f t="shared" si="2"/>
        <v/>
      </c>
    </row>
    <row r="110" ht="15.75" customHeight="1">
      <c r="A110" s="190"/>
      <c r="B110" s="191"/>
      <c r="C110" s="192"/>
      <c r="D110" s="193"/>
      <c r="E110" s="193"/>
      <c r="F110" s="194" t="str">
        <f t="shared" si="1"/>
        <v/>
      </c>
      <c r="G110" s="195" t="str">
        <f t="shared" si="2"/>
        <v/>
      </c>
    </row>
    <row r="111" ht="15.75" customHeight="1">
      <c r="A111" s="190" t="s">
        <v>68</v>
      </c>
      <c r="B111" s="191" t="s">
        <v>79</v>
      </c>
      <c r="C111" s="192"/>
      <c r="D111" s="193"/>
      <c r="E111" s="193"/>
      <c r="F111" s="194" t="str">
        <f t="shared" si="1"/>
        <v/>
      </c>
      <c r="G111" s="195" t="str">
        <f t="shared" si="2"/>
        <v/>
      </c>
    </row>
    <row r="112" ht="15.75" customHeight="1">
      <c r="A112" s="190"/>
      <c r="B112" s="191"/>
      <c r="C112" s="192"/>
      <c r="D112" s="193"/>
      <c r="E112" s="193"/>
      <c r="F112" s="194" t="str">
        <f t="shared" si="1"/>
        <v/>
      </c>
      <c r="G112" s="195" t="str">
        <f t="shared" si="2"/>
        <v/>
      </c>
    </row>
    <row r="113" ht="15.75" customHeight="1">
      <c r="A113" s="190"/>
      <c r="B113" s="191"/>
      <c r="C113" s="192"/>
      <c r="D113" s="193"/>
      <c r="E113" s="193"/>
      <c r="F113" s="194" t="str">
        <f t="shared" si="1"/>
        <v/>
      </c>
      <c r="G113" s="195" t="str">
        <f t="shared" si="2"/>
        <v/>
      </c>
    </row>
    <row r="114" ht="15.75" customHeight="1">
      <c r="A114" s="190"/>
      <c r="B114" s="191" t="s">
        <v>66</v>
      </c>
      <c r="C114" s="192"/>
      <c r="D114" s="193"/>
      <c r="E114" s="193"/>
      <c r="F114" s="194" t="str">
        <f t="shared" si="1"/>
        <v/>
      </c>
      <c r="G114" s="195" t="str">
        <f t="shared" si="2"/>
        <v/>
      </c>
    </row>
    <row r="115" ht="15.75" customHeight="1">
      <c r="A115" s="190"/>
      <c r="B115" s="191" t="s">
        <v>151</v>
      </c>
      <c r="C115" s="192"/>
      <c r="D115" s="193"/>
      <c r="E115" s="193"/>
      <c r="F115" s="194" t="str">
        <f t="shared" si="1"/>
        <v/>
      </c>
      <c r="G115" s="195" t="str">
        <f t="shared" si="2"/>
        <v/>
      </c>
    </row>
    <row r="116" ht="15.75" customHeight="1">
      <c r="A116" s="190"/>
      <c r="B116" s="191"/>
      <c r="C116" s="192"/>
      <c r="D116" s="193"/>
      <c r="E116" s="193"/>
      <c r="F116" s="194" t="str">
        <f t="shared" si="1"/>
        <v/>
      </c>
      <c r="G116" s="195" t="str">
        <f t="shared" si="2"/>
        <v/>
      </c>
    </row>
    <row r="117" ht="15.75" customHeight="1">
      <c r="A117" s="190" t="s">
        <v>229</v>
      </c>
      <c r="B117" s="191" t="s">
        <v>230</v>
      </c>
      <c r="C117" s="192"/>
      <c r="D117" s="193"/>
      <c r="E117" s="193"/>
      <c r="F117" s="194" t="str">
        <f t="shared" si="1"/>
        <v/>
      </c>
      <c r="G117" s="195" t="str">
        <f t="shared" si="2"/>
        <v/>
      </c>
    </row>
    <row r="118" ht="15.75" customHeight="1">
      <c r="A118" s="190" t="s">
        <v>231</v>
      </c>
      <c r="B118" s="199" t="s">
        <v>154</v>
      </c>
      <c r="C118" s="192"/>
      <c r="D118" s="193"/>
      <c r="E118" s="193"/>
      <c r="F118" s="194" t="str">
        <f t="shared" si="1"/>
        <v/>
      </c>
      <c r="G118" s="195" t="str">
        <f t="shared" si="2"/>
        <v/>
      </c>
    </row>
    <row r="119" ht="15.75" customHeight="1">
      <c r="A119" s="190" t="s">
        <v>232</v>
      </c>
      <c r="B119" s="199" t="s">
        <v>154</v>
      </c>
      <c r="C119" s="192"/>
      <c r="D119" s="193"/>
      <c r="E119" s="193"/>
      <c r="F119" s="194" t="str">
        <f t="shared" si="1"/>
        <v/>
      </c>
      <c r="G119" s="195" t="str">
        <f t="shared" si="2"/>
        <v/>
      </c>
    </row>
    <row r="120" ht="15.75" customHeight="1">
      <c r="A120" s="190" t="s">
        <v>85</v>
      </c>
      <c r="B120" s="191" t="s">
        <v>115</v>
      </c>
      <c r="C120" s="192"/>
      <c r="D120" s="193"/>
      <c r="E120" s="193"/>
      <c r="F120" s="194" t="str">
        <f t="shared" si="1"/>
        <v/>
      </c>
      <c r="G120" s="195" t="str">
        <f t="shared" si="2"/>
        <v/>
      </c>
    </row>
    <row r="121" ht="15.75" customHeight="1">
      <c r="A121" s="190"/>
      <c r="B121" s="191"/>
      <c r="C121" s="192"/>
      <c r="D121" s="193"/>
      <c r="E121" s="193"/>
      <c r="F121" s="194" t="str">
        <f t="shared" si="1"/>
        <v/>
      </c>
      <c r="G121" s="195" t="str">
        <f t="shared" si="2"/>
        <v/>
      </c>
    </row>
    <row r="122" ht="15.75" customHeight="1">
      <c r="A122" s="190"/>
      <c r="B122" s="191"/>
      <c r="C122" s="192"/>
      <c r="D122" s="193"/>
      <c r="E122" s="193"/>
      <c r="F122" s="194" t="str">
        <f t="shared" si="1"/>
        <v/>
      </c>
      <c r="G122" s="195" t="str">
        <f t="shared" si="2"/>
        <v/>
      </c>
    </row>
    <row r="123" ht="15.75" customHeight="1">
      <c r="A123" s="190"/>
      <c r="B123" s="191" t="s">
        <v>144</v>
      </c>
      <c r="C123" s="192"/>
      <c r="D123" s="193"/>
      <c r="E123" s="193"/>
      <c r="F123" s="194" t="str">
        <f t="shared" si="1"/>
        <v/>
      </c>
      <c r="G123" s="195" t="str">
        <f t="shared" si="2"/>
        <v/>
      </c>
    </row>
    <row r="124" ht="15.75" customHeight="1">
      <c r="A124" s="190"/>
      <c r="B124" s="191" t="s">
        <v>233</v>
      </c>
      <c r="C124" s="192"/>
      <c r="D124" s="193"/>
      <c r="E124" s="193"/>
      <c r="F124" s="194" t="str">
        <f t="shared" si="1"/>
        <v/>
      </c>
      <c r="G124" s="195" t="str">
        <f t="shared" si="2"/>
        <v/>
      </c>
    </row>
    <row r="125" ht="15.75" customHeight="1">
      <c r="A125" s="190" t="s">
        <v>130</v>
      </c>
      <c r="B125" s="191" t="s">
        <v>101</v>
      </c>
      <c r="C125" s="192"/>
      <c r="D125" s="193"/>
      <c r="E125" s="193"/>
      <c r="F125" s="194" t="str">
        <f t="shared" si="1"/>
        <v/>
      </c>
      <c r="G125" s="195" t="str">
        <f t="shared" si="2"/>
        <v/>
      </c>
    </row>
    <row r="126" ht="15.75" customHeight="1">
      <c r="A126" s="190"/>
      <c r="B126" s="191" t="s">
        <v>96</v>
      </c>
      <c r="C126" s="192"/>
      <c r="D126" s="193"/>
      <c r="E126" s="193"/>
      <c r="F126" s="194" t="str">
        <f t="shared" si="1"/>
        <v/>
      </c>
      <c r="G126" s="195" t="str">
        <f t="shared" si="2"/>
        <v/>
      </c>
    </row>
    <row r="127" ht="15.75" customHeight="1">
      <c r="A127" s="190"/>
      <c r="B127" s="191" t="s">
        <v>197</v>
      </c>
      <c r="C127" s="192"/>
      <c r="D127" s="193"/>
      <c r="E127" s="193"/>
      <c r="F127" s="194" t="str">
        <f t="shared" si="1"/>
        <v/>
      </c>
      <c r="G127" s="195" t="str">
        <f t="shared" si="2"/>
        <v/>
      </c>
    </row>
    <row r="128" ht="15.75" customHeight="1">
      <c r="A128" s="190" t="s">
        <v>78</v>
      </c>
      <c r="B128" s="191" t="s">
        <v>79</v>
      </c>
      <c r="C128" s="192"/>
      <c r="D128" s="193"/>
      <c r="E128" s="193"/>
      <c r="F128" s="194" t="str">
        <f t="shared" si="1"/>
        <v/>
      </c>
      <c r="G128" s="195" t="str">
        <f t="shared" si="2"/>
        <v/>
      </c>
    </row>
    <row r="129" ht="15.75" customHeight="1">
      <c r="A129" s="190"/>
      <c r="B129" s="191"/>
      <c r="C129" s="192"/>
      <c r="D129" s="193"/>
      <c r="E129" s="193"/>
      <c r="F129" s="194" t="str">
        <f t="shared" si="1"/>
        <v/>
      </c>
      <c r="G129" s="195" t="str">
        <f t="shared" si="2"/>
        <v/>
      </c>
    </row>
    <row r="130" ht="15.75" customHeight="1">
      <c r="A130" s="190"/>
      <c r="B130" s="191"/>
      <c r="C130" s="192"/>
      <c r="D130" s="193"/>
      <c r="E130" s="193"/>
      <c r="F130" s="194" t="str">
        <f t="shared" si="1"/>
        <v/>
      </c>
      <c r="G130" s="195" t="str">
        <f t="shared" si="2"/>
        <v/>
      </c>
    </row>
    <row r="131" ht="15.75" customHeight="1">
      <c r="A131" s="190" t="s">
        <v>234</v>
      </c>
      <c r="B131" s="191" t="s">
        <v>235</v>
      </c>
      <c r="C131" s="192"/>
      <c r="D131" s="193"/>
      <c r="E131" s="193"/>
      <c r="F131" s="194" t="str">
        <f t="shared" si="1"/>
        <v/>
      </c>
      <c r="G131" s="195" t="str">
        <f t="shared" si="2"/>
        <v/>
      </c>
    </row>
    <row r="132" ht="15.75" customHeight="1">
      <c r="A132" s="190" t="s">
        <v>236</v>
      </c>
      <c r="B132" s="191" t="s">
        <v>219</v>
      </c>
      <c r="C132" s="192"/>
      <c r="D132" s="193"/>
      <c r="E132" s="193"/>
      <c r="F132" s="194" t="str">
        <f t="shared" si="1"/>
        <v/>
      </c>
      <c r="G132" s="195" t="str">
        <f t="shared" si="2"/>
        <v/>
      </c>
    </row>
    <row r="133" ht="15.75" customHeight="1">
      <c r="A133" s="190"/>
      <c r="B133" s="191" t="s">
        <v>230</v>
      </c>
      <c r="C133" s="192"/>
      <c r="D133" s="193"/>
      <c r="E133" s="193"/>
      <c r="F133" s="194" t="str">
        <f t="shared" si="1"/>
        <v/>
      </c>
      <c r="G133" s="195" t="str">
        <f t="shared" si="2"/>
        <v/>
      </c>
    </row>
    <row r="134" ht="15.75" customHeight="1">
      <c r="A134" s="190"/>
      <c r="B134" s="191"/>
      <c r="C134" s="192"/>
      <c r="D134" s="193"/>
      <c r="E134" s="193"/>
      <c r="F134" s="194" t="str">
        <f t="shared" si="1"/>
        <v/>
      </c>
      <c r="G134" s="195" t="str">
        <f t="shared" si="2"/>
        <v/>
      </c>
    </row>
    <row r="135" ht="15.75" customHeight="1">
      <c r="A135" s="190"/>
      <c r="B135" s="191" t="s">
        <v>237</v>
      </c>
      <c r="C135" s="192"/>
      <c r="D135" s="193"/>
      <c r="E135" s="193"/>
      <c r="F135" s="194" t="str">
        <f t="shared" si="1"/>
        <v/>
      </c>
      <c r="G135" s="195" t="str">
        <f t="shared" si="2"/>
        <v/>
      </c>
    </row>
    <row r="136" ht="15.75" customHeight="1">
      <c r="A136" s="190"/>
      <c r="B136" s="191"/>
      <c r="C136" s="192"/>
      <c r="D136" s="193"/>
      <c r="E136" s="193"/>
      <c r="F136" s="194" t="str">
        <f t="shared" si="1"/>
        <v/>
      </c>
      <c r="G136" s="195" t="str">
        <f t="shared" si="2"/>
        <v/>
      </c>
    </row>
    <row r="137" ht="15.75" customHeight="1">
      <c r="A137" s="190"/>
      <c r="B137" s="191" t="s">
        <v>96</v>
      </c>
      <c r="C137" s="192"/>
      <c r="D137" s="193"/>
      <c r="E137" s="193"/>
      <c r="F137" s="194" t="str">
        <f t="shared" si="1"/>
        <v/>
      </c>
      <c r="G137" s="195" t="str">
        <f t="shared" si="2"/>
        <v/>
      </c>
    </row>
    <row r="138" ht="15.75" customHeight="1">
      <c r="A138" s="190"/>
      <c r="B138" s="191"/>
      <c r="C138" s="192"/>
      <c r="D138" s="193"/>
      <c r="E138" s="193"/>
      <c r="F138" s="194" t="str">
        <f t="shared" si="1"/>
        <v/>
      </c>
      <c r="G138" s="195" t="str">
        <f t="shared" si="2"/>
        <v/>
      </c>
    </row>
    <row r="139" ht="15.75" customHeight="1">
      <c r="A139" s="190"/>
      <c r="B139" s="191"/>
      <c r="C139" s="192"/>
      <c r="D139" s="193"/>
      <c r="E139" s="193"/>
      <c r="F139" s="194" t="str">
        <f t="shared" si="1"/>
        <v/>
      </c>
      <c r="G139" s="195" t="str">
        <f t="shared" si="2"/>
        <v/>
      </c>
    </row>
    <row r="140" ht="15.75" customHeight="1">
      <c r="A140" s="190"/>
      <c r="B140" s="191"/>
      <c r="C140" s="192"/>
      <c r="D140" s="193"/>
      <c r="E140" s="193"/>
      <c r="F140" s="194" t="str">
        <f t="shared" si="1"/>
        <v/>
      </c>
      <c r="G140" s="195" t="str">
        <f t="shared" si="2"/>
        <v/>
      </c>
    </row>
    <row r="141" ht="15.75" customHeight="1">
      <c r="A141" s="190"/>
      <c r="B141" s="191"/>
      <c r="C141" s="192"/>
      <c r="D141" s="193"/>
      <c r="E141" s="193"/>
      <c r="F141" s="194" t="str">
        <f t="shared" si="1"/>
        <v/>
      </c>
      <c r="G141" s="195" t="str">
        <f t="shared" si="2"/>
        <v/>
      </c>
    </row>
    <row r="142" ht="15.75" customHeight="1">
      <c r="A142" s="190"/>
      <c r="B142" s="191"/>
      <c r="C142" s="192"/>
      <c r="D142" s="193"/>
      <c r="E142" s="193"/>
      <c r="F142" s="194" t="str">
        <f t="shared" si="1"/>
        <v/>
      </c>
      <c r="G142" s="195" t="str">
        <f t="shared" si="2"/>
        <v/>
      </c>
    </row>
    <row r="143" ht="15.75" customHeight="1">
      <c r="A143" s="190"/>
      <c r="B143" s="191" t="s">
        <v>238</v>
      </c>
      <c r="C143" s="192"/>
      <c r="D143" s="193"/>
      <c r="E143" s="193"/>
      <c r="F143" s="194" t="str">
        <f t="shared" si="1"/>
        <v/>
      </c>
      <c r="G143" s="195" t="str">
        <f t="shared" si="2"/>
        <v/>
      </c>
    </row>
    <row r="144" ht="15.75" customHeight="1">
      <c r="A144" s="190" t="s">
        <v>75</v>
      </c>
      <c r="B144" s="191" t="s">
        <v>101</v>
      </c>
      <c r="C144" s="192"/>
      <c r="D144" s="193"/>
      <c r="E144" s="193"/>
      <c r="F144" s="194" t="str">
        <f t="shared" si="1"/>
        <v/>
      </c>
      <c r="G144" s="195" t="str">
        <f t="shared" si="2"/>
        <v/>
      </c>
    </row>
    <row r="145" ht="15.75" customHeight="1">
      <c r="A145" s="190" t="s">
        <v>239</v>
      </c>
      <c r="B145" s="191" t="s">
        <v>66</v>
      </c>
      <c r="C145" s="192"/>
      <c r="D145" s="193"/>
      <c r="E145" s="193"/>
      <c r="F145" s="194" t="str">
        <f t="shared" si="1"/>
        <v/>
      </c>
      <c r="G145" s="195" t="str">
        <f t="shared" si="2"/>
        <v/>
      </c>
    </row>
    <row r="146" ht="15.75" customHeight="1">
      <c r="A146" s="190"/>
      <c r="B146" s="191" t="s">
        <v>240</v>
      </c>
      <c r="C146" s="192"/>
      <c r="D146" s="193"/>
      <c r="E146" s="193"/>
      <c r="F146" s="194" t="str">
        <f t="shared" si="1"/>
        <v/>
      </c>
      <c r="G146" s="195" t="str">
        <f t="shared" si="2"/>
        <v/>
      </c>
    </row>
    <row r="147" ht="15.75" customHeight="1">
      <c r="A147" s="190" t="s">
        <v>241</v>
      </c>
      <c r="B147" s="191" t="s">
        <v>242</v>
      </c>
      <c r="C147" s="192"/>
      <c r="D147" s="193"/>
      <c r="E147" s="193"/>
      <c r="F147" s="194" t="str">
        <f t="shared" si="1"/>
        <v/>
      </c>
      <c r="G147" s="195" t="str">
        <f t="shared" si="2"/>
        <v/>
      </c>
    </row>
    <row r="148" ht="15.75" customHeight="1">
      <c r="A148" s="190"/>
      <c r="B148" s="191"/>
      <c r="C148" s="192"/>
      <c r="D148" s="193"/>
      <c r="E148" s="193"/>
      <c r="F148" s="194" t="str">
        <f t="shared" si="1"/>
        <v/>
      </c>
      <c r="G148" s="195" t="str">
        <f t="shared" si="2"/>
        <v/>
      </c>
    </row>
    <row r="149" ht="15.75" customHeight="1">
      <c r="A149" s="190"/>
      <c r="B149" s="191"/>
      <c r="C149" s="192"/>
      <c r="D149" s="193"/>
      <c r="E149" s="193"/>
      <c r="F149" s="194" t="str">
        <f t="shared" si="1"/>
        <v/>
      </c>
      <c r="G149" s="195" t="str">
        <f t="shared" si="2"/>
        <v/>
      </c>
    </row>
    <row r="150" ht="15.75" customHeight="1">
      <c r="A150" s="190" t="s">
        <v>243</v>
      </c>
      <c r="B150" s="191" t="s">
        <v>242</v>
      </c>
      <c r="C150" s="192"/>
      <c r="D150" s="193"/>
      <c r="E150" s="193"/>
      <c r="F150" s="194" t="str">
        <f t="shared" si="1"/>
        <v/>
      </c>
      <c r="G150" s="195" t="str">
        <f t="shared" si="2"/>
        <v/>
      </c>
    </row>
    <row r="151" ht="15.75" customHeight="1">
      <c r="A151" s="190" t="s">
        <v>244</v>
      </c>
      <c r="B151" s="199" t="s">
        <v>154</v>
      </c>
      <c r="C151" s="192"/>
      <c r="D151" s="193"/>
      <c r="E151" s="193"/>
      <c r="F151" s="194" t="str">
        <f t="shared" si="1"/>
        <v/>
      </c>
      <c r="G151" s="195" t="str">
        <f t="shared" si="2"/>
        <v/>
      </c>
    </row>
    <row r="152" ht="15.75" customHeight="1">
      <c r="A152" s="190" t="s">
        <v>113</v>
      </c>
      <c r="B152" s="191" t="s">
        <v>245</v>
      </c>
      <c r="C152" s="192"/>
      <c r="D152" s="193"/>
      <c r="E152" s="193"/>
      <c r="F152" s="194" t="str">
        <f t="shared" si="1"/>
        <v/>
      </c>
      <c r="G152" s="195" t="str">
        <f t="shared" si="2"/>
        <v/>
      </c>
    </row>
    <row r="153" ht="15.75" customHeight="1">
      <c r="A153" s="190"/>
      <c r="B153" s="191" t="s">
        <v>73</v>
      </c>
      <c r="C153" s="192"/>
      <c r="D153" s="193"/>
      <c r="E153" s="193"/>
      <c r="F153" s="194" t="str">
        <f t="shared" si="1"/>
        <v/>
      </c>
      <c r="G153" s="195" t="str">
        <f t="shared" si="2"/>
        <v/>
      </c>
    </row>
    <row r="154" ht="15.75" customHeight="1">
      <c r="A154" s="190"/>
      <c r="B154" s="191"/>
      <c r="C154" s="192"/>
      <c r="D154" s="193"/>
      <c r="E154" s="193"/>
      <c r="F154" s="194" t="str">
        <f t="shared" si="1"/>
        <v/>
      </c>
      <c r="G154" s="195" t="str">
        <f t="shared" si="2"/>
        <v/>
      </c>
    </row>
    <row r="155" ht="15.75" customHeight="1">
      <c r="A155" s="190"/>
      <c r="B155" s="191" t="s">
        <v>246</v>
      </c>
      <c r="C155" s="192"/>
      <c r="D155" s="193"/>
      <c r="E155" s="193"/>
      <c r="F155" s="194" t="str">
        <f t="shared" si="1"/>
        <v/>
      </c>
      <c r="G155" s="195" t="str">
        <f t="shared" si="2"/>
        <v/>
      </c>
    </row>
    <row r="156" ht="15.75" customHeight="1">
      <c r="A156" s="190"/>
      <c r="B156" s="191" t="s">
        <v>247</v>
      </c>
      <c r="C156" s="192"/>
      <c r="D156" s="193"/>
      <c r="E156" s="193"/>
      <c r="F156" s="194" t="str">
        <f t="shared" si="1"/>
        <v/>
      </c>
      <c r="G156" s="195" t="str">
        <f t="shared" si="2"/>
        <v/>
      </c>
    </row>
    <row r="157" ht="15.75" customHeight="1">
      <c r="A157" s="190"/>
      <c r="B157" s="191"/>
      <c r="C157" s="192"/>
      <c r="D157" s="193"/>
      <c r="E157" s="193"/>
      <c r="F157" s="194" t="str">
        <f t="shared" si="1"/>
        <v/>
      </c>
      <c r="G157" s="195" t="str">
        <f t="shared" si="2"/>
        <v/>
      </c>
    </row>
    <row r="158" ht="15.75" customHeight="1">
      <c r="A158" s="190"/>
      <c r="B158" s="191" t="s">
        <v>248</v>
      </c>
      <c r="C158" s="192"/>
      <c r="D158" s="193"/>
      <c r="E158" s="193"/>
      <c r="F158" s="194" t="str">
        <f t="shared" si="1"/>
        <v/>
      </c>
      <c r="G158" s="195" t="str">
        <f t="shared" si="2"/>
        <v/>
      </c>
    </row>
    <row r="159" ht="15.75" customHeight="1">
      <c r="A159" s="190"/>
      <c r="B159" s="191" t="s">
        <v>249</v>
      </c>
      <c r="C159" s="192"/>
      <c r="D159" s="193"/>
      <c r="E159" s="193"/>
      <c r="F159" s="194" t="str">
        <f t="shared" si="1"/>
        <v/>
      </c>
      <c r="G159" s="195" t="str">
        <f t="shared" si="2"/>
        <v/>
      </c>
    </row>
    <row r="160" ht="15.75" customHeight="1">
      <c r="A160" s="190"/>
      <c r="B160" s="191"/>
      <c r="C160" s="192"/>
      <c r="D160" s="193"/>
      <c r="E160" s="193"/>
      <c r="F160" s="194" t="str">
        <f t="shared" si="1"/>
        <v/>
      </c>
      <c r="G160" s="195" t="str">
        <f t="shared" si="2"/>
        <v/>
      </c>
    </row>
    <row r="161" ht="15.75" customHeight="1">
      <c r="A161" s="190"/>
      <c r="B161" s="191" t="s">
        <v>250</v>
      </c>
      <c r="C161" s="192"/>
      <c r="D161" s="193"/>
      <c r="E161" s="193"/>
      <c r="F161" s="194" t="str">
        <f t="shared" si="1"/>
        <v/>
      </c>
      <c r="G161" s="195" t="str">
        <f t="shared" si="2"/>
        <v/>
      </c>
    </row>
    <row r="162" ht="15.75" customHeight="1">
      <c r="A162" s="190"/>
      <c r="B162" s="191" t="s">
        <v>251</v>
      </c>
      <c r="C162" s="192"/>
      <c r="D162" s="193"/>
      <c r="E162" s="193"/>
      <c r="F162" s="194" t="str">
        <f t="shared" si="1"/>
        <v/>
      </c>
      <c r="G162" s="195" t="str">
        <f t="shared" si="2"/>
        <v/>
      </c>
    </row>
    <row r="163" ht="15.75" customHeight="1">
      <c r="A163" s="190"/>
      <c r="B163" s="191" t="s">
        <v>252</v>
      </c>
      <c r="C163" s="192"/>
      <c r="D163" s="193"/>
      <c r="E163" s="193"/>
      <c r="F163" s="194" t="str">
        <f t="shared" si="1"/>
        <v/>
      </c>
      <c r="G163" s="195" t="str">
        <f t="shared" si="2"/>
        <v/>
      </c>
    </row>
    <row r="164" ht="15.75" customHeight="1">
      <c r="A164" s="190"/>
      <c r="B164" s="191" t="s">
        <v>253</v>
      </c>
      <c r="C164" s="192"/>
      <c r="D164" s="193"/>
      <c r="E164" s="193"/>
      <c r="F164" s="194" t="str">
        <f t="shared" si="1"/>
        <v/>
      </c>
      <c r="G164" s="195" t="str">
        <f t="shared" si="2"/>
        <v/>
      </c>
    </row>
    <row r="165" ht="15.75" customHeight="1">
      <c r="A165" s="190"/>
      <c r="B165" s="191" t="s">
        <v>254</v>
      </c>
      <c r="C165" s="192"/>
      <c r="D165" s="193"/>
      <c r="E165" s="193"/>
      <c r="F165" s="194" t="str">
        <f t="shared" si="1"/>
        <v/>
      </c>
      <c r="G165" s="195" t="str">
        <f t="shared" si="2"/>
        <v/>
      </c>
    </row>
    <row r="166" ht="15.75" customHeight="1">
      <c r="A166" s="190"/>
      <c r="B166" s="191"/>
      <c r="C166" s="192"/>
      <c r="D166" s="193"/>
      <c r="E166" s="193"/>
      <c r="F166" s="194" t="str">
        <f t="shared" si="1"/>
        <v/>
      </c>
      <c r="G166" s="195" t="str">
        <f t="shared" si="2"/>
        <v/>
      </c>
    </row>
    <row r="167" ht="15.75" customHeight="1">
      <c r="A167" s="190"/>
      <c r="B167" s="191" t="s">
        <v>255</v>
      </c>
      <c r="C167" s="192"/>
      <c r="D167" s="193"/>
      <c r="E167" s="193"/>
      <c r="F167" s="194" t="str">
        <f t="shared" si="1"/>
        <v/>
      </c>
      <c r="G167" s="195" t="str">
        <f t="shared" si="2"/>
        <v/>
      </c>
    </row>
    <row r="168" ht="15.75" customHeight="1">
      <c r="A168" s="190"/>
      <c r="B168" s="191" t="s">
        <v>256</v>
      </c>
      <c r="C168" s="192"/>
      <c r="D168" s="193"/>
      <c r="E168" s="193"/>
      <c r="F168" s="194" t="str">
        <f t="shared" si="1"/>
        <v/>
      </c>
      <c r="G168" s="195" t="str">
        <f t="shared" si="2"/>
        <v/>
      </c>
    </row>
    <row r="169" ht="15.75" customHeight="1">
      <c r="A169" s="190"/>
      <c r="B169" s="191" t="s">
        <v>257</v>
      </c>
      <c r="C169" s="192"/>
      <c r="D169" s="193"/>
      <c r="E169" s="193"/>
      <c r="F169" s="194" t="str">
        <f t="shared" si="1"/>
        <v/>
      </c>
      <c r="G169" s="195" t="str">
        <f t="shared" si="2"/>
        <v/>
      </c>
    </row>
    <row r="170" ht="15.75" customHeight="1">
      <c r="A170" s="190"/>
      <c r="B170" s="191" t="s">
        <v>258</v>
      </c>
      <c r="C170" s="192"/>
      <c r="D170" s="193"/>
      <c r="E170" s="193"/>
      <c r="F170" s="194" t="str">
        <f t="shared" si="1"/>
        <v/>
      </c>
      <c r="G170" s="195" t="str">
        <f t="shared" si="2"/>
        <v/>
      </c>
    </row>
    <row r="171" ht="15.75" customHeight="1">
      <c r="A171" s="190"/>
      <c r="B171" s="191" t="s">
        <v>259</v>
      </c>
      <c r="C171" s="192"/>
      <c r="D171" s="193"/>
      <c r="E171" s="193"/>
      <c r="F171" s="194" t="str">
        <f t="shared" si="1"/>
        <v/>
      </c>
      <c r="G171" s="195" t="str">
        <f t="shared" si="2"/>
        <v/>
      </c>
    </row>
    <row r="172" ht="15.75" customHeight="1">
      <c r="A172" s="190" t="s">
        <v>260</v>
      </c>
      <c r="B172" s="191" t="s">
        <v>79</v>
      </c>
      <c r="C172" s="192"/>
      <c r="D172" s="193"/>
      <c r="E172" s="193"/>
      <c r="F172" s="194" t="str">
        <f t="shared" si="1"/>
        <v/>
      </c>
      <c r="G172" s="195" t="str">
        <f t="shared" si="2"/>
        <v/>
      </c>
    </row>
    <row r="173" ht="15.75" customHeight="1">
      <c r="A173" s="190" t="s">
        <v>261</v>
      </c>
      <c r="B173" s="191" t="s">
        <v>73</v>
      </c>
      <c r="C173" s="192"/>
      <c r="D173" s="193"/>
      <c r="E173" s="193"/>
      <c r="F173" s="194" t="str">
        <f t="shared" si="1"/>
        <v/>
      </c>
      <c r="G173" s="195" t="str">
        <f t="shared" si="2"/>
        <v/>
      </c>
    </row>
    <row r="174" ht="15.75" customHeight="1">
      <c r="A174" s="190" t="s">
        <v>262</v>
      </c>
      <c r="B174" s="191" t="s">
        <v>79</v>
      </c>
      <c r="C174" s="192"/>
      <c r="D174" s="193"/>
      <c r="E174" s="193"/>
      <c r="F174" s="194" t="str">
        <f t="shared" si="1"/>
        <v/>
      </c>
      <c r="G174" s="195" t="str">
        <f t="shared" si="2"/>
        <v/>
      </c>
    </row>
    <row r="175" ht="15.75" customHeight="1">
      <c r="A175" s="190"/>
      <c r="B175" s="191"/>
      <c r="C175" s="192"/>
      <c r="D175" s="193"/>
      <c r="E175" s="193"/>
      <c r="F175" s="194" t="str">
        <f t="shared" si="1"/>
        <v/>
      </c>
      <c r="G175" s="195" t="str">
        <f t="shared" si="2"/>
        <v/>
      </c>
    </row>
    <row r="176" ht="15.75" customHeight="1">
      <c r="A176" s="190" t="s">
        <v>263</v>
      </c>
      <c r="B176" s="191" t="s">
        <v>264</v>
      </c>
      <c r="C176" s="192"/>
      <c r="D176" s="193"/>
      <c r="E176" s="193"/>
      <c r="F176" s="194" t="str">
        <f t="shared" si="1"/>
        <v/>
      </c>
      <c r="G176" s="195" t="str">
        <f t="shared" si="2"/>
        <v/>
      </c>
    </row>
    <row r="177" ht="15.75" customHeight="1">
      <c r="A177" s="190"/>
      <c r="B177" s="191" t="s">
        <v>265</v>
      </c>
      <c r="C177" s="192"/>
      <c r="D177" s="193"/>
      <c r="E177" s="193"/>
      <c r="F177" s="194" t="str">
        <f t="shared" si="1"/>
        <v/>
      </c>
      <c r="G177" s="195" t="str">
        <f t="shared" si="2"/>
        <v/>
      </c>
    </row>
    <row r="178" ht="15.75" customHeight="1">
      <c r="A178" s="190"/>
      <c r="B178" s="191"/>
      <c r="C178" s="192"/>
      <c r="D178" s="193"/>
      <c r="E178" s="193"/>
      <c r="F178" s="194" t="str">
        <f t="shared" si="1"/>
        <v/>
      </c>
      <c r="G178" s="195" t="str">
        <f t="shared" si="2"/>
        <v/>
      </c>
    </row>
    <row r="179" ht="15.75" customHeight="1">
      <c r="A179" s="190"/>
      <c r="B179" s="191" t="s">
        <v>266</v>
      </c>
      <c r="C179" s="192"/>
      <c r="D179" s="193"/>
      <c r="E179" s="193"/>
      <c r="F179" s="194" t="str">
        <f t="shared" si="1"/>
        <v/>
      </c>
      <c r="G179" s="195" t="str">
        <f t="shared" si="2"/>
        <v/>
      </c>
    </row>
    <row r="180" ht="15.75" customHeight="1">
      <c r="A180" s="190"/>
      <c r="B180" s="191" t="s">
        <v>219</v>
      </c>
      <c r="C180" s="192"/>
      <c r="D180" s="193"/>
      <c r="E180" s="193"/>
      <c r="F180" s="194" t="str">
        <f t="shared" si="1"/>
        <v/>
      </c>
      <c r="G180" s="195" t="str">
        <f t="shared" si="2"/>
        <v/>
      </c>
    </row>
    <row r="181" ht="15.75" customHeight="1">
      <c r="A181" s="190" t="s">
        <v>267</v>
      </c>
      <c r="B181" s="191" t="s">
        <v>219</v>
      </c>
      <c r="C181" s="192"/>
      <c r="D181" s="193"/>
      <c r="E181" s="193"/>
      <c r="F181" s="194" t="str">
        <f t="shared" si="1"/>
        <v/>
      </c>
      <c r="G181" s="195" t="str">
        <f t="shared" si="2"/>
        <v/>
      </c>
    </row>
    <row r="182" ht="15.75" customHeight="1">
      <c r="A182" s="190" t="s">
        <v>268</v>
      </c>
      <c r="B182" s="191" t="s">
        <v>269</v>
      </c>
      <c r="C182" s="192"/>
      <c r="D182" s="193"/>
      <c r="E182" s="193"/>
      <c r="F182" s="194" t="str">
        <f t="shared" si="1"/>
        <v/>
      </c>
      <c r="G182" s="195" t="str">
        <f t="shared" si="2"/>
        <v/>
      </c>
    </row>
    <row r="183" ht="15.75" customHeight="1">
      <c r="A183" s="190" t="s">
        <v>270</v>
      </c>
      <c r="B183" s="191" t="s">
        <v>151</v>
      </c>
      <c r="C183" s="192"/>
      <c r="D183" s="193"/>
      <c r="E183" s="193"/>
      <c r="F183" s="194" t="str">
        <f t="shared" si="1"/>
        <v/>
      </c>
      <c r="G183" s="195" t="str">
        <f t="shared" si="2"/>
        <v/>
      </c>
    </row>
    <row r="184" ht="15.75" customHeight="1">
      <c r="A184" s="190"/>
      <c r="B184" s="191"/>
      <c r="C184" s="192"/>
      <c r="D184" s="193"/>
      <c r="E184" s="193"/>
      <c r="F184" s="194" t="str">
        <f t="shared" si="1"/>
        <v/>
      </c>
      <c r="G184" s="195" t="str">
        <f t="shared" si="2"/>
        <v/>
      </c>
    </row>
    <row r="185" ht="15.75" customHeight="1">
      <c r="A185" s="197" t="s">
        <v>271</v>
      </c>
      <c r="B185" s="197"/>
      <c r="C185" s="197"/>
      <c r="D185" s="198"/>
      <c r="E185" s="198"/>
      <c r="F185" s="194" t="str">
        <f t="shared" si="1"/>
        <v/>
      </c>
      <c r="G185" s="195" t="str">
        <f t="shared" si="2"/>
        <v/>
      </c>
    </row>
    <row r="186" ht="15.75" customHeight="1">
      <c r="A186" s="197" t="s">
        <v>272</v>
      </c>
      <c r="B186" s="197"/>
      <c r="C186" s="197"/>
      <c r="D186" s="198"/>
      <c r="E186" s="198"/>
      <c r="F186" s="194" t="str">
        <f t="shared" si="1"/>
        <v/>
      </c>
      <c r="G186" s="195" t="str">
        <f t="shared" si="2"/>
        <v/>
      </c>
    </row>
    <row r="187" ht="15.75" customHeight="1">
      <c r="A187" s="197" t="s">
        <v>273</v>
      </c>
      <c r="B187" s="197"/>
      <c r="C187" s="197"/>
      <c r="D187" s="198"/>
      <c r="E187" s="198"/>
      <c r="F187" s="194" t="str">
        <f t="shared" si="1"/>
        <v/>
      </c>
      <c r="G187" s="195" t="str">
        <f t="shared" si="2"/>
        <v/>
      </c>
    </row>
    <row r="188" ht="15.75" customHeight="1">
      <c r="A188" s="197" t="s">
        <v>274</v>
      </c>
      <c r="B188" s="197"/>
      <c r="C188" s="197"/>
      <c r="D188" s="198"/>
      <c r="E188" s="198"/>
      <c r="F188" s="194" t="str">
        <f t="shared" si="1"/>
        <v/>
      </c>
      <c r="G188" s="195" t="str">
        <f t="shared" si="2"/>
        <v/>
      </c>
    </row>
    <row r="189" ht="15.75" customHeight="1">
      <c r="A189" s="190" t="s">
        <v>275</v>
      </c>
      <c r="B189" s="191" t="s">
        <v>73</v>
      </c>
      <c r="C189" s="192"/>
      <c r="D189" s="193"/>
      <c r="E189" s="193"/>
      <c r="F189" s="194" t="str">
        <f t="shared" si="1"/>
        <v/>
      </c>
      <c r="G189" s="195" t="str">
        <f t="shared" si="2"/>
        <v/>
      </c>
    </row>
    <row r="190" ht="15.75" customHeight="1">
      <c r="A190" s="190"/>
      <c r="B190" s="191" t="s">
        <v>141</v>
      </c>
      <c r="C190" s="192"/>
      <c r="D190" s="193"/>
      <c r="E190" s="193"/>
      <c r="F190" s="194" t="str">
        <f t="shared" si="1"/>
        <v/>
      </c>
      <c r="G190" s="195" t="str">
        <f t="shared" si="2"/>
        <v/>
      </c>
    </row>
    <row r="191" ht="15.75" customHeight="1">
      <c r="A191" s="190" t="s">
        <v>276</v>
      </c>
      <c r="B191" s="191" t="s">
        <v>277</v>
      </c>
      <c r="C191" s="192"/>
      <c r="D191" s="193"/>
      <c r="E191" s="193"/>
      <c r="F191" s="194" t="str">
        <f t="shared" si="1"/>
        <v/>
      </c>
      <c r="G191" s="195" t="str">
        <f t="shared" si="2"/>
        <v/>
      </c>
    </row>
    <row r="192" ht="15.75" customHeight="1">
      <c r="A192" s="190"/>
      <c r="B192" s="191" t="s">
        <v>230</v>
      </c>
      <c r="C192" s="192"/>
      <c r="D192" s="193"/>
      <c r="E192" s="193"/>
      <c r="F192" s="194" t="str">
        <f t="shared" si="1"/>
        <v/>
      </c>
      <c r="G192" s="195" t="str">
        <f t="shared" si="2"/>
        <v/>
      </c>
    </row>
    <row r="193" ht="15.75" customHeight="1">
      <c r="A193" s="190"/>
      <c r="B193" s="191"/>
      <c r="C193" s="192"/>
      <c r="D193" s="193"/>
      <c r="E193" s="193"/>
      <c r="F193" s="194" t="str">
        <f t="shared" si="1"/>
        <v/>
      </c>
      <c r="G193" s="195" t="str">
        <f t="shared" si="2"/>
        <v/>
      </c>
    </row>
    <row r="194" ht="15.75" customHeight="1">
      <c r="A194" s="190"/>
      <c r="B194" s="191" t="s">
        <v>96</v>
      </c>
      <c r="C194" s="192"/>
      <c r="D194" s="193"/>
      <c r="E194" s="193"/>
      <c r="F194" s="194" t="str">
        <f t="shared" si="1"/>
        <v/>
      </c>
      <c r="G194" s="195" t="str">
        <f t="shared" si="2"/>
        <v/>
      </c>
    </row>
    <row r="195" ht="15.75" customHeight="1">
      <c r="A195" s="190"/>
      <c r="B195" s="191" t="s">
        <v>93</v>
      </c>
      <c r="C195" s="192"/>
      <c r="D195" s="193"/>
      <c r="E195" s="193"/>
      <c r="F195" s="194" t="str">
        <f t="shared" si="1"/>
        <v/>
      </c>
      <c r="G195" s="195" t="str">
        <f t="shared" si="2"/>
        <v/>
      </c>
    </row>
    <row r="196" ht="15.75" customHeight="1">
      <c r="A196" s="190"/>
      <c r="B196" s="191" t="s">
        <v>278</v>
      </c>
      <c r="C196" s="192"/>
      <c r="D196" s="193"/>
      <c r="E196" s="193"/>
      <c r="F196" s="194" t="str">
        <f t="shared" si="1"/>
        <v/>
      </c>
      <c r="G196" s="195" t="str">
        <f t="shared" si="2"/>
        <v/>
      </c>
    </row>
    <row r="197" ht="15.75" customHeight="1">
      <c r="A197" s="190" t="s">
        <v>129</v>
      </c>
      <c r="B197" s="191" t="s">
        <v>79</v>
      </c>
      <c r="C197" s="192"/>
      <c r="D197" s="193"/>
      <c r="E197" s="193"/>
      <c r="F197" s="194" t="str">
        <f t="shared" si="1"/>
        <v/>
      </c>
      <c r="G197" s="195" t="str">
        <f t="shared" si="2"/>
        <v/>
      </c>
    </row>
    <row r="198" ht="15.75" customHeight="1">
      <c r="A198" s="190"/>
      <c r="B198" s="191"/>
      <c r="C198" s="192"/>
      <c r="D198" s="193"/>
      <c r="E198" s="193"/>
      <c r="F198" s="194" t="str">
        <f t="shared" si="1"/>
        <v/>
      </c>
      <c r="G198" s="195" t="str">
        <f t="shared" si="2"/>
        <v/>
      </c>
    </row>
    <row r="199" ht="15.75" customHeight="1">
      <c r="A199" s="190"/>
      <c r="B199" s="191"/>
      <c r="C199" s="192"/>
      <c r="D199" s="193"/>
      <c r="E199" s="193"/>
      <c r="F199" s="194" t="str">
        <f t="shared" si="1"/>
        <v/>
      </c>
      <c r="G199" s="195" t="str">
        <f t="shared" si="2"/>
        <v/>
      </c>
    </row>
    <row r="200" ht="15.75" customHeight="1">
      <c r="A200" s="190"/>
      <c r="B200" s="191"/>
      <c r="C200" s="192"/>
      <c r="D200" s="193"/>
      <c r="E200" s="193"/>
      <c r="F200" s="194" t="str">
        <f t="shared" si="1"/>
        <v/>
      </c>
      <c r="G200" s="195" t="str">
        <f t="shared" si="2"/>
        <v/>
      </c>
    </row>
    <row r="201" ht="15.75" customHeight="1">
      <c r="A201" s="190"/>
      <c r="B201" s="191"/>
      <c r="C201" s="192"/>
      <c r="D201" s="193"/>
      <c r="E201" s="193"/>
      <c r="F201" s="194" t="str">
        <f t="shared" si="1"/>
        <v/>
      </c>
      <c r="G201" s="195" t="str">
        <f t="shared" si="2"/>
        <v/>
      </c>
    </row>
    <row r="202" ht="15.75" customHeight="1">
      <c r="A202" s="190"/>
      <c r="B202" s="191"/>
      <c r="C202" s="192"/>
      <c r="D202" s="193"/>
      <c r="E202" s="193"/>
      <c r="F202" s="194" t="str">
        <f t="shared" si="1"/>
        <v/>
      </c>
      <c r="G202" s="195" t="str">
        <f t="shared" si="2"/>
        <v/>
      </c>
    </row>
    <row r="203" ht="15.75" customHeight="1">
      <c r="A203" s="190"/>
      <c r="B203" s="191"/>
      <c r="C203" s="192"/>
      <c r="D203" s="193"/>
      <c r="E203" s="193"/>
      <c r="F203" s="194" t="str">
        <f t="shared" si="1"/>
        <v/>
      </c>
      <c r="G203" s="195" t="str">
        <f t="shared" si="2"/>
        <v/>
      </c>
    </row>
    <row r="204" ht="15.75" customHeight="1">
      <c r="A204" s="190" t="s">
        <v>279</v>
      </c>
      <c r="B204" s="191" t="s">
        <v>79</v>
      </c>
      <c r="C204" s="192"/>
      <c r="D204" s="193"/>
      <c r="E204" s="193"/>
      <c r="F204" s="194" t="str">
        <f t="shared" si="1"/>
        <v/>
      </c>
      <c r="G204" s="195" t="str">
        <f t="shared" si="2"/>
        <v/>
      </c>
    </row>
    <row r="205" ht="15.75" customHeight="1">
      <c r="A205" s="190"/>
      <c r="B205" s="199" t="s">
        <v>280</v>
      </c>
      <c r="C205" s="192"/>
      <c r="D205" s="193"/>
      <c r="E205" s="193"/>
      <c r="F205" s="194" t="str">
        <f t="shared" si="1"/>
        <v/>
      </c>
      <c r="G205" s="195" t="str">
        <f t="shared" si="2"/>
        <v/>
      </c>
    </row>
    <row r="206" ht="15.75" customHeight="1">
      <c r="A206" s="190" t="s">
        <v>281</v>
      </c>
      <c r="B206" s="191" t="s">
        <v>73</v>
      </c>
      <c r="C206" s="192"/>
      <c r="D206" s="193"/>
      <c r="E206" s="193"/>
      <c r="F206" s="194" t="str">
        <f t="shared" si="1"/>
        <v/>
      </c>
      <c r="G206" s="195" t="str">
        <f t="shared" si="2"/>
        <v/>
      </c>
    </row>
    <row r="207" ht="15.75" customHeight="1">
      <c r="A207" s="190"/>
      <c r="B207" s="191"/>
      <c r="C207" s="192"/>
      <c r="D207" s="193"/>
      <c r="E207" s="193"/>
      <c r="F207" s="194" t="str">
        <f t="shared" si="1"/>
        <v/>
      </c>
      <c r="G207" s="195" t="str">
        <f t="shared" si="2"/>
        <v/>
      </c>
    </row>
    <row r="208" ht="15.75" customHeight="1">
      <c r="A208" s="190" t="s">
        <v>282</v>
      </c>
      <c r="B208" s="191" t="s">
        <v>283</v>
      </c>
      <c r="C208" s="192"/>
      <c r="D208" s="193"/>
      <c r="E208" s="193"/>
      <c r="F208" s="194" t="str">
        <f t="shared" si="1"/>
        <v/>
      </c>
      <c r="G208" s="195" t="str">
        <f t="shared" si="2"/>
        <v/>
      </c>
    </row>
    <row r="209" ht="15.75" customHeight="1">
      <c r="A209" s="190"/>
      <c r="B209" s="191"/>
      <c r="C209" s="192"/>
      <c r="D209" s="193"/>
      <c r="E209" s="193"/>
      <c r="F209" s="194" t="str">
        <f t="shared" si="1"/>
        <v/>
      </c>
      <c r="G209" s="195" t="str">
        <f t="shared" si="2"/>
        <v/>
      </c>
    </row>
    <row r="210" ht="15.75" customHeight="1">
      <c r="A210" s="190"/>
      <c r="B210" s="191" t="s">
        <v>101</v>
      </c>
      <c r="C210" s="192"/>
      <c r="D210" s="193"/>
      <c r="E210" s="193"/>
      <c r="F210" s="194" t="str">
        <f t="shared" si="1"/>
        <v/>
      </c>
      <c r="G210" s="195" t="str">
        <f t="shared" si="2"/>
        <v/>
      </c>
    </row>
    <row r="211" ht="15.75" customHeight="1">
      <c r="A211" s="190"/>
      <c r="B211" s="191" t="s">
        <v>284</v>
      </c>
      <c r="C211" s="192"/>
      <c r="D211" s="193"/>
      <c r="E211" s="193"/>
      <c r="F211" s="194" t="str">
        <f t="shared" si="1"/>
        <v/>
      </c>
      <c r="G211" s="195" t="str">
        <f t="shared" si="2"/>
        <v/>
      </c>
    </row>
    <row r="212" ht="15.75" customHeight="1">
      <c r="A212" s="190" t="s">
        <v>155</v>
      </c>
      <c r="B212" s="191" t="s">
        <v>285</v>
      </c>
      <c r="C212" s="192"/>
      <c r="D212" s="193"/>
      <c r="E212" s="193"/>
      <c r="F212" s="194" t="str">
        <f t="shared" si="1"/>
        <v/>
      </c>
      <c r="G212" s="195" t="str">
        <f t="shared" si="2"/>
        <v/>
      </c>
    </row>
    <row r="213" ht="15.75" customHeight="1">
      <c r="A213" s="190"/>
      <c r="B213" s="191" t="s">
        <v>156</v>
      </c>
      <c r="C213" s="192"/>
      <c r="D213" s="193"/>
      <c r="E213" s="193"/>
      <c r="F213" s="194" t="str">
        <f t="shared" si="1"/>
        <v/>
      </c>
      <c r="G213" s="195" t="str">
        <f t="shared" si="2"/>
        <v/>
      </c>
    </row>
    <row r="214" ht="15.75" customHeight="1">
      <c r="A214" s="190"/>
      <c r="B214" s="191"/>
      <c r="C214" s="192"/>
      <c r="D214" s="193"/>
      <c r="E214" s="193"/>
      <c r="F214" s="194" t="str">
        <f t="shared" si="1"/>
        <v/>
      </c>
      <c r="G214" s="195" t="str">
        <f t="shared" si="2"/>
        <v/>
      </c>
    </row>
    <row r="215" ht="15.75" customHeight="1">
      <c r="A215" s="190"/>
      <c r="B215" s="191"/>
      <c r="C215" s="192"/>
      <c r="D215" s="193"/>
      <c r="E215" s="193"/>
      <c r="F215" s="194" t="str">
        <f t="shared" si="1"/>
        <v/>
      </c>
      <c r="G215" s="195" t="str">
        <f t="shared" si="2"/>
        <v/>
      </c>
    </row>
    <row r="216" ht="15.75" customHeight="1">
      <c r="A216" s="190" t="s">
        <v>109</v>
      </c>
      <c r="B216" s="191" t="s">
        <v>219</v>
      </c>
      <c r="C216" s="192"/>
      <c r="D216" s="193"/>
      <c r="E216" s="193"/>
      <c r="F216" s="194" t="str">
        <f t="shared" si="1"/>
        <v/>
      </c>
      <c r="G216" s="195" t="str">
        <f t="shared" si="2"/>
        <v/>
      </c>
    </row>
    <row r="217" ht="15.75" customHeight="1">
      <c r="A217" s="190"/>
      <c r="B217" s="191"/>
      <c r="C217" s="192"/>
      <c r="D217" s="193"/>
      <c r="E217" s="193"/>
      <c r="F217" s="194" t="str">
        <f t="shared" si="1"/>
        <v/>
      </c>
      <c r="G217" s="195" t="str">
        <f t="shared" si="2"/>
        <v/>
      </c>
    </row>
    <row r="218" ht="15.75" customHeight="1">
      <c r="A218" s="190"/>
      <c r="B218" s="191"/>
      <c r="C218" s="192"/>
      <c r="D218" s="193"/>
      <c r="E218" s="193"/>
      <c r="F218" s="194" t="str">
        <f t="shared" si="1"/>
        <v/>
      </c>
      <c r="G218" s="195" t="str">
        <f t="shared" si="2"/>
        <v/>
      </c>
    </row>
    <row r="219" ht="15.75" customHeight="1">
      <c r="A219" s="190"/>
      <c r="B219" s="191" t="s">
        <v>141</v>
      </c>
      <c r="C219" s="192"/>
      <c r="D219" s="193"/>
      <c r="E219" s="193"/>
      <c r="F219" s="194" t="str">
        <f t="shared" si="1"/>
        <v/>
      </c>
      <c r="G219" s="195" t="str">
        <f t="shared" si="2"/>
        <v/>
      </c>
    </row>
    <row r="220" ht="15.75" customHeight="1">
      <c r="A220" s="190"/>
      <c r="B220" s="191" t="s">
        <v>144</v>
      </c>
      <c r="C220" s="192"/>
      <c r="D220" s="193"/>
      <c r="E220" s="193"/>
      <c r="F220" s="194" t="str">
        <f t="shared" si="1"/>
        <v/>
      </c>
      <c r="G220" s="195" t="str">
        <f t="shared" si="2"/>
        <v/>
      </c>
    </row>
    <row r="221" ht="15.75" customHeight="1">
      <c r="A221" s="190" t="s">
        <v>286</v>
      </c>
      <c r="B221" s="191" t="s">
        <v>101</v>
      </c>
      <c r="C221" s="192"/>
      <c r="D221" s="193"/>
      <c r="E221" s="193"/>
      <c r="F221" s="194" t="str">
        <f t="shared" si="1"/>
        <v/>
      </c>
      <c r="G221" s="195" t="str">
        <f t="shared" si="2"/>
        <v/>
      </c>
    </row>
    <row r="222" ht="15.75" customHeight="1">
      <c r="A222" s="190" t="s">
        <v>92</v>
      </c>
      <c r="B222" s="191" t="s">
        <v>115</v>
      </c>
      <c r="C222" s="192"/>
      <c r="D222" s="193"/>
      <c r="E222" s="193"/>
      <c r="F222" s="194" t="str">
        <f t="shared" si="1"/>
        <v/>
      </c>
      <c r="G222" s="195" t="str">
        <f t="shared" si="2"/>
        <v/>
      </c>
    </row>
    <row r="223" ht="15.75" customHeight="1">
      <c r="A223" s="190"/>
      <c r="B223" s="191"/>
      <c r="C223" s="192"/>
      <c r="D223" s="193"/>
      <c r="E223" s="193"/>
      <c r="F223" s="194" t="str">
        <f t="shared" si="1"/>
        <v/>
      </c>
      <c r="G223" s="195" t="str">
        <f t="shared" si="2"/>
        <v/>
      </c>
    </row>
    <row r="224" ht="15.75" customHeight="1">
      <c r="A224" s="190"/>
      <c r="B224" s="191" t="s">
        <v>66</v>
      </c>
      <c r="C224" s="192"/>
      <c r="D224" s="193"/>
      <c r="E224" s="193"/>
      <c r="F224" s="194" t="str">
        <f t="shared" si="1"/>
        <v/>
      </c>
      <c r="G224" s="195" t="str">
        <f t="shared" si="2"/>
        <v/>
      </c>
    </row>
    <row r="225" ht="15.75" customHeight="1">
      <c r="A225" s="190"/>
      <c r="B225" s="191" t="s">
        <v>125</v>
      </c>
      <c r="C225" s="192"/>
      <c r="D225" s="193"/>
      <c r="E225" s="193"/>
      <c r="F225" s="194" t="str">
        <f t="shared" si="1"/>
        <v/>
      </c>
      <c r="G225" s="195" t="str">
        <f t="shared" si="2"/>
        <v/>
      </c>
    </row>
    <row r="226" ht="15.75" customHeight="1">
      <c r="A226" s="190"/>
      <c r="B226" s="191" t="s">
        <v>230</v>
      </c>
      <c r="C226" s="192"/>
      <c r="D226" s="193"/>
      <c r="E226" s="193"/>
      <c r="F226" s="194" t="str">
        <f t="shared" si="1"/>
        <v/>
      </c>
      <c r="G226" s="195" t="str">
        <f t="shared" si="2"/>
        <v/>
      </c>
    </row>
    <row r="227" ht="15.75" customHeight="1">
      <c r="A227" s="190"/>
      <c r="B227" s="191" t="s">
        <v>93</v>
      </c>
      <c r="C227" s="192"/>
      <c r="D227" s="193"/>
      <c r="E227" s="193"/>
      <c r="F227" s="194" t="str">
        <f t="shared" si="1"/>
        <v/>
      </c>
      <c r="G227" s="195" t="str">
        <f t="shared" si="2"/>
        <v/>
      </c>
    </row>
    <row r="228" ht="15.75" customHeight="1">
      <c r="A228" s="190"/>
      <c r="B228" s="191"/>
      <c r="C228" s="192"/>
      <c r="D228" s="193"/>
      <c r="E228" s="193"/>
      <c r="F228" s="194" t="str">
        <f t="shared" si="1"/>
        <v/>
      </c>
      <c r="G228" s="195" t="str">
        <f t="shared" si="2"/>
        <v/>
      </c>
    </row>
    <row r="229" ht="15.75" customHeight="1">
      <c r="A229" s="190"/>
      <c r="B229" s="191"/>
      <c r="C229" s="192"/>
      <c r="D229" s="193"/>
      <c r="E229" s="193"/>
      <c r="F229" s="194" t="str">
        <f t="shared" si="1"/>
        <v/>
      </c>
      <c r="G229" s="195" t="str">
        <f t="shared" si="2"/>
        <v/>
      </c>
    </row>
    <row r="230" ht="15.75" customHeight="1">
      <c r="A230" s="190"/>
      <c r="B230" s="191"/>
      <c r="C230" s="192"/>
      <c r="D230" s="193"/>
      <c r="E230" s="193"/>
      <c r="F230" s="194" t="str">
        <f t="shared" si="1"/>
        <v/>
      </c>
      <c r="G230" s="195" t="str">
        <f t="shared" si="2"/>
        <v/>
      </c>
    </row>
    <row r="231" ht="15.75" customHeight="1">
      <c r="A231" s="190"/>
      <c r="B231" s="191"/>
      <c r="C231" s="192"/>
      <c r="D231" s="193"/>
      <c r="E231" s="193"/>
      <c r="F231" s="194" t="str">
        <f t="shared" si="1"/>
        <v/>
      </c>
      <c r="G231" s="195" t="str">
        <f t="shared" si="2"/>
        <v/>
      </c>
    </row>
    <row r="232" ht="15.75" customHeight="1">
      <c r="A232" s="190"/>
      <c r="B232" s="191"/>
      <c r="C232" s="192"/>
      <c r="D232" s="193"/>
      <c r="E232" s="193"/>
      <c r="F232" s="194" t="str">
        <f t="shared" si="1"/>
        <v/>
      </c>
      <c r="G232" s="195" t="str">
        <f t="shared" si="2"/>
        <v/>
      </c>
    </row>
    <row r="233" ht="15.75" customHeight="1">
      <c r="A233" s="190"/>
      <c r="B233" s="191"/>
      <c r="C233" s="192"/>
      <c r="D233" s="193"/>
      <c r="E233" s="193"/>
      <c r="F233" s="194" t="str">
        <f t="shared" si="1"/>
        <v/>
      </c>
      <c r="G233" s="195" t="str">
        <f t="shared" si="2"/>
        <v/>
      </c>
    </row>
    <row r="234" ht="15.75" customHeight="1">
      <c r="A234" s="190"/>
      <c r="B234" s="191"/>
      <c r="C234" s="192"/>
      <c r="D234" s="193"/>
      <c r="E234" s="193"/>
      <c r="F234" s="194" t="str">
        <f t="shared" si="1"/>
        <v/>
      </c>
      <c r="G234" s="195" t="str">
        <f t="shared" si="2"/>
        <v/>
      </c>
    </row>
    <row r="235" ht="15.75" customHeight="1">
      <c r="A235" s="190"/>
      <c r="B235" s="191"/>
      <c r="C235" s="192"/>
      <c r="D235" s="193"/>
      <c r="E235" s="193"/>
      <c r="F235" s="194" t="str">
        <f t="shared" si="1"/>
        <v/>
      </c>
      <c r="G235" s="195" t="str">
        <f t="shared" si="2"/>
        <v/>
      </c>
    </row>
    <row r="236" ht="15.75" customHeight="1">
      <c r="A236" s="190"/>
      <c r="B236" s="191"/>
      <c r="C236" s="192"/>
      <c r="D236" s="193"/>
      <c r="E236" s="193"/>
      <c r="F236" s="194" t="str">
        <f t="shared" si="1"/>
        <v/>
      </c>
      <c r="G236" s="195" t="str">
        <f t="shared" si="2"/>
        <v/>
      </c>
    </row>
    <row r="237" ht="15.75" customHeight="1">
      <c r="A237" s="190"/>
      <c r="B237" s="191"/>
      <c r="C237" s="192"/>
      <c r="D237" s="193"/>
      <c r="E237" s="193"/>
      <c r="F237" s="194" t="str">
        <f t="shared" si="1"/>
        <v/>
      </c>
      <c r="G237" s="195" t="str">
        <f t="shared" si="2"/>
        <v/>
      </c>
    </row>
    <row r="238" ht="15.75" customHeight="1">
      <c r="A238" s="190"/>
      <c r="B238" s="191"/>
      <c r="C238" s="192"/>
      <c r="D238" s="193"/>
      <c r="E238" s="193"/>
      <c r="F238" s="194" t="str">
        <f t="shared" si="1"/>
        <v/>
      </c>
      <c r="G238" s="195" t="str">
        <f t="shared" si="2"/>
        <v/>
      </c>
    </row>
    <row r="239" ht="15.75" customHeight="1">
      <c r="A239" s="190"/>
      <c r="B239" s="191"/>
      <c r="C239" s="192"/>
      <c r="D239" s="193"/>
      <c r="E239" s="193"/>
      <c r="F239" s="194" t="str">
        <f t="shared" si="1"/>
        <v/>
      </c>
      <c r="G239" s="195" t="str">
        <f t="shared" si="2"/>
        <v/>
      </c>
    </row>
    <row r="240" ht="15.75" customHeight="1">
      <c r="A240" s="190"/>
      <c r="B240" s="191"/>
      <c r="C240" s="192"/>
      <c r="D240" s="193"/>
      <c r="E240" s="193"/>
      <c r="F240" s="194" t="str">
        <f t="shared" si="1"/>
        <v/>
      </c>
      <c r="G240" s="195" t="str">
        <f t="shared" si="2"/>
        <v/>
      </c>
    </row>
    <row r="241" ht="15.75" customHeight="1">
      <c r="A241" s="190"/>
      <c r="B241" s="191" t="s">
        <v>141</v>
      </c>
      <c r="C241" s="192"/>
      <c r="D241" s="193"/>
      <c r="E241" s="193"/>
      <c r="F241" s="194" t="str">
        <f t="shared" si="1"/>
        <v/>
      </c>
      <c r="G241" s="195" t="str">
        <f t="shared" si="2"/>
        <v/>
      </c>
    </row>
    <row r="242" ht="15.75" customHeight="1">
      <c r="A242" s="190"/>
      <c r="B242" s="191" t="s">
        <v>287</v>
      </c>
      <c r="C242" s="192"/>
      <c r="D242" s="193"/>
      <c r="E242" s="193"/>
      <c r="F242" s="194" t="str">
        <f t="shared" si="1"/>
        <v/>
      </c>
      <c r="G242" s="195" t="str">
        <f t="shared" si="2"/>
        <v/>
      </c>
    </row>
    <row r="243" ht="15.75" customHeight="1">
      <c r="A243" s="190"/>
      <c r="B243" s="191"/>
      <c r="C243" s="192"/>
      <c r="D243" s="193"/>
      <c r="E243" s="193"/>
      <c r="F243" s="194" t="str">
        <f t="shared" si="1"/>
        <v/>
      </c>
      <c r="G243" s="195" t="str">
        <f t="shared" si="2"/>
        <v/>
      </c>
    </row>
    <row r="244" ht="15.75" customHeight="1">
      <c r="A244" s="190"/>
      <c r="B244" s="191" t="s">
        <v>213</v>
      </c>
      <c r="C244" s="192"/>
      <c r="D244" s="193"/>
      <c r="E244" s="193"/>
      <c r="F244" s="194" t="str">
        <f t="shared" si="1"/>
        <v/>
      </c>
      <c r="G244" s="195" t="str">
        <f t="shared" si="2"/>
        <v/>
      </c>
    </row>
    <row r="245" ht="15.75" customHeight="1">
      <c r="A245" s="190"/>
      <c r="B245" s="191" t="s">
        <v>288</v>
      </c>
      <c r="C245" s="192"/>
      <c r="D245" s="193"/>
      <c r="E245" s="193"/>
      <c r="F245" s="194" t="str">
        <f t="shared" si="1"/>
        <v/>
      </c>
      <c r="G245" s="195" t="str">
        <f t="shared" si="2"/>
        <v/>
      </c>
    </row>
    <row r="246" ht="15.75" customHeight="1">
      <c r="A246" s="197" t="s">
        <v>289</v>
      </c>
      <c r="B246" s="197"/>
      <c r="C246" s="197"/>
      <c r="D246" s="198"/>
      <c r="E246" s="198"/>
      <c r="F246" s="194" t="str">
        <f t="shared" si="1"/>
        <v/>
      </c>
      <c r="G246" s="195" t="str">
        <f t="shared" si="2"/>
        <v/>
      </c>
    </row>
    <row r="247" ht="15.75" customHeight="1">
      <c r="A247" s="197" t="s">
        <v>290</v>
      </c>
      <c r="B247" s="197"/>
      <c r="C247" s="197"/>
      <c r="D247" s="198"/>
      <c r="E247" s="198"/>
      <c r="F247" s="194" t="str">
        <f t="shared" si="1"/>
        <v/>
      </c>
      <c r="G247" s="195" t="str">
        <f t="shared" si="2"/>
        <v/>
      </c>
    </row>
    <row r="248" ht="15.75" customHeight="1">
      <c r="A248" s="190" t="s">
        <v>143</v>
      </c>
      <c r="B248" s="191" t="s">
        <v>101</v>
      </c>
      <c r="C248" s="192"/>
      <c r="D248" s="193"/>
      <c r="E248" s="193"/>
      <c r="F248" s="194" t="str">
        <f t="shared" si="1"/>
        <v/>
      </c>
      <c r="G248" s="195" t="str">
        <f t="shared" si="2"/>
        <v/>
      </c>
    </row>
    <row r="249" ht="15.75" customHeight="1">
      <c r="A249" s="190"/>
      <c r="B249" s="191"/>
      <c r="C249" s="192"/>
      <c r="D249" s="193"/>
      <c r="E249" s="193"/>
      <c r="F249" s="194" t="str">
        <f t="shared" si="1"/>
        <v/>
      </c>
      <c r="G249" s="195" t="str">
        <f t="shared" si="2"/>
        <v/>
      </c>
    </row>
    <row r="250" ht="15.75" customHeight="1">
      <c r="A250" s="190"/>
      <c r="B250" s="191" t="s">
        <v>291</v>
      </c>
      <c r="C250" s="192"/>
      <c r="D250" s="193"/>
      <c r="E250" s="193"/>
      <c r="F250" s="194" t="str">
        <f t="shared" si="1"/>
        <v/>
      </c>
      <c r="G250" s="195" t="str">
        <f t="shared" si="2"/>
        <v/>
      </c>
    </row>
    <row r="251" ht="15.75" customHeight="1">
      <c r="A251" s="190"/>
      <c r="B251" s="191"/>
      <c r="C251" s="192"/>
      <c r="D251" s="193"/>
      <c r="E251" s="193"/>
      <c r="F251" s="194" t="str">
        <f t="shared" si="1"/>
        <v/>
      </c>
      <c r="G251" s="195" t="str">
        <f t="shared" si="2"/>
        <v/>
      </c>
    </row>
    <row r="252" ht="15.75" customHeight="1">
      <c r="A252" s="190"/>
      <c r="B252" s="191"/>
      <c r="C252" s="192"/>
      <c r="D252" s="193"/>
      <c r="E252" s="193"/>
      <c r="F252" s="194" t="str">
        <f t="shared" si="1"/>
        <v/>
      </c>
      <c r="G252" s="195" t="str">
        <f t="shared" si="2"/>
        <v/>
      </c>
    </row>
    <row r="253" ht="15.75" customHeight="1">
      <c r="A253" s="190"/>
      <c r="B253" s="191"/>
      <c r="C253" s="192"/>
      <c r="D253" s="193"/>
      <c r="E253" s="193"/>
      <c r="F253" s="194" t="str">
        <f t="shared" si="1"/>
        <v/>
      </c>
      <c r="G253" s="195" t="str">
        <f t="shared" si="2"/>
        <v/>
      </c>
    </row>
    <row r="254" ht="15.75" customHeight="1">
      <c r="A254" s="190"/>
      <c r="B254" s="191"/>
      <c r="C254" s="192"/>
      <c r="D254" s="193"/>
      <c r="E254" s="193"/>
      <c r="F254" s="194" t="str">
        <f t="shared" si="1"/>
        <v/>
      </c>
      <c r="G254" s="195" t="str">
        <f t="shared" si="2"/>
        <v/>
      </c>
    </row>
    <row r="255" ht="15.75" customHeight="1">
      <c r="A255" s="190"/>
      <c r="B255" s="191" t="s">
        <v>125</v>
      </c>
      <c r="C255" s="192"/>
      <c r="D255" s="193"/>
      <c r="E255" s="193"/>
      <c r="F255" s="194" t="str">
        <f t="shared" si="1"/>
        <v/>
      </c>
      <c r="G255" s="195" t="str">
        <f t="shared" si="2"/>
        <v/>
      </c>
    </row>
    <row r="256" ht="15.75" customHeight="1">
      <c r="A256" s="190"/>
      <c r="B256" s="191"/>
      <c r="C256" s="192"/>
      <c r="D256" s="193"/>
      <c r="E256" s="193"/>
      <c r="F256" s="194" t="str">
        <f t="shared" si="1"/>
        <v/>
      </c>
      <c r="G256" s="195" t="str">
        <f t="shared" si="2"/>
        <v/>
      </c>
    </row>
    <row r="257" ht="15.75" customHeight="1">
      <c r="A257" s="190"/>
      <c r="B257" s="191"/>
      <c r="C257" s="192"/>
      <c r="D257" s="193"/>
      <c r="E257" s="193"/>
      <c r="F257" s="194" t="str">
        <f t="shared" si="1"/>
        <v/>
      </c>
      <c r="G257" s="195" t="str">
        <f t="shared" si="2"/>
        <v/>
      </c>
    </row>
    <row r="258" ht="15.75" customHeight="1">
      <c r="A258" s="190"/>
      <c r="B258" s="191"/>
      <c r="C258" s="192"/>
      <c r="D258" s="193"/>
      <c r="E258" s="193"/>
      <c r="F258" s="194" t="str">
        <f t="shared" si="1"/>
        <v/>
      </c>
      <c r="G258" s="195" t="str">
        <f t="shared" si="2"/>
        <v/>
      </c>
    </row>
    <row r="259" ht="15.75" customHeight="1">
      <c r="A259" s="190"/>
      <c r="B259" s="191" t="s">
        <v>292</v>
      </c>
      <c r="C259" s="192"/>
      <c r="D259" s="193"/>
      <c r="E259" s="193"/>
      <c r="F259" s="194" t="str">
        <f t="shared" si="1"/>
        <v/>
      </c>
      <c r="G259" s="195" t="str">
        <f t="shared" si="2"/>
        <v/>
      </c>
    </row>
    <row r="260" ht="15.75" customHeight="1">
      <c r="A260" s="190" t="s">
        <v>293</v>
      </c>
      <c r="B260" s="191" t="s">
        <v>230</v>
      </c>
      <c r="C260" s="192"/>
      <c r="D260" s="193"/>
      <c r="E260" s="193"/>
      <c r="F260" s="194" t="str">
        <f t="shared" si="1"/>
        <v/>
      </c>
      <c r="G260" s="195" t="str">
        <f t="shared" si="2"/>
        <v/>
      </c>
    </row>
    <row r="261" ht="15.75" customHeight="1">
      <c r="A261" s="190" t="s">
        <v>294</v>
      </c>
      <c r="B261" s="191" t="s">
        <v>295</v>
      </c>
      <c r="C261" s="192"/>
      <c r="D261" s="193"/>
      <c r="E261" s="193"/>
      <c r="F261" s="194" t="str">
        <f t="shared" si="1"/>
        <v/>
      </c>
      <c r="G261" s="195" t="str">
        <f t="shared" si="2"/>
        <v/>
      </c>
    </row>
    <row r="262" ht="15.75" customHeight="1">
      <c r="A262" s="190"/>
      <c r="B262" s="191" t="s">
        <v>296</v>
      </c>
      <c r="C262" s="192"/>
      <c r="D262" s="193"/>
      <c r="E262" s="193"/>
      <c r="F262" s="194" t="str">
        <f t="shared" si="1"/>
        <v/>
      </c>
      <c r="G262" s="195" t="str">
        <f t="shared" si="2"/>
        <v/>
      </c>
    </row>
    <row r="263" ht="15.75" customHeight="1">
      <c r="A263" s="190" t="s">
        <v>158</v>
      </c>
      <c r="B263" s="191" t="s">
        <v>297</v>
      </c>
      <c r="C263" s="192"/>
      <c r="D263" s="193"/>
      <c r="E263" s="193"/>
      <c r="F263" s="194" t="str">
        <f t="shared" si="1"/>
        <v/>
      </c>
      <c r="G263" s="195" t="str">
        <f t="shared" si="2"/>
        <v/>
      </c>
    </row>
    <row r="264" ht="15.75" customHeight="1">
      <c r="A264" s="190"/>
      <c r="B264" s="191" t="s">
        <v>79</v>
      </c>
      <c r="C264" s="192"/>
      <c r="D264" s="193"/>
      <c r="E264" s="193"/>
      <c r="F264" s="194" t="str">
        <f t="shared" si="1"/>
        <v/>
      </c>
      <c r="G264" s="195" t="str">
        <f t="shared" si="2"/>
        <v/>
      </c>
    </row>
    <row r="265" ht="15.75" customHeight="1">
      <c r="A265" s="190"/>
      <c r="B265" s="191" t="s">
        <v>73</v>
      </c>
      <c r="C265" s="192"/>
      <c r="D265" s="193"/>
      <c r="E265" s="193"/>
      <c r="F265" s="194" t="str">
        <f t="shared" si="1"/>
        <v/>
      </c>
      <c r="G265" s="195" t="str">
        <f t="shared" si="2"/>
        <v/>
      </c>
    </row>
    <row r="266" ht="15.75" customHeight="1">
      <c r="A266" s="190"/>
      <c r="B266" s="191"/>
      <c r="C266" s="192"/>
      <c r="D266" s="193"/>
      <c r="E266" s="193"/>
      <c r="F266" s="194" t="str">
        <f t="shared" si="1"/>
        <v/>
      </c>
      <c r="G266" s="195" t="str">
        <f t="shared" si="2"/>
        <v/>
      </c>
    </row>
    <row r="267" ht="15.75" customHeight="1">
      <c r="A267" s="190"/>
      <c r="B267" s="191" t="s">
        <v>298</v>
      </c>
      <c r="C267" s="192"/>
      <c r="D267" s="193"/>
      <c r="E267" s="193"/>
      <c r="F267" s="194" t="str">
        <f t="shared" si="1"/>
        <v/>
      </c>
      <c r="G267" s="195" t="str">
        <f t="shared" si="2"/>
        <v/>
      </c>
    </row>
    <row r="268" ht="15.75" customHeight="1">
      <c r="A268" s="190"/>
      <c r="B268" s="191" t="s">
        <v>86</v>
      </c>
      <c r="C268" s="192"/>
      <c r="D268" s="193"/>
      <c r="E268" s="193"/>
      <c r="F268" s="194" t="str">
        <f t="shared" si="1"/>
        <v/>
      </c>
      <c r="G268" s="195" t="str">
        <f t="shared" si="2"/>
        <v/>
      </c>
    </row>
    <row r="269" ht="15.75" customHeight="1">
      <c r="A269" s="190"/>
      <c r="B269" s="191" t="s">
        <v>299</v>
      </c>
      <c r="C269" s="192"/>
      <c r="D269" s="193"/>
      <c r="E269" s="193"/>
      <c r="F269" s="194" t="str">
        <f t="shared" si="1"/>
        <v/>
      </c>
      <c r="G269" s="195" t="str">
        <f t="shared" si="2"/>
        <v/>
      </c>
    </row>
    <row r="270" ht="15.75" customHeight="1">
      <c r="A270" s="190"/>
      <c r="B270" s="191" t="s">
        <v>300</v>
      </c>
      <c r="C270" s="192"/>
      <c r="D270" s="193"/>
      <c r="E270" s="193"/>
      <c r="F270" s="194" t="str">
        <f t="shared" si="1"/>
        <v/>
      </c>
      <c r="G270" s="195" t="str">
        <f t="shared" si="2"/>
        <v/>
      </c>
    </row>
    <row r="271" ht="15.75" customHeight="1">
      <c r="A271" s="190" t="s">
        <v>301</v>
      </c>
      <c r="B271" s="191" t="s">
        <v>86</v>
      </c>
      <c r="C271" s="192"/>
      <c r="D271" s="193"/>
      <c r="E271" s="193"/>
      <c r="F271" s="194" t="str">
        <f t="shared" si="1"/>
        <v/>
      </c>
      <c r="G271" s="195" t="str">
        <f t="shared" si="2"/>
        <v/>
      </c>
    </row>
    <row r="272" ht="15.75" customHeight="1">
      <c r="A272" s="190" t="s">
        <v>302</v>
      </c>
      <c r="B272" s="191" t="s">
        <v>125</v>
      </c>
      <c r="C272" s="192"/>
      <c r="D272" s="193"/>
      <c r="E272" s="193"/>
      <c r="F272" s="194" t="str">
        <f t="shared" si="1"/>
        <v/>
      </c>
      <c r="G272" s="195" t="str">
        <f t="shared" si="2"/>
        <v/>
      </c>
    </row>
    <row r="273" ht="15.75" customHeight="1">
      <c r="A273" s="190"/>
      <c r="B273" s="191"/>
      <c r="C273" s="192"/>
      <c r="D273" s="193"/>
      <c r="E273" s="193"/>
      <c r="F273" s="194" t="str">
        <f t="shared" si="1"/>
        <v/>
      </c>
      <c r="G273" s="195" t="str">
        <f t="shared" si="2"/>
        <v/>
      </c>
    </row>
    <row r="274" ht="15.75" customHeight="1">
      <c r="A274" s="190"/>
      <c r="B274" s="191" t="s">
        <v>303</v>
      </c>
      <c r="C274" s="192"/>
      <c r="D274" s="193"/>
      <c r="E274" s="193"/>
      <c r="F274" s="194" t="str">
        <f t="shared" si="1"/>
        <v/>
      </c>
      <c r="G274" s="195" t="str">
        <f t="shared" si="2"/>
        <v/>
      </c>
    </row>
    <row r="275" ht="15.75" customHeight="1">
      <c r="A275" s="190" t="s">
        <v>304</v>
      </c>
      <c r="B275" s="199" t="s">
        <v>305</v>
      </c>
      <c r="C275" s="192"/>
      <c r="D275" s="193"/>
      <c r="E275" s="193"/>
      <c r="F275" s="194" t="str">
        <f t="shared" si="1"/>
        <v/>
      </c>
      <c r="G275" s="195" t="str">
        <f t="shared" si="2"/>
        <v/>
      </c>
    </row>
    <row r="276" ht="15.75" customHeight="1">
      <c r="A276" s="190" t="s">
        <v>135</v>
      </c>
      <c r="B276" s="191" t="s">
        <v>101</v>
      </c>
      <c r="C276" s="192"/>
      <c r="D276" s="193"/>
      <c r="E276" s="193"/>
      <c r="F276" s="194" t="str">
        <f t="shared" si="1"/>
        <v/>
      </c>
      <c r="G276" s="195" t="str">
        <f t="shared" si="2"/>
        <v/>
      </c>
    </row>
    <row r="277" ht="15.75" customHeight="1">
      <c r="A277" s="190"/>
      <c r="B277" s="191"/>
      <c r="C277" s="192"/>
      <c r="D277" s="193"/>
      <c r="E277" s="193"/>
      <c r="F277" s="194" t="str">
        <f t="shared" si="1"/>
        <v/>
      </c>
      <c r="G277" s="195" t="str">
        <f t="shared" si="2"/>
        <v/>
      </c>
    </row>
    <row r="278" ht="15.75" customHeight="1">
      <c r="A278" s="190" t="s">
        <v>306</v>
      </c>
      <c r="B278" s="191" t="s">
        <v>219</v>
      </c>
      <c r="C278" s="192"/>
      <c r="D278" s="193"/>
      <c r="E278" s="193"/>
      <c r="F278" s="194" t="str">
        <f t="shared" si="1"/>
        <v/>
      </c>
      <c r="G278" s="195" t="str">
        <f t="shared" si="2"/>
        <v/>
      </c>
    </row>
    <row r="279" ht="15.75" customHeight="1">
      <c r="A279" s="190" t="s">
        <v>307</v>
      </c>
      <c r="B279" s="191" t="s">
        <v>73</v>
      </c>
      <c r="C279" s="192"/>
      <c r="D279" s="193"/>
      <c r="E279" s="193"/>
      <c r="F279" s="194" t="str">
        <f t="shared" si="1"/>
        <v/>
      </c>
      <c r="G279" s="195" t="str">
        <f t="shared" si="2"/>
        <v/>
      </c>
    </row>
    <row r="280" ht="15.75" customHeight="1">
      <c r="A280" s="190"/>
      <c r="B280" s="191" t="s">
        <v>308</v>
      </c>
      <c r="C280" s="192"/>
      <c r="D280" s="193"/>
      <c r="E280" s="193"/>
      <c r="F280" s="194" t="str">
        <f t="shared" si="1"/>
        <v/>
      </c>
      <c r="G280" s="195" t="str">
        <f t="shared" si="2"/>
        <v/>
      </c>
    </row>
    <row r="281" ht="15.75" customHeight="1">
      <c r="A281" s="190"/>
      <c r="B281" s="191" t="s">
        <v>309</v>
      </c>
      <c r="C281" s="192"/>
      <c r="D281" s="193"/>
      <c r="E281" s="193"/>
      <c r="F281" s="194" t="str">
        <f t="shared" si="1"/>
        <v/>
      </c>
      <c r="G281" s="195" t="str">
        <f t="shared" si="2"/>
        <v/>
      </c>
    </row>
    <row r="282" ht="15.75" customHeight="1">
      <c r="A282" s="190"/>
      <c r="B282" s="191"/>
      <c r="C282" s="192"/>
      <c r="D282" s="193"/>
      <c r="E282" s="193"/>
      <c r="F282" s="194" t="str">
        <f t="shared" si="1"/>
        <v/>
      </c>
      <c r="G282" s="195" t="str">
        <f t="shared" si="2"/>
        <v/>
      </c>
    </row>
    <row r="283" ht="15.75" customHeight="1">
      <c r="A283" s="190" t="s">
        <v>310</v>
      </c>
      <c r="B283" s="199" t="s">
        <v>311</v>
      </c>
      <c r="C283" s="192"/>
      <c r="D283" s="193"/>
      <c r="E283" s="193"/>
      <c r="F283" s="194" t="str">
        <f t="shared" si="1"/>
        <v/>
      </c>
      <c r="G283" s="195" t="str">
        <f t="shared" si="2"/>
        <v/>
      </c>
    </row>
    <row r="284" ht="15.75" customHeight="1">
      <c r="A284" s="190"/>
      <c r="B284" s="199" t="s">
        <v>201</v>
      </c>
      <c r="C284" s="192"/>
      <c r="D284" s="193"/>
      <c r="E284" s="193"/>
      <c r="F284" s="194" t="str">
        <f t="shared" si="1"/>
        <v/>
      </c>
      <c r="G284" s="195" t="str">
        <f t="shared" si="2"/>
        <v/>
      </c>
    </row>
    <row r="285" ht="15.75" customHeight="1">
      <c r="A285" s="190" t="s">
        <v>111</v>
      </c>
      <c r="B285" s="191" t="s">
        <v>312</v>
      </c>
      <c r="C285" s="192"/>
      <c r="D285" s="193"/>
      <c r="E285" s="193"/>
      <c r="F285" s="194" t="str">
        <f t="shared" si="1"/>
        <v/>
      </c>
      <c r="G285" s="195" t="str">
        <f t="shared" si="2"/>
        <v/>
      </c>
    </row>
    <row r="286" ht="15.75" customHeight="1">
      <c r="A286" s="190"/>
      <c r="B286" s="191" t="s">
        <v>144</v>
      </c>
      <c r="C286" s="192"/>
      <c r="D286" s="193"/>
      <c r="E286" s="193"/>
      <c r="F286" s="194" t="str">
        <f t="shared" si="1"/>
        <v/>
      </c>
      <c r="G286" s="195" t="str">
        <f t="shared" si="2"/>
        <v/>
      </c>
    </row>
    <row r="287" ht="15.75" customHeight="1">
      <c r="A287" s="190" t="s">
        <v>313</v>
      </c>
      <c r="B287" s="191" t="s">
        <v>115</v>
      </c>
      <c r="C287" s="192"/>
      <c r="D287" s="193"/>
      <c r="E287" s="193"/>
      <c r="F287" s="194" t="str">
        <f t="shared" si="1"/>
        <v/>
      </c>
      <c r="G287" s="195" t="str">
        <f t="shared" si="2"/>
        <v/>
      </c>
    </row>
    <row r="288" ht="15.75" customHeight="1">
      <c r="A288" s="190"/>
      <c r="B288" s="191"/>
      <c r="C288" s="192"/>
      <c r="D288" s="193"/>
      <c r="E288" s="193"/>
      <c r="F288" s="194" t="str">
        <f t="shared" si="1"/>
        <v/>
      </c>
      <c r="G288" s="195" t="str">
        <f t="shared" si="2"/>
        <v/>
      </c>
    </row>
    <row r="289" ht="15.75" customHeight="1">
      <c r="A289" s="190"/>
      <c r="B289" s="191" t="s">
        <v>101</v>
      </c>
      <c r="C289" s="192"/>
      <c r="D289" s="193"/>
      <c r="E289" s="193"/>
      <c r="F289" s="194" t="str">
        <f t="shared" si="1"/>
        <v/>
      </c>
      <c r="G289" s="195" t="str">
        <f t="shared" si="2"/>
        <v/>
      </c>
    </row>
    <row r="290" ht="15.75" customHeight="1">
      <c r="A290" s="190"/>
      <c r="B290" s="191" t="s">
        <v>314</v>
      </c>
      <c r="C290" s="192"/>
      <c r="D290" s="193"/>
      <c r="E290" s="193"/>
      <c r="F290" s="194" t="str">
        <f t="shared" si="1"/>
        <v/>
      </c>
      <c r="G290" s="195" t="str">
        <f t="shared" si="2"/>
        <v/>
      </c>
    </row>
    <row r="291" ht="15.75" customHeight="1">
      <c r="A291" s="190"/>
      <c r="B291" s="191" t="s">
        <v>315</v>
      </c>
      <c r="C291" s="192"/>
      <c r="D291" s="193"/>
      <c r="E291" s="193"/>
      <c r="F291" s="194" t="str">
        <f t="shared" si="1"/>
        <v/>
      </c>
      <c r="G291" s="195" t="str">
        <f t="shared" si="2"/>
        <v/>
      </c>
    </row>
    <row r="292" ht="15.75" customHeight="1">
      <c r="A292" s="190"/>
      <c r="B292" s="191" t="s">
        <v>79</v>
      </c>
      <c r="C292" s="192"/>
      <c r="D292" s="193"/>
      <c r="E292" s="193"/>
      <c r="F292" s="194" t="str">
        <f t="shared" si="1"/>
        <v/>
      </c>
      <c r="G292" s="195" t="str">
        <f t="shared" si="2"/>
        <v/>
      </c>
    </row>
    <row r="293" ht="15.75" customHeight="1">
      <c r="A293" s="190"/>
      <c r="B293" s="191"/>
      <c r="C293" s="192"/>
      <c r="D293" s="193"/>
      <c r="E293" s="193"/>
      <c r="F293" s="194" t="str">
        <f t="shared" si="1"/>
        <v/>
      </c>
      <c r="G293" s="195" t="str">
        <f t="shared" si="2"/>
        <v/>
      </c>
    </row>
    <row r="294" ht="15.75" customHeight="1">
      <c r="A294" s="190"/>
      <c r="B294" s="191" t="s">
        <v>235</v>
      </c>
      <c r="C294" s="192"/>
      <c r="D294" s="193"/>
      <c r="E294" s="193"/>
      <c r="F294" s="194" t="str">
        <f t="shared" si="1"/>
        <v/>
      </c>
      <c r="G294" s="195" t="str">
        <f t="shared" si="2"/>
        <v/>
      </c>
    </row>
    <row r="295" ht="15.75" customHeight="1">
      <c r="A295" s="190" t="s">
        <v>316</v>
      </c>
      <c r="B295" s="199" t="s">
        <v>317</v>
      </c>
      <c r="C295" s="192"/>
      <c r="D295" s="193"/>
      <c r="E295" s="193"/>
      <c r="F295" s="194" t="str">
        <f t="shared" si="1"/>
        <v/>
      </c>
      <c r="G295" s="195" t="str">
        <f t="shared" si="2"/>
        <v/>
      </c>
    </row>
    <row r="296" ht="15.75" customHeight="1">
      <c r="A296" s="190" t="s">
        <v>122</v>
      </c>
      <c r="B296" s="191" t="s">
        <v>318</v>
      </c>
      <c r="C296" s="192"/>
      <c r="D296" s="193"/>
      <c r="E296" s="193"/>
      <c r="F296" s="194" t="str">
        <f t="shared" si="1"/>
        <v/>
      </c>
      <c r="G296" s="195" t="str">
        <f t="shared" si="2"/>
        <v/>
      </c>
    </row>
    <row r="297" ht="15.75" customHeight="1">
      <c r="A297" s="190"/>
      <c r="B297" s="191" t="s">
        <v>319</v>
      </c>
      <c r="C297" s="192"/>
      <c r="D297" s="193"/>
      <c r="E297" s="193"/>
      <c r="F297" s="194" t="str">
        <f t="shared" si="1"/>
        <v/>
      </c>
      <c r="G297" s="195" t="str">
        <f t="shared" si="2"/>
        <v/>
      </c>
    </row>
    <row r="298" ht="15.75" customHeight="1">
      <c r="A298" s="190"/>
      <c r="B298" s="191"/>
      <c r="C298" s="192"/>
      <c r="D298" s="193"/>
      <c r="E298" s="193"/>
      <c r="F298" s="194" t="str">
        <f t="shared" si="1"/>
        <v/>
      </c>
      <c r="G298" s="195" t="str">
        <f t="shared" si="2"/>
        <v/>
      </c>
    </row>
    <row r="299" ht="15.75" customHeight="1">
      <c r="A299" s="190"/>
      <c r="B299" s="191"/>
      <c r="C299" s="192"/>
      <c r="D299" s="193"/>
      <c r="E299" s="193"/>
      <c r="F299" s="194" t="str">
        <f t="shared" si="1"/>
        <v/>
      </c>
      <c r="G299" s="195" t="str">
        <f t="shared" si="2"/>
        <v/>
      </c>
    </row>
    <row r="300" ht="15.75" customHeight="1">
      <c r="A300" s="190"/>
      <c r="B300" s="191"/>
      <c r="C300" s="192"/>
      <c r="D300" s="193"/>
      <c r="E300" s="193"/>
      <c r="F300" s="194" t="str">
        <f t="shared" si="1"/>
        <v/>
      </c>
      <c r="G300" s="195" t="str">
        <f t="shared" si="2"/>
        <v/>
      </c>
    </row>
    <row r="301" ht="15.75" customHeight="1">
      <c r="A301" s="190"/>
      <c r="B301" s="191"/>
      <c r="C301" s="192"/>
      <c r="D301" s="193"/>
      <c r="E301" s="193"/>
      <c r="F301" s="194" t="str">
        <f t="shared" si="1"/>
        <v/>
      </c>
      <c r="G301" s="195" t="str">
        <f t="shared" si="2"/>
        <v/>
      </c>
    </row>
    <row r="302" ht="15.75" customHeight="1">
      <c r="A302" s="190"/>
      <c r="B302" s="191"/>
      <c r="C302" s="192"/>
      <c r="D302" s="193"/>
      <c r="E302" s="193"/>
      <c r="F302" s="194" t="str">
        <f t="shared" si="1"/>
        <v/>
      </c>
      <c r="G302" s="195" t="str">
        <f t="shared" si="2"/>
        <v/>
      </c>
    </row>
    <row r="303" ht="15.75" customHeight="1">
      <c r="A303" s="190"/>
      <c r="B303" s="191"/>
      <c r="C303" s="192"/>
      <c r="D303" s="193"/>
      <c r="E303" s="193"/>
      <c r="F303" s="194" t="str">
        <f t="shared" si="1"/>
        <v/>
      </c>
      <c r="G303" s="195" t="str">
        <f t="shared" si="2"/>
        <v/>
      </c>
    </row>
    <row r="304" ht="15.75" customHeight="1">
      <c r="A304" s="190"/>
      <c r="B304" s="191"/>
      <c r="C304" s="192"/>
      <c r="D304" s="193"/>
      <c r="E304" s="193"/>
      <c r="F304" s="194" t="str">
        <f t="shared" si="1"/>
        <v/>
      </c>
      <c r="G304" s="195" t="str">
        <f t="shared" si="2"/>
        <v/>
      </c>
    </row>
    <row r="305" ht="15.75" customHeight="1">
      <c r="A305" s="190"/>
      <c r="B305" s="191" t="s">
        <v>320</v>
      </c>
      <c r="C305" s="192"/>
      <c r="D305" s="193"/>
      <c r="E305" s="193"/>
      <c r="F305" s="194" t="str">
        <f t="shared" si="1"/>
        <v/>
      </c>
      <c r="G305" s="195" t="str">
        <f t="shared" si="2"/>
        <v/>
      </c>
    </row>
    <row r="306" ht="15.75" customHeight="1">
      <c r="A306" s="190"/>
      <c r="B306" s="191"/>
      <c r="C306" s="192"/>
      <c r="D306" s="193"/>
      <c r="E306" s="193"/>
      <c r="F306" s="194" t="str">
        <f t="shared" si="1"/>
        <v/>
      </c>
      <c r="G306" s="195" t="str">
        <f t="shared" si="2"/>
        <v/>
      </c>
    </row>
    <row r="307" ht="15.75" customHeight="1">
      <c r="A307" s="190" t="s">
        <v>321</v>
      </c>
      <c r="B307" s="191" t="s">
        <v>115</v>
      </c>
      <c r="C307" s="192"/>
      <c r="D307" s="193"/>
      <c r="E307" s="193"/>
      <c r="F307" s="194" t="str">
        <f t="shared" si="1"/>
        <v/>
      </c>
      <c r="G307" s="195" t="str">
        <f t="shared" si="2"/>
        <v/>
      </c>
    </row>
    <row r="308" ht="15.75" customHeight="1">
      <c r="A308" s="190"/>
      <c r="B308" s="191" t="s">
        <v>265</v>
      </c>
      <c r="C308" s="192"/>
      <c r="D308" s="193"/>
      <c r="E308" s="193"/>
      <c r="F308" s="194" t="str">
        <f t="shared" si="1"/>
        <v/>
      </c>
      <c r="G308" s="195" t="str">
        <f t="shared" si="2"/>
        <v/>
      </c>
    </row>
    <row r="309" ht="15.75" customHeight="1">
      <c r="A309" s="190" t="s">
        <v>322</v>
      </c>
      <c r="B309" s="191" t="s">
        <v>115</v>
      </c>
      <c r="C309" s="192"/>
      <c r="D309" s="193"/>
      <c r="E309" s="193"/>
      <c r="F309" s="194" t="str">
        <f t="shared" si="1"/>
        <v/>
      </c>
      <c r="G309" s="195" t="str">
        <f t="shared" si="2"/>
        <v/>
      </c>
    </row>
    <row r="310" ht="15.75" customHeight="1">
      <c r="A310" s="190"/>
      <c r="B310" s="191" t="s">
        <v>149</v>
      </c>
      <c r="C310" s="192"/>
      <c r="D310" s="193"/>
      <c r="E310" s="193"/>
      <c r="F310" s="194" t="str">
        <f t="shared" si="1"/>
        <v/>
      </c>
      <c r="G310" s="195" t="str">
        <f t="shared" si="2"/>
        <v/>
      </c>
    </row>
    <row r="311" ht="15.75" customHeight="1">
      <c r="A311" s="190" t="s">
        <v>323</v>
      </c>
      <c r="B311" s="191" t="s">
        <v>324</v>
      </c>
      <c r="C311" s="192"/>
      <c r="D311" s="193"/>
      <c r="E311" s="193"/>
      <c r="F311" s="194" t="str">
        <f t="shared" si="1"/>
        <v/>
      </c>
      <c r="G311" s="195" t="str">
        <f t="shared" si="2"/>
        <v/>
      </c>
    </row>
    <row r="312" ht="15.75" customHeight="1">
      <c r="A312" s="190"/>
      <c r="B312" s="191" t="s">
        <v>318</v>
      </c>
      <c r="C312" s="192"/>
      <c r="D312" s="193"/>
      <c r="E312" s="193"/>
      <c r="F312" s="194" t="str">
        <f t="shared" si="1"/>
        <v/>
      </c>
      <c r="G312" s="195" t="str">
        <f t="shared" si="2"/>
        <v/>
      </c>
    </row>
    <row r="313" ht="15.75" customHeight="1">
      <c r="A313" s="190"/>
      <c r="B313" s="191" t="s">
        <v>79</v>
      </c>
      <c r="C313" s="192"/>
      <c r="D313" s="193"/>
      <c r="E313" s="193"/>
      <c r="F313" s="194" t="str">
        <f t="shared" si="1"/>
        <v/>
      </c>
      <c r="G313" s="195" t="str">
        <f t="shared" si="2"/>
        <v/>
      </c>
    </row>
    <row r="314" ht="15.75" customHeight="1">
      <c r="A314" s="190"/>
      <c r="B314" s="191" t="s">
        <v>149</v>
      </c>
      <c r="C314" s="192"/>
      <c r="D314" s="193"/>
      <c r="E314" s="193"/>
      <c r="F314" s="194" t="str">
        <f t="shared" si="1"/>
        <v/>
      </c>
      <c r="G314" s="195" t="str">
        <f t="shared" si="2"/>
        <v/>
      </c>
    </row>
    <row r="315" ht="15.75" customHeight="1">
      <c r="A315" s="190"/>
      <c r="B315" s="191" t="s">
        <v>325</v>
      </c>
      <c r="C315" s="192"/>
      <c r="D315" s="193"/>
      <c r="E315" s="193"/>
      <c r="F315" s="194" t="str">
        <f t="shared" si="1"/>
        <v/>
      </c>
      <c r="G315" s="195" t="str">
        <f t="shared" si="2"/>
        <v/>
      </c>
    </row>
    <row r="316" ht="15.75" customHeight="1">
      <c r="A316" s="190"/>
      <c r="B316" s="199" t="s">
        <v>317</v>
      </c>
      <c r="C316" s="192"/>
      <c r="D316" s="193"/>
      <c r="E316" s="193"/>
      <c r="F316" s="194" t="str">
        <f t="shared" si="1"/>
        <v/>
      </c>
      <c r="G316" s="195" t="str">
        <f t="shared" si="2"/>
        <v/>
      </c>
    </row>
    <row r="317" ht="15.75" customHeight="1">
      <c r="A317" s="190" t="s">
        <v>326</v>
      </c>
      <c r="B317" s="191" t="s">
        <v>327</v>
      </c>
      <c r="C317" s="192"/>
      <c r="D317" s="193"/>
      <c r="E317" s="193"/>
      <c r="F317" s="194" t="str">
        <f t="shared" si="1"/>
        <v/>
      </c>
      <c r="G317" s="195" t="str">
        <f t="shared" si="2"/>
        <v/>
      </c>
    </row>
    <row r="318" ht="15.75" customHeight="1">
      <c r="A318" s="190"/>
      <c r="B318" s="191" t="s">
        <v>141</v>
      </c>
      <c r="C318" s="192"/>
      <c r="D318" s="193"/>
      <c r="E318" s="193"/>
      <c r="F318" s="194" t="str">
        <f t="shared" si="1"/>
        <v/>
      </c>
      <c r="G318" s="195" t="str">
        <f t="shared" si="2"/>
        <v/>
      </c>
    </row>
    <row r="319" ht="15.75" customHeight="1">
      <c r="A319" s="190" t="s">
        <v>126</v>
      </c>
      <c r="B319" s="191" t="s">
        <v>79</v>
      </c>
      <c r="C319" s="192"/>
      <c r="D319" s="193"/>
      <c r="E319" s="193"/>
      <c r="F319" s="194" t="str">
        <f t="shared" si="1"/>
        <v/>
      </c>
      <c r="G319" s="195" t="str">
        <f t="shared" si="2"/>
        <v/>
      </c>
    </row>
    <row r="320" ht="15.75" customHeight="1">
      <c r="A320" s="190"/>
      <c r="B320" s="191" t="s">
        <v>127</v>
      </c>
      <c r="C320" s="192"/>
      <c r="D320" s="193"/>
      <c r="E320" s="193"/>
      <c r="F320" s="194" t="str">
        <f t="shared" si="1"/>
        <v/>
      </c>
      <c r="G320" s="195" t="str">
        <f t="shared" si="2"/>
        <v/>
      </c>
    </row>
    <row r="321" ht="15.75" customHeight="1">
      <c r="A321" s="190"/>
      <c r="B321" s="191"/>
      <c r="C321" s="192"/>
      <c r="D321" s="193"/>
      <c r="E321" s="193"/>
      <c r="F321" s="194" t="str">
        <f t="shared" si="1"/>
        <v/>
      </c>
      <c r="G321" s="195" t="str">
        <f t="shared" si="2"/>
        <v/>
      </c>
    </row>
    <row r="322" ht="15.75" customHeight="1">
      <c r="A322" s="190"/>
      <c r="B322" s="191"/>
      <c r="C322" s="192"/>
      <c r="D322" s="193"/>
      <c r="E322" s="193"/>
      <c r="F322" s="194" t="str">
        <f t="shared" si="1"/>
        <v/>
      </c>
      <c r="G322" s="195" t="str">
        <f t="shared" si="2"/>
        <v/>
      </c>
    </row>
    <row r="323" ht="15.75" customHeight="1">
      <c r="A323" s="190" t="s">
        <v>328</v>
      </c>
      <c r="B323" s="191" t="s">
        <v>73</v>
      </c>
      <c r="C323" s="192"/>
      <c r="D323" s="193"/>
      <c r="E323" s="193"/>
      <c r="F323" s="194" t="str">
        <f t="shared" si="1"/>
        <v/>
      </c>
      <c r="G323" s="195" t="str">
        <f t="shared" si="2"/>
        <v/>
      </c>
    </row>
    <row r="324" ht="15.75" customHeight="1">
      <c r="A324" s="190" t="s">
        <v>329</v>
      </c>
      <c r="B324" s="191" t="s">
        <v>101</v>
      </c>
      <c r="C324" s="192"/>
      <c r="D324" s="193"/>
      <c r="E324" s="193"/>
      <c r="F324" s="194" t="str">
        <f t="shared" si="1"/>
        <v/>
      </c>
      <c r="G324" s="195" t="str">
        <f t="shared" si="2"/>
        <v/>
      </c>
    </row>
    <row r="325" ht="15.75" customHeight="1">
      <c r="A325" s="190"/>
      <c r="B325" s="191"/>
      <c r="C325" s="192"/>
      <c r="D325" s="193"/>
      <c r="E325" s="193"/>
      <c r="F325" s="194" t="str">
        <f t="shared" si="1"/>
        <v/>
      </c>
      <c r="G325" s="195" t="str">
        <f t="shared" si="2"/>
        <v/>
      </c>
    </row>
    <row r="326" ht="15.75" customHeight="1">
      <c r="A326" s="190"/>
      <c r="B326" s="191" t="s">
        <v>73</v>
      </c>
      <c r="C326" s="192"/>
      <c r="D326" s="193"/>
      <c r="E326" s="193"/>
      <c r="F326" s="194" t="str">
        <f t="shared" si="1"/>
        <v/>
      </c>
      <c r="G326" s="195" t="str">
        <f t="shared" si="2"/>
        <v/>
      </c>
    </row>
    <row r="327" ht="15.75" customHeight="1">
      <c r="A327" s="190"/>
      <c r="B327" s="191"/>
      <c r="C327" s="192"/>
      <c r="D327" s="193"/>
      <c r="E327" s="193"/>
      <c r="F327" s="194" t="str">
        <f t="shared" si="1"/>
        <v/>
      </c>
      <c r="G327" s="195" t="str">
        <f t="shared" si="2"/>
        <v/>
      </c>
    </row>
    <row r="328" ht="15.75" customHeight="1">
      <c r="A328" s="190"/>
      <c r="B328" s="191" t="s">
        <v>330</v>
      </c>
      <c r="C328" s="192"/>
      <c r="D328" s="193"/>
      <c r="E328" s="193"/>
      <c r="F328" s="194" t="str">
        <f t="shared" si="1"/>
        <v/>
      </c>
      <c r="G328" s="195" t="str">
        <f t="shared" si="2"/>
        <v/>
      </c>
    </row>
    <row r="329" ht="15.75" customHeight="1">
      <c r="A329" s="190"/>
      <c r="B329" s="191"/>
      <c r="C329" s="192"/>
      <c r="D329" s="193"/>
      <c r="E329" s="193"/>
      <c r="F329" s="194" t="str">
        <f t="shared" si="1"/>
        <v/>
      </c>
      <c r="G329" s="195" t="str">
        <f t="shared" si="2"/>
        <v/>
      </c>
    </row>
    <row r="330" ht="15.75" customHeight="1">
      <c r="A330" s="190"/>
      <c r="B330" s="191"/>
      <c r="C330" s="192"/>
      <c r="D330" s="193"/>
      <c r="E330" s="193"/>
      <c r="F330" s="194" t="str">
        <f t="shared" si="1"/>
        <v/>
      </c>
      <c r="G330" s="195" t="str">
        <f t="shared" si="2"/>
        <v/>
      </c>
    </row>
    <row r="331" ht="15.75" customHeight="1">
      <c r="A331" s="190"/>
      <c r="B331" s="191"/>
      <c r="C331" s="192"/>
      <c r="D331" s="193"/>
      <c r="E331" s="193"/>
      <c r="F331" s="194" t="str">
        <f t="shared" si="1"/>
        <v/>
      </c>
      <c r="G331" s="195" t="str">
        <f t="shared" si="2"/>
        <v/>
      </c>
    </row>
    <row r="332" ht="15.75" customHeight="1">
      <c r="A332" s="190"/>
      <c r="B332" s="191" t="s">
        <v>331</v>
      </c>
      <c r="C332" s="192"/>
      <c r="D332" s="193"/>
      <c r="E332" s="193"/>
      <c r="F332" s="194" t="str">
        <f t="shared" si="1"/>
        <v/>
      </c>
      <c r="G332" s="195" t="str">
        <f t="shared" si="2"/>
        <v/>
      </c>
    </row>
    <row r="333" ht="15.75" customHeight="1">
      <c r="A333" s="190" t="s">
        <v>332</v>
      </c>
      <c r="B333" s="191" t="s">
        <v>73</v>
      </c>
      <c r="C333" s="192"/>
      <c r="D333" s="193"/>
      <c r="E333" s="193"/>
      <c r="F333" s="194" t="str">
        <f t="shared" si="1"/>
        <v/>
      </c>
      <c r="G333" s="195" t="str">
        <f t="shared" si="2"/>
        <v/>
      </c>
    </row>
    <row r="334" ht="15.75" customHeight="1">
      <c r="A334" s="190"/>
      <c r="B334" s="191"/>
      <c r="C334" s="192"/>
      <c r="D334" s="193"/>
      <c r="E334" s="193"/>
      <c r="F334" s="194" t="str">
        <f t="shared" si="1"/>
        <v/>
      </c>
      <c r="G334" s="195" t="str">
        <f t="shared" si="2"/>
        <v/>
      </c>
    </row>
    <row r="335" ht="15.75" customHeight="1">
      <c r="A335" s="190"/>
      <c r="B335" s="191" t="s">
        <v>86</v>
      </c>
      <c r="C335" s="192"/>
      <c r="D335" s="193"/>
      <c r="E335" s="193"/>
      <c r="F335" s="194" t="str">
        <f t="shared" si="1"/>
        <v/>
      </c>
      <c r="G335" s="195" t="str">
        <f t="shared" si="2"/>
        <v/>
      </c>
    </row>
    <row r="336" ht="15.75" customHeight="1">
      <c r="A336" s="190"/>
      <c r="B336" s="191" t="s">
        <v>197</v>
      </c>
      <c r="C336" s="192"/>
      <c r="D336" s="193"/>
      <c r="E336" s="193"/>
      <c r="F336" s="194" t="str">
        <f t="shared" si="1"/>
        <v/>
      </c>
      <c r="G336" s="195" t="str">
        <f t="shared" si="2"/>
        <v/>
      </c>
    </row>
    <row r="337" ht="15.75" customHeight="1">
      <c r="A337" s="190"/>
      <c r="B337" s="191" t="s">
        <v>333</v>
      </c>
      <c r="C337" s="192"/>
      <c r="D337" s="193"/>
      <c r="E337" s="193"/>
      <c r="F337" s="194" t="str">
        <f t="shared" si="1"/>
        <v/>
      </c>
      <c r="G337" s="195" t="str">
        <f t="shared" si="2"/>
        <v/>
      </c>
    </row>
    <row r="338" ht="15.75" customHeight="1">
      <c r="A338" s="190" t="s">
        <v>334</v>
      </c>
      <c r="B338" s="191" t="s">
        <v>335</v>
      </c>
      <c r="C338" s="192"/>
      <c r="D338" s="193"/>
      <c r="E338" s="193"/>
      <c r="F338" s="194" t="str">
        <f t="shared" si="1"/>
        <v/>
      </c>
      <c r="G338" s="195" t="str">
        <f t="shared" si="2"/>
        <v/>
      </c>
    </row>
    <row r="339" ht="15.75" customHeight="1">
      <c r="A339" s="190"/>
      <c r="B339" s="191" t="s">
        <v>149</v>
      </c>
      <c r="C339" s="192"/>
      <c r="D339" s="193"/>
      <c r="E339" s="193"/>
      <c r="F339" s="194" t="str">
        <f t="shared" si="1"/>
        <v/>
      </c>
      <c r="G339" s="195" t="str">
        <f t="shared" si="2"/>
        <v/>
      </c>
    </row>
    <row r="340" ht="15.75" customHeight="1">
      <c r="A340" s="190"/>
      <c r="B340" s="191"/>
      <c r="C340" s="192"/>
      <c r="D340" s="193"/>
      <c r="E340" s="193"/>
      <c r="F340" s="194" t="str">
        <f t="shared" si="1"/>
        <v/>
      </c>
      <c r="G340" s="195" t="str">
        <f t="shared" si="2"/>
        <v/>
      </c>
    </row>
    <row r="341" ht="15.75" customHeight="1">
      <c r="A341" s="190"/>
      <c r="B341" s="191" t="s">
        <v>219</v>
      </c>
      <c r="C341" s="192"/>
      <c r="D341" s="193"/>
      <c r="E341" s="193"/>
      <c r="F341" s="194" t="str">
        <f t="shared" si="1"/>
        <v/>
      </c>
      <c r="G341" s="195" t="str">
        <f t="shared" si="2"/>
        <v/>
      </c>
    </row>
    <row r="342" ht="15.75" customHeight="1">
      <c r="A342" s="190"/>
      <c r="B342" s="191"/>
      <c r="C342" s="192"/>
      <c r="D342" s="193"/>
      <c r="E342" s="193"/>
      <c r="F342" s="194" t="str">
        <f t="shared" si="1"/>
        <v/>
      </c>
      <c r="G342" s="195" t="str">
        <f t="shared" si="2"/>
        <v/>
      </c>
    </row>
    <row r="343" ht="15.75" customHeight="1">
      <c r="A343" s="190"/>
      <c r="B343" s="191" t="s">
        <v>141</v>
      </c>
      <c r="C343" s="192"/>
      <c r="D343" s="193"/>
      <c r="E343" s="193"/>
      <c r="F343" s="194" t="str">
        <f t="shared" si="1"/>
        <v/>
      </c>
      <c r="G343" s="195" t="str">
        <f t="shared" si="2"/>
        <v/>
      </c>
    </row>
    <row r="344" ht="15.75" customHeight="1">
      <c r="A344" s="190"/>
      <c r="B344" s="199" t="s">
        <v>131</v>
      </c>
      <c r="C344" s="192"/>
      <c r="D344" s="193"/>
      <c r="E344" s="193"/>
      <c r="F344" s="194" t="str">
        <f t="shared" si="1"/>
        <v/>
      </c>
      <c r="G344" s="195" t="str">
        <f t="shared" si="2"/>
        <v/>
      </c>
    </row>
    <row r="345" ht="15.75" customHeight="1">
      <c r="A345" s="190"/>
      <c r="B345" s="191"/>
      <c r="C345" s="192"/>
      <c r="D345" s="193"/>
      <c r="E345" s="193"/>
      <c r="F345" s="194" t="str">
        <f t="shared" si="1"/>
        <v/>
      </c>
      <c r="G345" s="195" t="str">
        <f t="shared" si="2"/>
        <v/>
      </c>
    </row>
    <row r="346" ht="15.75" customHeight="1">
      <c r="A346" s="190"/>
      <c r="B346" s="191"/>
      <c r="C346" s="192"/>
      <c r="D346" s="193"/>
      <c r="E346" s="193"/>
      <c r="F346" s="194" t="str">
        <f t="shared" si="1"/>
        <v/>
      </c>
      <c r="G346" s="195" t="str">
        <f t="shared" si="2"/>
        <v/>
      </c>
    </row>
    <row r="347" ht="15.75" customHeight="1">
      <c r="A347" s="190"/>
      <c r="B347" s="199" t="s">
        <v>154</v>
      </c>
      <c r="C347" s="192"/>
      <c r="D347" s="193"/>
      <c r="E347" s="193"/>
      <c r="F347" s="194" t="str">
        <f t="shared" si="1"/>
        <v/>
      </c>
      <c r="G347" s="195" t="str">
        <f t="shared" si="2"/>
        <v/>
      </c>
    </row>
    <row r="348" ht="15.75" customHeight="1">
      <c r="A348" s="190"/>
      <c r="B348" s="191"/>
      <c r="C348" s="192"/>
      <c r="D348" s="193"/>
      <c r="E348" s="193"/>
      <c r="F348" s="194" t="str">
        <f t="shared" si="1"/>
        <v/>
      </c>
      <c r="G348" s="195" t="str">
        <f t="shared" si="2"/>
        <v/>
      </c>
    </row>
    <row r="349" ht="15.75" customHeight="1">
      <c r="A349" s="190" t="s">
        <v>336</v>
      </c>
      <c r="B349" s="191" t="s">
        <v>337</v>
      </c>
      <c r="C349" s="192"/>
      <c r="D349" s="193"/>
      <c r="E349" s="193"/>
      <c r="F349" s="194" t="str">
        <f t="shared" si="1"/>
        <v/>
      </c>
      <c r="G349" s="195" t="str">
        <f t="shared" si="2"/>
        <v/>
      </c>
    </row>
    <row r="350" ht="15.75" customHeight="1">
      <c r="A350" s="190"/>
      <c r="B350" s="191" t="s">
        <v>338</v>
      </c>
      <c r="C350" s="192"/>
      <c r="D350" s="193"/>
      <c r="E350" s="193"/>
      <c r="F350" s="194" t="str">
        <f t="shared" si="1"/>
        <v/>
      </c>
      <c r="G350" s="195" t="str">
        <f t="shared" si="2"/>
        <v/>
      </c>
    </row>
    <row r="351" ht="15.75" customHeight="1">
      <c r="A351" s="190"/>
      <c r="B351" s="191" t="s">
        <v>149</v>
      </c>
      <c r="C351" s="192"/>
      <c r="D351" s="193"/>
      <c r="E351" s="193"/>
      <c r="F351" s="194" t="str">
        <f t="shared" si="1"/>
        <v/>
      </c>
      <c r="G351" s="195" t="str">
        <f t="shared" si="2"/>
        <v/>
      </c>
    </row>
    <row r="352" ht="15.75" customHeight="1">
      <c r="A352" s="190"/>
      <c r="B352" s="191" t="s">
        <v>210</v>
      </c>
      <c r="C352" s="192"/>
      <c r="D352" s="193"/>
      <c r="E352" s="193"/>
      <c r="F352" s="194" t="str">
        <f t="shared" si="1"/>
        <v/>
      </c>
      <c r="G352" s="195" t="str">
        <f t="shared" si="2"/>
        <v/>
      </c>
    </row>
  </sheetData>
  <conditionalFormatting sqref="G2:G352">
    <cfRule type="colorScale" priority="1">
      <colorScale>
        <cfvo type="percent" val="0"/>
        <cfvo type="percent" val="100"/>
        <color rgb="FFFF0000"/>
        <color rgb="FF57BB8A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97" t="str">
        <f>IFERROR(__xludf.DUMMYFUNCTION("QUERY(
 'Raw Data'!B:G,
 ""SELECT
   Col3,
   Col4,
   SUM(Col5),
   SUM(Col6),
   SUM(Col5)+SUM(Col6)
  WHERE Col3 IS NOT NULL
  GROUP BY Col3,Col4
  LABEL
   Col3 'Set',
   Col4 'Deck',
   SUM(Col5) 'Wins',
   SUM(Col6) 'Losses',
   SUM(Col5)+SUM(Col6) "&amp;"'Partidas'"",
 1
)"),"Set")</f>
        <v>Set</v>
      </c>
      <c r="B3" s="97" t="str">
        <f>IFERROR(__xludf.DUMMYFUNCTION("""COMPUTED_VALUE"""),"Deck")</f>
        <v>Deck</v>
      </c>
      <c r="C3" s="97" t="str">
        <f>IFERROR(__xludf.DUMMYFUNCTION("""COMPUTED_VALUE"""),"Wins")</f>
        <v>Wins</v>
      </c>
      <c r="D3" s="97" t="str">
        <f>IFERROR(__xludf.DUMMYFUNCTION("""COMPUTED_VALUE"""),"Losses")</f>
        <v>Losses</v>
      </c>
      <c r="E3" s="97" t="str">
        <f>IFERROR(__xludf.DUMMYFUNCTION("""COMPUTED_VALUE"""),"Partidas")</f>
        <v>Partidas</v>
      </c>
    </row>
    <row r="4">
      <c r="A4" s="97" t="str">
        <f>IFERROR(__xludf.DUMMYFUNCTION("""COMPUTED_VALUE"""),"5HY")</f>
        <v>5HY</v>
      </c>
      <c r="B4" s="97" t="str">
        <f>IFERROR(__xludf.DUMMYFUNCTION("""COMPUTED_VALUE"""),"Nino")</f>
        <v>Nino</v>
      </c>
      <c r="C4" s="97">
        <f>IFERROR(__xludf.DUMMYFUNCTION("""COMPUTED_VALUE"""),5.0)</f>
        <v>5</v>
      </c>
      <c r="D4" s="97">
        <f>IFERROR(__xludf.DUMMYFUNCTION("""COMPUTED_VALUE"""),4.0)</f>
        <v>4</v>
      </c>
      <c r="E4" s="97">
        <f>IFERROR(__xludf.DUMMYFUNCTION("""COMPUTED_VALUE"""),9.0)</f>
        <v>9</v>
      </c>
    </row>
    <row r="5">
      <c r="A5" s="97" t="str">
        <f>IFERROR(__xludf.DUMMYFUNCTION("""COMPUTED_VALUE"""),"?")</f>
        <v>?</v>
      </c>
      <c r="B5" s="97" t="str">
        <f>IFERROR(__xludf.DUMMYFUNCTION("""COMPUTED_VALUE"""),"?")</f>
        <v>?</v>
      </c>
      <c r="C5" s="97">
        <f>IFERROR(__xludf.DUMMYFUNCTION("""COMPUTED_VALUE"""),37.0)</f>
        <v>37</v>
      </c>
      <c r="D5" s="97">
        <f>IFERROR(__xludf.DUMMYFUNCTION("""COMPUTED_VALUE"""),50.0)</f>
        <v>50</v>
      </c>
      <c r="E5" s="97">
        <f>IFERROR(__xludf.DUMMYFUNCTION("""COMPUTED_VALUE"""),87.0)</f>
        <v>87</v>
      </c>
    </row>
    <row r="6">
      <c r="A6" s="97" t="str">
        <f>IFERROR(__xludf.DUMMYFUNCTION("""COMPUTED_VALUE"""),"ARI")</f>
        <v>ARI</v>
      </c>
      <c r="B6" s="97" t="str">
        <f>IFERROR(__xludf.DUMMYFUNCTION("""COMPUTED_VALUE"""),"2Soul Bar")</f>
        <v>2Soul Bar</v>
      </c>
      <c r="C6" s="97">
        <f>IFERROR(__xludf.DUMMYFUNCTION("""COMPUTED_VALUE"""),2.0)</f>
        <v>2</v>
      </c>
      <c r="D6" s="97">
        <f>IFERROR(__xludf.DUMMYFUNCTION("""COMPUTED_VALUE"""),2.0)</f>
        <v>2</v>
      </c>
      <c r="E6" s="97">
        <f>IFERROR(__xludf.DUMMYFUNCTION("""COMPUTED_VALUE"""),4.0)</f>
        <v>4</v>
      </c>
    </row>
    <row r="7">
      <c r="A7" s="97" t="str">
        <f>IFERROR(__xludf.DUMMYFUNCTION("""COMPUTED_VALUE"""),"AYT")</f>
        <v>AYT</v>
      </c>
      <c r="B7" s="97" t="str">
        <f>IFERROR(__xludf.DUMMYFUNCTION("""COMPUTED_VALUE"""),"8 Pants")</f>
        <v>8 Pants</v>
      </c>
      <c r="C7" s="97">
        <f>IFERROR(__xludf.DUMMYFUNCTION("""COMPUTED_VALUE"""),6.0)</f>
        <v>6</v>
      </c>
      <c r="D7" s="97">
        <f>IFERROR(__xludf.DUMMYFUNCTION("""COMPUTED_VALUE"""),2.0)</f>
        <v>2</v>
      </c>
      <c r="E7" s="97">
        <f>IFERROR(__xludf.DUMMYFUNCTION("""COMPUTED_VALUE"""),8.0)</f>
        <v>8</v>
      </c>
    </row>
    <row r="8">
      <c r="A8" s="97" t="str">
        <f>IFERROR(__xludf.DUMMYFUNCTION("""COMPUTED_VALUE"""),"AZL")</f>
        <v>AZL</v>
      </c>
      <c r="B8" s="97" t="str">
        <f>IFERROR(__xludf.DUMMYFUNCTION("""COMPUTED_VALUE"""),"6 Standby 2 Choice")</f>
        <v>6 Standby 2 Choice</v>
      </c>
      <c r="C8" s="97">
        <f>IFERROR(__xludf.DUMMYFUNCTION("""COMPUTED_VALUE"""),2.0)</f>
        <v>2</v>
      </c>
      <c r="D8" s="97">
        <f>IFERROR(__xludf.DUMMYFUNCTION("""COMPUTED_VALUE"""),3.0)</f>
        <v>3</v>
      </c>
      <c r="E8" s="97">
        <f>IFERROR(__xludf.DUMMYFUNCTION("""COMPUTED_VALUE"""),5.0)</f>
        <v>5</v>
      </c>
    </row>
    <row r="9">
      <c r="A9" s="97" t="str">
        <f>IFERROR(__xludf.DUMMYFUNCTION("""COMPUTED_VALUE"""),"AZL")</f>
        <v>AZL</v>
      </c>
      <c r="B9" s="97" t="str">
        <f>IFERROR(__xludf.DUMMYFUNCTION("""COMPUTED_VALUE"""),"8 Door")</f>
        <v>8 Door</v>
      </c>
      <c r="C9" s="97">
        <f>IFERROR(__xludf.DUMMYFUNCTION("""COMPUTED_VALUE"""),2.0)</f>
        <v>2</v>
      </c>
      <c r="D9" s="97">
        <f>IFERROR(__xludf.DUMMYFUNCTION("""COMPUTED_VALUE"""),2.0)</f>
        <v>2</v>
      </c>
      <c r="E9" s="97">
        <f>IFERROR(__xludf.DUMMYFUNCTION("""COMPUTED_VALUE"""),4.0)</f>
        <v>4</v>
      </c>
    </row>
    <row r="10">
      <c r="A10" s="97" t="str">
        <f>IFERROR(__xludf.DUMMYFUNCTION("""COMPUTED_VALUE"""),"AZL")</f>
        <v>AZL</v>
      </c>
      <c r="B10" s="97" t="str">
        <f>IFERROR(__xludf.DUMMYFUNCTION("""COMPUTED_VALUE"""),"8 Standby")</f>
        <v>8 Standby</v>
      </c>
      <c r="C10" s="97">
        <f>IFERROR(__xludf.DUMMYFUNCTION("""COMPUTED_VALUE"""),4.0)</f>
        <v>4</v>
      </c>
      <c r="D10" s="97">
        <f>IFERROR(__xludf.DUMMYFUNCTION("""COMPUTED_VALUE"""),1.0)</f>
        <v>1</v>
      </c>
      <c r="E10" s="97">
        <f>IFERROR(__xludf.DUMMYFUNCTION("""COMPUTED_VALUE"""),5.0)</f>
        <v>5</v>
      </c>
    </row>
    <row r="11">
      <c r="A11" s="97" t="str">
        <f>IFERROR(__xludf.DUMMYFUNCTION("""COMPUTED_VALUE"""),"BAV")</f>
        <v>BAV</v>
      </c>
      <c r="B11" s="97" t="str">
        <f>IFERROR(__xludf.DUMMYFUNCTION("""COMPUTED_VALUE"""),"Izuna Hifumi")</f>
        <v>Izuna Hifumi</v>
      </c>
      <c r="C11" s="97">
        <f>IFERROR(__xludf.DUMMYFUNCTION("""COMPUTED_VALUE"""),1.0)</f>
        <v>1</v>
      </c>
      <c r="D11" s="97">
        <f>IFERROR(__xludf.DUMMYFUNCTION("""COMPUTED_VALUE"""),3.0)</f>
        <v>3</v>
      </c>
      <c r="E11" s="97">
        <f>IFERROR(__xludf.DUMMYFUNCTION("""COMPUTED_VALUE"""),4.0)</f>
        <v>4</v>
      </c>
    </row>
    <row r="12">
      <c r="A12" s="97" t="str">
        <f>IFERROR(__xludf.DUMMYFUNCTION("""COMPUTED_VALUE"""),"BAV")</f>
        <v>BAV</v>
      </c>
      <c r="B12" s="97" t="str">
        <f>IFERROR(__xludf.DUMMYFUNCTION("""COMPUTED_VALUE"""),"Pants Choice")</f>
        <v>Pants Choice</v>
      </c>
      <c r="C12" s="97">
        <f>IFERROR(__xludf.DUMMYFUNCTION("""COMPUTED_VALUE"""),3.0)</f>
        <v>3</v>
      </c>
      <c r="D12" s="97">
        <f>IFERROR(__xludf.DUMMYFUNCTION("""COMPUTED_VALUE"""),1.0)</f>
        <v>1</v>
      </c>
      <c r="E12" s="97">
        <f>IFERROR(__xludf.DUMMYFUNCTION("""COMPUTED_VALUE"""),4.0)</f>
        <v>4</v>
      </c>
    </row>
    <row r="13">
      <c r="A13" s="97" t="str">
        <f>IFERROR(__xludf.DUMMYFUNCTION("""COMPUTED_VALUE"""),"BD")</f>
        <v>BD</v>
      </c>
      <c r="B13" s="97" t="str">
        <f>IFERROR(__xludf.DUMMYFUNCTION("""COMPUTED_VALUE"""),"Bar Door")</f>
        <v>Bar Door</v>
      </c>
      <c r="C13" s="97">
        <f>IFERROR(__xludf.DUMMYFUNCTION("""COMPUTED_VALUE"""),3.0)</f>
        <v>3</v>
      </c>
      <c r="D13" s="97">
        <f>IFERROR(__xludf.DUMMYFUNCTION("""COMPUTED_VALUE"""),1.0)</f>
        <v>1</v>
      </c>
      <c r="E13" s="97">
        <f>IFERROR(__xludf.DUMMYFUNCTION("""COMPUTED_VALUE"""),4.0)</f>
        <v>4</v>
      </c>
    </row>
    <row r="14">
      <c r="A14" s="97" t="str">
        <f>IFERROR(__xludf.DUMMYFUNCTION("""COMPUTED_VALUE"""),"BTR")</f>
        <v>BTR</v>
      </c>
      <c r="B14" s="97" t="str">
        <f>IFERROR(__xludf.DUMMYFUNCTION("""COMPUTED_VALUE"""),"Door Bar")</f>
        <v>Door Bar</v>
      </c>
      <c r="C14" s="97">
        <f>IFERROR(__xludf.DUMMYFUNCTION("""COMPUTED_VALUE"""),1.0)</f>
        <v>1</v>
      </c>
      <c r="D14" s="97">
        <f>IFERROR(__xludf.DUMMYFUNCTION("""COMPUTED_VALUE"""),3.0)</f>
        <v>3</v>
      </c>
      <c r="E14" s="97">
        <f>IFERROR(__xludf.DUMMYFUNCTION("""COMPUTED_VALUE"""),4.0)</f>
        <v>4</v>
      </c>
    </row>
    <row r="15">
      <c r="A15" s="97" t="str">
        <f>IFERROR(__xludf.DUMMYFUNCTION("""COMPUTED_VALUE"""),"CSM")</f>
        <v>CSM</v>
      </c>
      <c r="B15" s="97" t="str">
        <f>IFERROR(__xludf.DUMMYFUNCTION("""COMPUTED_VALUE"""),"StockSoul Bar")</f>
        <v>StockSoul Bar</v>
      </c>
      <c r="C15" s="97">
        <f>IFERROR(__xludf.DUMMYFUNCTION("""COMPUTED_VALUE"""),8.0)</f>
        <v>8</v>
      </c>
      <c r="D15" s="97">
        <f>IFERROR(__xludf.DUMMYFUNCTION("""COMPUTED_VALUE"""),4.0)</f>
        <v>4</v>
      </c>
      <c r="E15" s="97">
        <f>IFERROR(__xludf.DUMMYFUNCTION("""COMPUTED_VALUE"""),12.0)</f>
        <v>12</v>
      </c>
    </row>
    <row r="16">
      <c r="A16" s="97" t="str">
        <f>IFERROR(__xludf.DUMMYFUNCTION("""COMPUTED_VALUE"""),"CSM")</f>
        <v>CSM</v>
      </c>
      <c r="B16" s="97" t="str">
        <f>IFERROR(__xludf.DUMMYFUNCTION("""COMPUTED_VALUE"""),"StockSoul Standby")</f>
        <v>StockSoul Standby</v>
      </c>
      <c r="C16" s="97">
        <f>IFERROR(__xludf.DUMMYFUNCTION("""COMPUTED_VALUE"""),3.0)</f>
        <v>3</v>
      </c>
      <c r="D16" s="97">
        <f>IFERROR(__xludf.DUMMYFUNCTION("""COMPUTED_VALUE"""),1.0)</f>
        <v>1</v>
      </c>
      <c r="E16" s="97">
        <f>IFERROR(__xludf.DUMMYFUNCTION("""COMPUTED_VALUE"""),4.0)</f>
        <v>4</v>
      </c>
    </row>
    <row r="17">
      <c r="A17" s="97" t="str">
        <f>IFERROR(__xludf.DUMMYFUNCTION("""COMPUTED_VALUE"""),"DAL")</f>
        <v>DAL</v>
      </c>
      <c r="B17" s="97" t="str">
        <f>IFERROR(__xludf.DUMMYFUNCTION("""COMPUTED_VALUE"""),"8 Standby")</f>
        <v>8 Standby</v>
      </c>
      <c r="C17" s="97">
        <f>IFERROR(__xludf.DUMMYFUNCTION("""COMPUTED_VALUE"""),8.0)</f>
        <v>8</v>
      </c>
      <c r="D17" s="97">
        <f>IFERROR(__xludf.DUMMYFUNCTION("""COMPUTED_VALUE"""),5.0)</f>
        <v>5</v>
      </c>
      <c r="E17" s="97">
        <f>IFERROR(__xludf.DUMMYFUNCTION("""COMPUTED_VALUE"""),13.0)</f>
        <v>13</v>
      </c>
    </row>
    <row r="18">
      <c r="A18" s="97" t="str">
        <f>IFERROR(__xludf.DUMMYFUNCTION("""COMPUTED_VALUE"""),"DDD")</f>
        <v>DDD</v>
      </c>
      <c r="B18" s="97" t="str">
        <f>IFERROR(__xludf.DUMMYFUNCTION("""COMPUTED_VALUE"""),"8 Bar")</f>
        <v>8 Bar</v>
      </c>
      <c r="C18" s="97">
        <f>IFERROR(__xludf.DUMMYFUNCTION("""COMPUTED_VALUE"""),3.0)</f>
        <v>3</v>
      </c>
      <c r="D18" s="97">
        <f>IFERROR(__xludf.DUMMYFUNCTION("""COMPUTED_VALUE"""),1.0)</f>
        <v>1</v>
      </c>
      <c r="E18" s="97">
        <f>IFERROR(__xludf.DUMMYFUNCTION("""COMPUTED_VALUE"""),4.0)</f>
        <v>4</v>
      </c>
    </row>
    <row r="19">
      <c r="A19" s="97" t="str">
        <f>IFERROR(__xludf.DUMMYFUNCTION("""COMPUTED_VALUE"""),"DDD")</f>
        <v>DDD</v>
      </c>
      <c r="B19" s="97" t="str">
        <f>IFERROR(__xludf.DUMMYFUNCTION("""COMPUTED_VALUE"""),"8 Choice")</f>
        <v>8 Choice</v>
      </c>
      <c r="C19" s="97">
        <f>IFERROR(__xludf.DUMMYFUNCTION("""COMPUTED_VALUE"""),6.0)</f>
        <v>6</v>
      </c>
      <c r="D19" s="97">
        <f>IFERROR(__xludf.DUMMYFUNCTION("""COMPUTED_VALUE"""),4.0)</f>
        <v>4</v>
      </c>
      <c r="E19" s="97">
        <f>IFERROR(__xludf.DUMMYFUNCTION("""COMPUTED_VALUE"""),10.0)</f>
        <v>10</v>
      </c>
    </row>
    <row r="20">
      <c r="A20" s="97" t="str">
        <f>IFERROR(__xludf.DUMMYFUNCTION("""COMPUTED_VALUE"""),"EIS")</f>
        <v>EIS</v>
      </c>
      <c r="B20" s="97" t="str">
        <f>IFERROR(__xludf.DUMMYFUNCTION("""COMPUTED_VALUE"""),"5 Door 3 Pants Sortie")</f>
        <v>5 Door 3 Pants Sortie</v>
      </c>
      <c r="C20" s="97">
        <f>IFERROR(__xludf.DUMMYFUNCTION("""COMPUTED_VALUE"""),3.0)</f>
        <v>3</v>
      </c>
      <c r="D20" s="97">
        <f>IFERROR(__xludf.DUMMYFUNCTION("""COMPUTED_VALUE"""),1.0)</f>
        <v>1</v>
      </c>
      <c r="E20" s="97">
        <f>IFERROR(__xludf.DUMMYFUNCTION("""COMPUTED_VALUE"""),4.0)</f>
        <v>4</v>
      </c>
    </row>
    <row r="21">
      <c r="A21" s="97" t="str">
        <f>IFERROR(__xludf.DUMMYFUNCTION("""COMPUTED_VALUE"""),"EIS")</f>
        <v>EIS</v>
      </c>
      <c r="B21" s="97" t="str">
        <f>IFERROR(__xludf.DUMMYFUNCTION("""COMPUTED_VALUE"""),"6 Standby 2 Door")</f>
        <v>6 Standby 2 Door</v>
      </c>
      <c r="C21" s="97">
        <f>IFERROR(__xludf.DUMMYFUNCTION("""COMPUTED_VALUE"""),4.0)</f>
        <v>4</v>
      </c>
      <c r="D21" s="97">
        <f>IFERROR(__xludf.DUMMYFUNCTION("""COMPUTED_VALUE"""),5.0)</f>
        <v>5</v>
      </c>
      <c r="E21" s="97">
        <f>IFERROR(__xludf.DUMMYFUNCTION("""COMPUTED_VALUE"""),9.0)</f>
        <v>9</v>
      </c>
    </row>
    <row r="22">
      <c r="A22" s="97" t="str">
        <f>IFERROR(__xludf.DUMMYFUNCTION("""COMPUTED_VALUE"""),"EIS")</f>
        <v>EIS</v>
      </c>
      <c r="B22" s="97" t="str">
        <f>IFERROR(__xludf.DUMMYFUNCTION("""COMPUTED_VALUE"""),"8 Bar")</f>
        <v>8 Bar</v>
      </c>
      <c r="C22" s="97">
        <f>IFERROR(__xludf.DUMMYFUNCTION("""COMPUTED_VALUE"""),2.0)</f>
        <v>2</v>
      </c>
      <c r="D22" s="97">
        <f>IFERROR(__xludf.DUMMYFUNCTION("""COMPUTED_VALUE"""),3.0)</f>
        <v>3</v>
      </c>
      <c r="E22" s="97">
        <f>IFERROR(__xludf.DUMMYFUNCTION("""COMPUTED_VALUE"""),5.0)</f>
        <v>5</v>
      </c>
    </row>
    <row r="23">
      <c r="A23" s="97" t="str">
        <f>IFERROR(__xludf.DUMMYFUNCTION("""COMPUTED_VALUE"""),"EIS")</f>
        <v>EIS</v>
      </c>
      <c r="B23" s="97" t="str">
        <f>IFERROR(__xludf.DUMMYFUNCTION("""COMPUTED_VALUE"""),"8 Door TD")</f>
        <v>8 Door TD</v>
      </c>
      <c r="C23" s="97">
        <f>IFERROR(__xludf.DUMMYFUNCTION("""COMPUTED_VALUE"""),9.0)</f>
        <v>9</v>
      </c>
      <c r="D23" s="97">
        <f>IFERROR(__xludf.DUMMYFUNCTION("""COMPUTED_VALUE"""),3.0)</f>
        <v>3</v>
      </c>
      <c r="E23" s="97">
        <f>IFERROR(__xludf.DUMMYFUNCTION("""COMPUTED_VALUE"""),12.0)</f>
        <v>12</v>
      </c>
    </row>
    <row r="24">
      <c r="A24" s="97" t="str">
        <f>IFERROR(__xludf.DUMMYFUNCTION("""COMPUTED_VALUE"""),"EIS")</f>
        <v>EIS</v>
      </c>
      <c r="B24" s="97" t="str">
        <f>IFERROR(__xludf.DUMMYFUNCTION("""COMPUTED_VALUE"""),"8 Pants Atomic 1+3")</f>
        <v>8 Pants Atomic 1+3</v>
      </c>
      <c r="C24" s="97">
        <f>IFERROR(__xludf.DUMMYFUNCTION("""COMPUTED_VALUE"""),4.0)</f>
        <v>4</v>
      </c>
      <c r="D24" s="97">
        <f>IFERROR(__xludf.DUMMYFUNCTION("""COMPUTED_VALUE"""),4.0)</f>
        <v>4</v>
      </c>
      <c r="E24" s="97">
        <f>IFERROR(__xludf.DUMMYFUNCTION("""COMPUTED_VALUE"""),8.0)</f>
        <v>8</v>
      </c>
    </row>
    <row r="25">
      <c r="A25" s="97" t="str">
        <f>IFERROR(__xludf.DUMMYFUNCTION("""COMPUTED_VALUE"""),"EIS")</f>
        <v>EIS</v>
      </c>
      <c r="B25" s="97" t="str">
        <f>IFERROR(__xludf.DUMMYFUNCTION("""COMPUTED_VALUE"""),"8 Standby")</f>
        <v>8 Standby</v>
      </c>
      <c r="C25" s="97">
        <f>IFERROR(__xludf.DUMMYFUNCTION("""COMPUTED_VALUE"""),19.0)</f>
        <v>19</v>
      </c>
      <c r="D25" s="97">
        <f>IFERROR(__xludf.DUMMYFUNCTION("""COMPUTED_VALUE"""),15.0)</f>
        <v>15</v>
      </c>
      <c r="E25" s="97">
        <f>IFERROR(__xludf.DUMMYFUNCTION("""COMPUTED_VALUE"""),34.0)</f>
        <v>34</v>
      </c>
    </row>
    <row r="26">
      <c r="A26" s="97" t="str">
        <f>IFERROR(__xludf.DUMMYFUNCTION("""COMPUTED_VALUE"""),"EIS")</f>
        <v>EIS</v>
      </c>
      <c r="B26" s="97" t="str">
        <f>IFERROR(__xludf.DUMMYFUNCTION("""COMPUTED_VALUE"""),"?")</f>
        <v>?</v>
      </c>
      <c r="C26" s="97">
        <f>IFERROR(__xludf.DUMMYFUNCTION("""COMPUTED_VALUE"""),2.0)</f>
        <v>2</v>
      </c>
      <c r="D26" s="97">
        <f>IFERROR(__xludf.DUMMYFUNCTION("""COMPUTED_VALUE"""),3.0)</f>
        <v>3</v>
      </c>
      <c r="E26" s="97">
        <f>IFERROR(__xludf.DUMMYFUNCTION("""COMPUTED_VALUE"""),5.0)</f>
        <v>5</v>
      </c>
    </row>
    <row r="27">
      <c r="A27" s="97" t="str">
        <f>IFERROR(__xludf.DUMMYFUNCTION("""COMPUTED_VALUE"""),"EIS")</f>
        <v>EIS</v>
      </c>
      <c r="B27" s="97" t="str">
        <f>IFERROR(__xludf.DUMMYFUNCTION("""COMPUTED_VALUE"""),"StockSoul Bar")</f>
        <v>StockSoul Bar</v>
      </c>
      <c r="C27" s="97">
        <f>IFERROR(__xludf.DUMMYFUNCTION("""COMPUTED_VALUE"""),1.0)</f>
        <v>1</v>
      </c>
      <c r="D27" s="97">
        <f>IFERROR(__xludf.DUMMYFUNCTION("""COMPUTED_VALUE"""),3.0)</f>
        <v>3</v>
      </c>
      <c r="E27" s="97">
        <f>IFERROR(__xludf.DUMMYFUNCTION("""COMPUTED_VALUE"""),4.0)</f>
        <v>4</v>
      </c>
    </row>
    <row r="28">
      <c r="A28" s="97" t="str">
        <f>IFERROR(__xludf.DUMMYFUNCTION("""COMPUTED_VALUE"""),"FT")</f>
        <v>FT</v>
      </c>
      <c r="B28" s="97" t="str">
        <f>IFERROR(__xludf.DUMMYFUNCTION("""COMPUTED_VALUE"""),"Bar Choice")</f>
        <v>Bar Choice</v>
      </c>
      <c r="C28" s="97">
        <f>IFERROR(__xludf.DUMMYFUNCTION("""COMPUTED_VALUE"""),3.0)</f>
        <v>3</v>
      </c>
      <c r="D28" s="97">
        <f>IFERROR(__xludf.DUMMYFUNCTION("""COMPUTED_VALUE"""),6.0)</f>
        <v>6</v>
      </c>
      <c r="E28" s="97">
        <f>IFERROR(__xludf.DUMMYFUNCTION("""COMPUTED_VALUE"""),9.0)</f>
        <v>9</v>
      </c>
    </row>
    <row r="29">
      <c r="A29" s="97" t="str">
        <f>IFERROR(__xludf.DUMMYFUNCTION("""COMPUTED_VALUE"""),"Fxx")</f>
        <v>Fxx</v>
      </c>
      <c r="B29" s="97" t="str">
        <f>IFERROR(__xludf.DUMMYFUNCTION("""COMPUTED_VALUE"""),"8 Standby")</f>
        <v>8 Standby</v>
      </c>
      <c r="C29" s="97">
        <f>IFERROR(__xludf.DUMMYFUNCTION("""COMPUTED_VALUE"""),4.0)</f>
        <v>4</v>
      </c>
      <c r="D29" s="97">
        <f>IFERROR(__xludf.DUMMYFUNCTION("""COMPUTED_VALUE"""),5.0)</f>
        <v>5</v>
      </c>
      <c r="E29" s="97">
        <f>IFERROR(__xludf.DUMMYFUNCTION("""COMPUTED_VALUE"""),9.0)</f>
        <v>9</v>
      </c>
    </row>
    <row r="30">
      <c r="A30" s="97" t="str">
        <f>IFERROR(__xludf.DUMMYFUNCTION("""COMPUTED_VALUE"""),"Fxx")</f>
        <v>Fxx</v>
      </c>
      <c r="B30" s="97" t="str">
        <f>IFERROR(__xludf.DUMMYFUNCTION("""COMPUTED_VALUE"""),"StockSoul Bar")</f>
        <v>StockSoul Bar</v>
      </c>
      <c r="C30" s="97">
        <f>IFERROR(__xludf.DUMMYFUNCTION("""COMPUTED_VALUE"""),3.0)</f>
        <v>3</v>
      </c>
      <c r="D30" s="97">
        <f>IFERROR(__xludf.DUMMYFUNCTION("""COMPUTED_VALUE"""),2.0)</f>
        <v>2</v>
      </c>
      <c r="E30" s="97">
        <f>IFERROR(__xludf.DUMMYFUNCTION("""COMPUTED_VALUE"""),5.0)</f>
        <v>5</v>
      </c>
    </row>
    <row r="31">
      <c r="A31" s="97" t="str">
        <f>IFERROR(__xludf.DUMMYFUNCTION("""COMPUTED_VALUE"""),"GCR")</f>
        <v>GCR</v>
      </c>
      <c r="B31" s="97" t="str">
        <f>IFERROR(__xludf.DUMMYFUNCTION("""COMPUTED_VALUE"""),"8 Door")</f>
        <v>8 Door</v>
      </c>
      <c r="C31" s="97">
        <f>IFERROR(__xludf.DUMMYFUNCTION("""COMPUTED_VALUE"""),6.0)</f>
        <v>6</v>
      </c>
      <c r="D31" s="97">
        <f>IFERROR(__xludf.DUMMYFUNCTION("""COMPUTED_VALUE"""),7.0)</f>
        <v>7</v>
      </c>
      <c r="E31" s="97">
        <f>IFERROR(__xludf.DUMMYFUNCTION("""COMPUTED_VALUE"""),13.0)</f>
        <v>13</v>
      </c>
    </row>
    <row r="32">
      <c r="A32" s="97" t="str">
        <f>IFERROR(__xludf.DUMMYFUNCTION("""COMPUTED_VALUE"""),"GRI")</f>
        <v>GRI</v>
      </c>
      <c r="B32" s="97" t="str">
        <f>IFERROR(__xludf.DUMMYFUNCTION("""COMPUTED_VALUE"""),"Door Pants ")</f>
        <v>Door Pants </v>
      </c>
      <c r="C32" s="97">
        <f>IFERROR(__xludf.DUMMYFUNCTION("""COMPUTED_VALUE"""),3.0)</f>
        <v>3</v>
      </c>
      <c r="D32" s="97">
        <f>IFERROR(__xludf.DUMMYFUNCTION("""COMPUTED_VALUE"""),1.0)</f>
        <v>1</v>
      </c>
      <c r="E32" s="97">
        <f>IFERROR(__xludf.DUMMYFUNCTION("""COMPUTED_VALUE"""),4.0)</f>
        <v>4</v>
      </c>
    </row>
    <row r="33">
      <c r="A33" s="97" t="str">
        <f>IFERROR(__xludf.DUMMYFUNCTION("""COMPUTED_VALUE"""),"HOL")</f>
        <v>HOL</v>
      </c>
      <c r="B33" s="97" t="str">
        <f>IFERROR(__xludf.DUMMYFUNCTION("""COMPUTED_VALUE"""),"Polka Choco")</f>
        <v>Polka Choco</v>
      </c>
      <c r="C33" s="97">
        <f>IFERROR(__xludf.DUMMYFUNCTION("""COMPUTED_VALUE"""),6.0)</f>
        <v>6</v>
      </c>
      <c r="D33" s="97">
        <f>IFERROR(__xludf.DUMMYFUNCTION("""COMPUTED_VALUE"""),3.0)</f>
        <v>3</v>
      </c>
      <c r="E33" s="97">
        <f>IFERROR(__xludf.DUMMYFUNCTION("""COMPUTED_VALUE"""),9.0)</f>
        <v>9</v>
      </c>
    </row>
    <row r="34">
      <c r="A34" s="97" t="str">
        <f>IFERROR(__xludf.DUMMYFUNCTION("""COMPUTED_VALUE"""),"LRC")</f>
        <v>LRC</v>
      </c>
      <c r="B34" s="97" t="str">
        <f>IFERROR(__xludf.DUMMYFUNCTION("""COMPUTED_VALUE"""),"8 Door")</f>
        <v>8 Door</v>
      </c>
      <c r="C34" s="97">
        <f>IFERROR(__xludf.DUMMYFUNCTION("""COMPUTED_VALUE"""),4.0)</f>
        <v>4</v>
      </c>
      <c r="D34" s="97">
        <f>IFERROR(__xludf.DUMMYFUNCTION("""COMPUTED_VALUE"""),1.0)</f>
        <v>1</v>
      </c>
      <c r="E34" s="97">
        <f>IFERROR(__xludf.DUMMYFUNCTION("""COMPUTED_VALUE"""),5.0)</f>
        <v>5</v>
      </c>
    </row>
    <row r="35">
      <c r="A35" s="97" t="str">
        <f>IFERROR(__xludf.DUMMYFUNCTION("""COMPUTED_VALUE"""),"LRC")</f>
        <v>LRC</v>
      </c>
      <c r="B35" s="97" t="str">
        <f>IFERROR(__xludf.DUMMYFUNCTION("""COMPUTED_VALUE"""),"Pants Door")</f>
        <v>Pants Door</v>
      </c>
      <c r="C35" s="97">
        <f>IFERROR(__xludf.DUMMYFUNCTION("""COMPUTED_VALUE"""),2.0)</f>
        <v>2</v>
      </c>
      <c r="D35" s="97">
        <f>IFERROR(__xludf.DUMMYFUNCTION("""COMPUTED_VALUE"""),2.0)</f>
        <v>2</v>
      </c>
      <c r="E35" s="97">
        <f>IFERROR(__xludf.DUMMYFUNCTION("""COMPUTED_VALUE"""),4.0)</f>
        <v>4</v>
      </c>
    </row>
    <row r="36">
      <c r="A36" s="97" t="str">
        <f>IFERROR(__xludf.DUMMYFUNCTION("""COMPUTED_VALUE"""),"MDE")</f>
        <v>MDE</v>
      </c>
      <c r="B36" s="97" t="str">
        <f>IFERROR(__xludf.DUMMYFUNCTION("""COMPUTED_VALUE"""),"Link")</f>
        <v>Link</v>
      </c>
      <c r="C36" s="97">
        <f>IFERROR(__xludf.DUMMYFUNCTION("""COMPUTED_VALUE"""),1.0)</f>
        <v>1</v>
      </c>
      <c r="D36" s="97">
        <f>IFERROR(__xludf.DUMMYFUNCTION("""COMPUTED_VALUE"""),3.0)</f>
        <v>3</v>
      </c>
      <c r="E36" s="97">
        <f>IFERROR(__xludf.DUMMYFUNCTION("""COMPUTED_VALUE"""),4.0)</f>
        <v>4</v>
      </c>
    </row>
    <row r="37">
      <c r="A37" s="97" t="str">
        <f>IFERROR(__xludf.DUMMYFUNCTION("""COMPUTED_VALUE"""),"MKI")</f>
        <v>MKI</v>
      </c>
      <c r="B37" s="97" t="str">
        <f>IFERROR(__xludf.DUMMYFUNCTION("""COMPUTED_VALUE"""),"8 Door")</f>
        <v>8 Door</v>
      </c>
      <c r="C37" s="97">
        <f>IFERROR(__xludf.DUMMYFUNCTION("""COMPUTED_VALUE"""),8.0)</f>
        <v>8</v>
      </c>
      <c r="D37" s="97">
        <f>IFERROR(__xludf.DUMMYFUNCTION("""COMPUTED_VALUE"""),10.0)</f>
        <v>10</v>
      </c>
      <c r="E37" s="97">
        <f>IFERROR(__xludf.DUMMYFUNCTION("""COMPUTED_VALUE"""),18.0)</f>
        <v>18</v>
      </c>
    </row>
    <row r="38">
      <c r="A38" s="97" t="str">
        <f>IFERROR(__xludf.DUMMYFUNCTION("""COMPUTED_VALUE"""),"MKI")</f>
        <v>MKI</v>
      </c>
      <c r="B38" s="97" t="str">
        <f>IFERROR(__xludf.DUMMYFUNCTION("""COMPUTED_VALUE"""),"Standby Pants")</f>
        <v>Standby Pants</v>
      </c>
      <c r="C38" s="97">
        <f>IFERROR(__xludf.DUMMYFUNCTION("""COMPUTED_VALUE"""),2.0)</f>
        <v>2</v>
      </c>
      <c r="D38" s="97">
        <f>IFERROR(__xludf.DUMMYFUNCTION("""COMPUTED_VALUE"""),2.0)</f>
        <v>2</v>
      </c>
      <c r="E38" s="97">
        <f>IFERROR(__xludf.DUMMYFUNCTION("""COMPUTED_VALUE"""),4.0)</f>
        <v>4</v>
      </c>
    </row>
    <row r="39">
      <c r="A39" s="97" t="str">
        <f>IFERROR(__xludf.DUMMYFUNCTION("""COMPUTED_VALUE"""),"MM")</f>
        <v>MM</v>
      </c>
      <c r="B39" s="97" t="str">
        <f>IFERROR(__xludf.DUMMYFUNCTION("""COMPUTED_VALUE"""),"StockSoul Door")</f>
        <v>StockSoul Door</v>
      </c>
      <c r="C39" s="97">
        <f>IFERROR(__xludf.DUMMYFUNCTION("""COMPUTED_VALUE"""),2.0)</f>
        <v>2</v>
      </c>
      <c r="D39" s="97">
        <f>IFERROR(__xludf.DUMMYFUNCTION("""COMPUTED_VALUE"""),2.0)</f>
        <v>2</v>
      </c>
      <c r="E39" s="97">
        <f>IFERROR(__xludf.DUMMYFUNCTION("""COMPUTED_VALUE"""),4.0)</f>
        <v>4</v>
      </c>
    </row>
    <row r="40">
      <c r="A40" s="97" t="str">
        <f>IFERROR(__xludf.DUMMYFUNCTION("""COMPUTED_VALUE"""),"NIK")</f>
        <v>NIK</v>
      </c>
      <c r="B40" s="97" t="str">
        <f>IFERROR(__xludf.DUMMYFUNCTION("""COMPUTED_VALUE"""),"Door Standby")</f>
        <v>Door Standby</v>
      </c>
      <c r="C40" s="97">
        <f>IFERROR(__xludf.DUMMYFUNCTION("""COMPUTED_VALUE"""),21.0)</f>
        <v>21</v>
      </c>
      <c r="D40" s="97">
        <f>IFERROR(__xludf.DUMMYFUNCTION("""COMPUTED_VALUE"""),21.0)</f>
        <v>21</v>
      </c>
      <c r="E40" s="97">
        <f>IFERROR(__xludf.DUMMYFUNCTION("""COMPUTED_VALUE"""),42.0)</f>
        <v>42</v>
      </c>
    </row>
    <row r="41">
      <c r="A41" s="97" t="str">
        <f>IFERROR(__xludf.DUMMYFUNCTION("""COMPUTED_VALUE"""),"NIK")</f>
        <v>NIK</v>
      </c>
      <c r="B41" s="97" t="str">
        <f>IFERROR(__xludf.DUMMYFUNCTION("""COMPUTED_VALUE"""),"Pants Bag")</f>
        <v>Pants Bag</v>
      </c>
      <c r="C41" s="97">
        <f>IFERROR(__xludf.DUMMYFUNCTION("""COMPUTED_VALUE"""),1.0)</f>
        <v>1</v>
      </c>
      <c r="D41" s="97">
        <f>IFERROR(__xludf.DUMMYFUNCTION("""COMPUTED_VALUE"""),3.0)</f>
        <v>3</v>
      </c>
      <c r="E41" s="97">
        <f>IFERROR(__xludf.DUMMYFUNCTION("""COMPUTED_VALUE"""),4.0)</f>
        <v>4</v>
      </c>
    </row>
    <row r="42">
      <c r="A42" s="97" t="str">
        <f>IFERROR(__xludf.DUMMYFUNCTION("""COMPUTED_VALUE"""),"OSK")</f>
        <v>OSK</v>
      </c>
      <c r="B42" s="97" t="str">
        <f>IFERROR(__xludf.DUMMYFUNCTION("""COMPUTED_VALUE"""),"Door Pants")</f>
        <v>Door Pants</v>
      </c>
      <c r="C42" s="97">
        <f>IFERROR(__xludf.DUMMYFUNCTION("""COMPUTED_VALUE"""),21.0)</f>
        <v>21</v>
      </c>
      <c r="D42" s="97">
        <f>IFERROR(__xludf.DUMMYFUNCTION("""COMPUTED_VALUE"""),10.0)</f>
        <v>10</v>
      </c>
      <c r="E42" s="97">
        <f>IFERROR(__xludf.DUMMYFUNCTION("""COMPUTED_VALUE"""),31.0)</f>
        <v>31</v>
      </c>
    </row>
    <row r="43">
      <c r="A43" s="97" t="str">
        <f>IFERROR(__xludf.DUMMYFUNCTION("""COMPUTED_VALUE"""),"OVL")</f>
        <v>OVL</v>
      </c>
      <c r="B43" s="97" t="str">
        <f>IFERROR(__xludf.DUMMYFUNCTION("""COMPUTED_VALUE"""),"8 Door")</f>
        <v>8 Door</v>
      </c>
      <c r="C43" s="97">
        <f>IFERROR(__xludf.DUMMYFUNCTION("""COMPUTED_VALUE"""),9.0)</f>
        <v>9</v>
      </c>
      <c r="D43" s="97">
        <f>IFERROR(__xludf.DUMMYFUNCTION("""COMPUTED_VALUE"""),3.0)</f>
        <v>3</v>
      </c>
      <c r="E43" s="97">
        <f>IFERROR(__xludf.DUMMYFUNCTION("""COMPUTED_VALUE"""),12.0)</f>
        <v>12</v>
      </c>
    </row>
    <row r="44">
      <c r="A44" s="97" t="str">
        <f>IFERROR(__xludf.DUMMYFUNCTION("""COMPUTED_VALUE"""),"PJS")</f>
        <v>PJS</v>
      </c>
      <c r="B44" s="97" t="str">
        <f>IFERROR(__xludf.DUMMYFUNCTION("""COMPUTED_VALUE"""),"8 Bar")</f>
        <v>8 Bar</v>
      </c>
      <c r="C44" s="97">
        <f>IFERROR(__xludf.DUMMYFUNCTION("""COMPUTED_VALUE"""),0.0)</f>
        <v>0</v>
      </c>
      <c r="D44" s="97">
        <f>IFERROR(__xludf.DUMMYFUNCTION("""COMPUTED_VALUE"""),4.0)</f>
        <v>4</v>
      </c>
      <c r="E44" s="97">
        <f>IFERROR(__xludf.DUMMYFUNCTION("""COMPUTED_VALUE"""),4.0)</f>
        <v>4</v>
      </c>
    </row>
    <row r="45">
      <c r="A45" s="97" t="str">
        <f>IFERROR(__xludf.DUMMYFUNCTION("""COMPUTED_VALUE"""),"RKN")</f>
        <v>RKN</v>
      </c>
      <c r="B45" s="97" t="str">
        <f>IFERROR(__xludf.DUMMYFUNCTION("""COMPUTED_VALUE"""),"8 StockSoul")</f>
        <v>8 StockSoul</v>
      </c>
      <c r="C45" s="97">
        <f>IFERROR(__xludf.DUMMYFUNCTION("""COMPUTED_VALUE"""),1.0)</f>
        <v>1</v>
      </c>
      <c r="D45" s="97">
        <f>IFERROR(__xludf.DUMMYFUNCTION("""COMPUTED_VALUE"""),4.0)</f>
        <v>4</v>
      </c>
      <c r="E45" s="97">
        <f>IFERROR(__xludf.DUMMYFUNCTION("""COMPUTED_VALUE"""),5.0)</f>
        <v>5</v>
      </c>
    </row>
    <row r="46">
      <c r="A46" s="97" t="str">
        <f>IFERROR(__xludf.DUMMYFUNCTION("""COMPUTED_VALUE"""),"SAO")</f>
        <v>SAO</v>
      </c>
      <c r="B46" s="97" t="str">
        <f>IFERROR(__xludf.DUMMYFUNCTION("""COMPUTED_VALUE"""),"8 Bar Yuna")</f>
        <v>8 Bar Yuna</v>
      </c>
      <c r="C46" s="97">
        <f>IFERROR(__xludf.DUMMYFUNCTION("""COMPUTED_VALUE"""),1.0)</f>
        <v>1</v>
      </c>
      <c r="D46" s="97">
        <f>IFERROR(__xludf.DUMMYFUNCTION("""COMPUTED_VALUE"""),4.0)</f>
        <v>4</v>
      </c>
      <c r="E46" s="97">
        <f>IFERROR(__xludf.DUMMYFUNCTION("""COMPUTED_VALUE"""),5.0)</f>
        <v>5</v>
      </c>
    </row>
    <row r="47">
      <c r="A47" s="97" t="str">
        <f>IFERROR(__xludf.DUMMYFUNCTION("""COMPUTED_VALUE"""),"SFN")</f>
        <v>SFN</v>
      </c>
      <c r="B47" s="97" t="str">
        <f>IFERROR(__xludf.DUMMYFUNCTION("""COMPUTED_VALUE"""),"Modified TD")</f>
        <v>Modified TD</v>
      </c>
      <c r="C47" s="97">
        <f>IFERROR(__xludf.DUMMYFUNCTION("""COMPUTED_VALUE"""),2.0)</f>
        <v>2</v>
      </c>
      <c r="D47" s="97">
        <f>IFERROR(__xludf.DUMMYFUNCTION("""COMPUTED_VALUE"""),2.0)</f>
        <v>2</v>
      </c>
      <c r="E47" s="97">
        <f>IFERROR(__xludf.DUMMYFUNCTION("""COMPUTED_VALUE"""),4.0)</f>
        <v>4</v>
      </c>
    </row>
    <row r="48">
      <c r="A48" s="97" t="str">
        <f>IFERROR(__xludf.DUMMYFUNCTION("""COMPUTED_VALUE"""),"SS")</f>
        <v>SS</v>
      </c>
      <c r="B48" s="97" t="str">
        <f>IFERROR(__xludf.DUMMYFUNCTION("""COMPUTED_VALUE"""),"Choice Door")</f>
        <v>Choice Door</v>
      </c>
      <c r="C48" s="97">
        <f>IFERROR(__xludf.DUMMYFUNCTION("""COMPUTED_VALUE"""),1.0)</f>
        <v>1</v>
      </c>
      <c r="D48" s="97">
        <f>IFERROR(__xludf.DUMMYFUNCTION("""COMPUTED_VALUE"""),3.0)</f>
        <v>3</v>
      </c>
      <c r="E48" s="97">
        <f>IFERROR(__xludf.DUMMYFUNCTION("""COMPUTED_VALUE"""),4.0)</f>
        <v>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82.25"/>
    <col customWidth="1" min="3" max="3" width="9.5"/>
    <col customWidth="1" min="4" max="26" width="7.63"/>
  </cols>
  <sheetData>
    <row r="1">
      <c r="A1" s="155" t="s">
        <v>339</v>
      </c>
    </row>
    <row r="2">
      <c r="A2" s="155"/>
      <c r="B2" s="155"/>
      <c r="C2" s="155"/>
    </row>
    <row r="3" ht="22.5" customHeight="1">
      <c r="A3" s="90" t="s">
        <v>340</v>
      </c>
      <c r="B3" s="90" t="s">
        <v>17</v>
      </c>
      <c r="C3" s="90" t="s">
        <v>341</v>
      </c>
    </row>
    <row r="4" ht="22.5" customHeight="1">
      <c r="A4" s="141" t="s">
        <v>128</v>
      </c>
      <c r="B4" s="202" t="s">
        <v>342</v>
      </c>
    </row>
    <row r="5" ht="22.5" customHeight="1">
      <c r="A5" s="141" t="s">
        <v>90</v>
      </c>
      <c r="B5" s="203" t="s">
        <v>343</v>
      </c>
    </row>
    <row r="6" ht="22.5" customHeight="1">
      <c r="A6" s="141" t="s">
        <v>102</v>
      </c>
      <c r="B6" s="202" t="s">
        <v>344</v>
      </c>
    </row>
    <row r="7" ht="22.5" customHeight="1">
      <c r="A7" s="141" t="s">
        <v>99</v>
      </c>
      <c r="B7" s="202" t="s">
        <v>345</v>
      </c>
    </row>
    <row r="8" ht="22.5" customHeight="1">
      <c r="A8" s="141" t="s">
        <v>97</v>
      </c>
      <c r="B8" s="203" t="s">
        <v>346</v>
      </c>
    </row>
    <row r="9" ht="22.5" customHeight="1">
      <c r="A9" s="141" t="s">
        <v>103</v>
      </c>
      <c r="B9" s="202" t="s">
        <v>347</v>
      </c>
    </row>
    <row r="10" ht="22.5" customHeight="1">
      <c r="A10" s="141" t="s">
        <v>82</v>
      </c>
      <c r="B10" s="141"/>
    </row>
    <row r="11" ht="22.5" customHeight="1">
      <c r="A11" s="141" t="s">
        <v>152</v>
      </c>
    </row>
    <row r="12" ht="22.5" customHeight="1">
      <c r="A12" s="141" t="s">
        <v>70</v>
      </c>
      <c r="B12" s="203" t="s">
        <v>348</v>
      </c>
    </row>
    <row r="13" ht="22.5" customHeight="1">
      <c r="A13" s="141" t="s">
        <v>77</v>
      </c>
      <c r="B13" s="202" t="s">
        <v>349</v>
      </c>
    </row>
    <row r="14" ht="22.5" customHeight="1">
      <c r="A14" s="141" t="s">
        <v>83</v>
      </c>
      <c r="B14" s="202" t="s">
        <v>350</v>
      </c>
    </row>
    <row r="15" ht="22.5" customHeight="1">
      <c r="A15" s="141" t="s">
        <v>74</v>
      </c>
      <c r="B15" s="203" t="s">
        <v>351</v>
      </c>
    </row>
    <row r="16" ht="22.5" customHeight="1">
      <c r="A16" s="141" t="s">
        <v>34</v>
      </c>
      <c r="B16" s="202" t="s">
        <v>352</v>
      </c>
    </row>
    <row r="17" ht="22.5" customHeight="1">
      <c r="A17" s="141" t="s">
        <v>105</v>
      </c>
    </row>
    <row r="18" ht="22.5" customHeight="1">
      <c r="A18" s="141" t="s">
        <v>94</v>
      </c>
      <c r="B18" s="202" t="s">
        <v>353</v>
      </c>
    </row>
    <row r="19" ht="22.5" customHeight="1">
      <c r="A19" s="141" t="s">
        <v>84</v>
      </c>
      <c r="B19" s="204" t="s">
        <v>354</v>
      </c>
      <c r="C19" s="153"/>
    </row>
    <row r="20" ht="22.5" customHeight="1">
      <c r="A20" s="141" t="s">
        <v>91</v>
      </c>
      <c r="B20" s="203" t="s">
        <v>355</v>
      </c>
    </row>
    <row r="21" ht="22.5" customHeight="1">
      <c r="A21" s="141" t="s">
        <v>88</v>
      </c>
      <c r="B21" s="203" t="s">
        <v>356</v>
      </c>
    </row>
    <row r="22" ht="15.75" customHeight="1">
      <c r="A22" s="141" t="s">
        <v>80</v>
      </c>
    </row>
    <row r="23" ht="15.75" customHeight="1">
      <c r="A23" s="141" t="s">
        <v>87</v>
      </c>
      <c r="B23" s="202" t="s">
        <v>357</v>
      </c>
    </row>
    <row r="24" ht="15.75" customHeight="1">
      <c r="A24" s="141" t="s">
        <v>118</v>
      </c>
      <c r="B24" s="202" t="s">
        <v>358</v>
      </c>
    </row>
    <row r="25" ht="15.75" customHeight="1">
      <c r="A25" s="141" t="s">
        <v>104</v>
      </c>
      <c r="B25" s="203" t="s">
        <v>359</v>
      </c>
    </row>
    <row r="26" ht="15.75" customHeight="1">
      <c r="A26" s="141" t="s">
        <v>67</v>
      </c>
      <c r="B26" s="203" t="s">
        <v>360</v>
      </c>
    </row>
    <row r="27" ht="15.75" customHeight="1">
      <c r="A27" s="141" t="s">
        <v>147</v>
      </c>
      <c r="B27" s="202" t="s">
        <v>361</v>
      </c>
    </row>
    <row r="28" ht="15.75" customHeight="1">
      <c r="A28" s="141" t="s">
        <v>72</v>
      </c>
      <c r="B28" s="203" t="s">
        <v>362</v>
      </c>
    </row>
    <row r="29" ht="15.75" customHeight="1">
      <c r="A29" s="141" t="s">
        <v>64</v>
      </c>
      <c r="B29" s="203" t="s">
        <v>363</v>
      </c>
    </row>
    <row r="30" ht="15.75" customHeight="1">
      <c r="A30" s="141" t="s">
        <v>107</v>
      </c>
      <c r="B30" s="203" t="s">
        <v>364</v>
      </c>
    </row>
    <row r="31" ht="15.75" customHeight="1">
      <c r="A31" s="141" t="s">
        <v>365</v>
      </c>
      <c r="B31" s="141"/>
    </row>
    <row r="32" ht="15.75" customHeight="1">
      <c r="A32" s="141" t="s">
        <v>157</v>
      </c>
      <c r="B32" s="14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B4"/>
    <hyperlink r:id="rId2" ref="B5"/>
    <hyperlink r:id="rId3" ref="B6"/>
    <hyperlink r:id="rId4" ref="B7"/>
    <hyperlink r:id="rId5" ref="B8"/>
    <hyperlink r:id="rId6" ref="B9"/>
    <hyperlink r:id="rId7" ref="B12"/>
    <hyperlink r:id="rId8" ref="B13"/>
    <hyperlink r:id="rId9" ref="B14"/>
    <hyperlink r:id="rId10" ref="B15"/>
    <hyperlink r:id="rId11" ref="B16"/>
    <hyperlink r:id="rId12" ref="B18"/>
    <hyperlink r:id="rId13" ref="B19"/>
    <hyperlink r:id="rId14" ref="B20"/>
    <hyperlink r:id="rId15" ref="B21"/>
    <hyperlink r:id="rId16" ref="B23"/>
    <hyperlink r:id="rId17" ref="B24"/>
    <hyperlink r:id="rId18" ref="B25"/>
    <hyperlink r:id="rId19" ref="B26"/>
    <hyperlink r:id="rId20" ref="B27"/>
    <hyperlink r:id="rId21" ref="B28"/>
    <hyperlink r:id="rId22" ref="B29"/>
    <hyperlink r:id="rId23" ref="B30"/>
  </hyperlinks>
  <printOptions/>
  <pageMargins bottom="1.0" footer="0.0" header="0.0" left="0.75" right="0.75" top="1.0"/>
  <pageSetup orientation="landscape"/>
  <drawing r:id="rId24"/>
  <tableParts count="1">
    <tablePart r:id="rId2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84.63"/>
  </cols>
  <sheetData>
    <row r="1" ht="22.5" customHeight="1">
      <c r="A1" s="90" t="s">
        <v>366</v>
      </c>
      <c r="B1" s="90" t="s">
        <v>17</v>
      </c>
    </row>
    <row r="2" ht="22.5" customHeight="1">
      <c r="A2" s="141" t="s">
        <v>68</v>
      </c>
      <c r="B2" s="203" t="s">
        <v>367</v>
      </c>
    </row>
    <row r="3" ht="22.5" customHeight="1">
      <c r="A3" s="141" t="s">
        <v>143</v>
      </c>
      <c r="B3" s="203" t="s">
        <v>347</v>
      </c>
    </row>
    <row r="4" ht="22.5" customHeight="1">
      <c r="A4" s="141" t="s">
        <v>148</v>
      </c>
      <c r="B4" s="203" t="s">
        <v>368</v>
      </c>
    </row>
    <row r="5" ht="22.5" customHeight="1">
      <c r="A5" s="141" t="s">
        <v>95</v>
      </c>
      <c r="B5" s="203" t="s">
        <v>369</v>
      </c>
    </row>
    <row r="6" ht="22.5" customHeight="1">
      <c r="A6" s="141" t="s">
        <v>92</v>
      </c>
      <c r="B6" s="203" t="s">
        <v>370</v>
      </c>
    </row>
    <row r="7" ht="22.5" customHeight="1">
      <c r="A7" s="141" t="s">
        <v>98</v>
      </c>
      <c r="B7" s="202" t="s">
        <v>371</v>
      </c>
    </row>
    <row r="8" ht="22.5" customHeight="1">
      <c r="A8" s="141" t="s">
        <v>109</v>
      </c>
      <c r="B8" s="203" t="s">
        <v>372</v>
      </c>
    </row>
    <row r="9" ht="22.5" customHeight="1">
      <c r="A9" s="141" t="s">
        <v>81</v>
      </c>
      <c r="B9" s="203" t="s">
        <v>373</v>
      </c>
    </row>
    <row r="10" ht="22.5" customHeight="1">
      <c r="A10" s="141" t="s">
        <v>122</v>
      </c>
      <c r="B10" s="202" t="s">
        <v>374</v>
      </c>
    </row>
    <row r="11" ht="22.5" customHeight="1">
      <c r="A11" s="141" t="s">
        <v>78</v>
      </c>
      <c r="B11" s="203" t="s">
        <v>375</v>
      </c>
    </row>
    <row r="12" ht="22.5" customHeight="1">
      <c r="A12" s="141" t="s">
        <v>130</v>
      </c>
      <c r="B12" s="202" t="s">
        <v>376</v>
      </c>
    </row>
    <row r="13" ht="22.5" customHeight="1">
      <c r="A13" s="141" t="s">
        <v>65</v>
      </c>
      <c r="B13" s="202" t="s">
        <v>377</v>
      </c>
    </row>
    <row r="14" ht="22.5" customHeight="1">
      <c r="A14" s="141" t="s">
        <v>121</v>
      </c>
      <c r="B14" s="202" t="s">
        <v>343</v>
      </c>
    </row>
    <row r="15" ht="22.5" customHeight="1">
      <c r="A15" s="141" t="s">
        <v>113</v>
      </c>
      <c r="B15" s="202" t="s">
        <v>378</v>
      </c>
    </row>
    <row r="16" ht="22.5" customHeight="1">
      <c r="A16" s="141" t="s">
        <v>100</v>
      </c>
      <c r="B16" s="202" t="s">
        <v>360</v>
      </c>
    </row>
    <row r="17" ht="22.5" customHeight="1">
      <c r="A17" s="141" t="s">
        <v>316</v>
      </c>
      <c r="B17" s="202" t="s">
        <v>379</v>
      </c>
    </row>
    <row r="18" ht="22.5" customHeight="1">
      <c r="A18" s="141" t="s">
        <v>116</v>
      </c>
      <c r="B18" s="205" t="s">
        <v>380</v>
      </c>
    </row>
    <row r="19" ht="22.5" customHeight="1">
      <c r="A19" s="141" t="s">
        <v>85</v>
      </c>
      <c r="B19" s="202" t="s">
        <v>381</v>
      </c>
    </row>
    <row r="20" ht="22.5" customHeight="1">
      <c r="A20" s="141" t="s">
        <v>111</v>
      </c>
      <c r="B20" s="202" t="s">
        <v>355</v>
      </c>
    </row>
    <row r="21" ht="22.5" customHeight="1">
      <c r="A21" s="141" t="s">
        <v>126</v>
      </c>
      <c r="B21" s="202" t="s">
        <v>382</v>
      </c>
    </row>
    <row r="22" ht="22.5" customHeight="1">
      <c r="A22" s="141" t="s">
        <v>139</v>
      </c>
      <c r="B22" s="202" t="s">
        <v>383</v>
      </c>
    </row>
    <row r="23" ht="22.5" customHeight="1">
      <c r="A23" s="141" t="s">
        <v>140</v>
      </c>
      <c r="B23" s="202" t="s">
        <v>384</v>
      </c>
    </row>
    <row r="24" ht="22.5" customHeight="1">
      <c r="A24" s="152" t="s">
        <v>129</v>
      </c>
      <c r="B24" s="204" t="s">
        <v>385</v>
      </c>
    </row>
    <row r="25" ht="22.5" customHeight="1">
      <c r="A25" s="152" t="s">
        <v>158</v>
      </c>
      <c r="B25" s="204" t="s">
        <v>386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</hyperlinks>
  <drawing r:id="rId25"/>
  <tableParts count="1">
    <tablePart r:id="rId2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34.0"/>
    <col customWidth="1" min="3" max="3" width="16.38"/>
    <col customWidth="1" min="4" max="4" width="45.25"/>
    <col customWidth="1" min="5" max="5" width="41.75"/>
    <col customWidth="1" min="6" max="6" width="35.75"/>
    <col customWidth="1" min="7" max="26" width="7.63"/>
  </cols>
  <sheetData>
    <row r="1" ht="15.75" customHeight="1">
      <c r="A1" s="206" t="s">
        <v>387</v>
      </c>
      <c r="B1" s="206" t="s">
        <v>388</v>
      </c>
      <c r="C1" s="206" t="s">
        <v>389</v>
      </c>
      <c r="D1" s="206" t="s">
        <v>390</v>
      </c>
      <c r="E1" s="206" t="s">
        <v>391</v>
      </c>
      <c r="F1" s="206" t="s">
        <v>392</v>
      </c>
    </row>
    <row r="2" ht="15.75" customHeight="1">
      <c r="A2" s="207" t="s">
        <v>116</v>
      </c>
      <c r="B2" s="207" t="s">
        <v>187</v>
      </c>
      <c r="C2" s="208"/>
      <c r="D2" s="209" t="s">
        <v>393</v>
      </c>
      <c r="E2" s="209" t="s">
        <v>394</v>
      </c>
      <c r="F2" s="209" t="s">
        <v>395</v>
      </c>
    </row>
    <row r="3" ht="15.75" customHeight="1">
      <c r="A3" s="210" t="s">
        <v>116</v>
      </c>
      <c r="B3" s="210" t="s">
        <v>396</v>
      </c>
      <c r="C3" s="211"/>
      <c r="D3" s="212" t="s">
        <v>397</v>
      </c>
      <c r="E3" s="212" t="s">
        <v>398</v>
      </c>
      <c r="F3" s="212" t="s">
        <v>399</v>
      </c>
    </row>
    <row r="4" ht="15.75" customHeight="1">
      <c r="A4" s="207" t="s">
        <v>116</v>
      </c>
      <c r="B4" s="207" t="s">
        <v>188</v>
      </c>
      <c r="C4" s="208"/>
      <c r="D4" s="209" t="s">
        <v>397</v>
      </c>
      <c r="E4" s="209" t="s">
        <v>398</v>
      </c>
      <c r="F4" s="209" t="s">
        <v>400</v>
      </c>
    </row>
    <row r="5" ht="15.75" customHeight="1">
      <c r="A5" s="210" t="s">
        <v>116</v>
      </c>
      <c r="B5" s="210" t="s">
        <v>401</v>
      </c>
      <c r="C5" s="211"/>
      <c r="D5" s="212" t="s">
        <v>402</v>
      </c>
      <c r="E5" s="212" t="s">
        <v>403</v>
      </c>
      <c r="F5" s="212" t="s">
        <v>400</v>
      </c>
    </row>
    <row r="6" ht="15.75" customHeight="1">
      <c r="A6" s="207" t="s">
        <v>116</v>
      </c>
      <c r="B6" s="207" t="s">
        <v>404</v>
      </c>
      <c r="C6" s="208"/>
      <c r="D6" s="209" t="s">
        <v>405</v>
      </c>
      <c r="E6" s="209" t="s">
        <v>406</v>
      </c>
      <c r="F6" s="209" t="s">
        <v>407</v>
      </c>
    </row>
    <row r="7" ht="15.75" customHeight="1">
      <c r="A7" s="210" t="s">
        <v>116</v>
      </c>
      <c r="B7" s="210" t="s">
        <v>117</v>
      </c>
      <c r="C7" s="213"/>
      <c r="D7" s="214" t="s">
        <v>408</v>
      </c>
      <c r="E7" s="215" t="s">
        <v>409</v>
      </c>
      <c r="F7" s="209" t="s">
        <v>410</v>
      </c>
    </row>
    <row r="8" ht="15.75" customHeight="1">
      <c r="A8" s="207" t="s">
        <v>116</v>
      </c>
      <c r="B8" s="207" t="s">
        <v>190</v>
      </c>
      <c r="C8" s="216"/>
      <c r="D8" s="209" t="s">
        <v>410</v>
      </c>
      <c r="E8" s="209" t="s">
        <v>411</v>
      </c>
      <c r="F8" s="209" t="s">
        <v>412</v>
      </c>
    </row>
    <row r="9" ht="15.75" customHeight="1">
      <c r="A9" s="217" t="s">
        <v>116</v>
      </c>
      <c r="B9" s="218" t="s">
        <v>413</v>
      </c>
      <c r="C9" s="213"/>
      <c r="D9" s="212" t="s">
        <v>410</v>
      </c>
      <c r="E9" s="212" t="s">
        <v>411</v>
      </c>
      <c r="F9" s="212" t="s">
        <v>412</v>
      </c>
    </row>
    <row r="10" ht="15.75" customHeight="1">
      <c r="A10" s="207" t="s">
        <v>116</v>
      </c>
      <c r="B10" s="207" t="s">
        <v>414</v>
      </c>
      <c r="C10" s="216"/>
      <c r="D10" s="209" t="s">
        <v>415</v>
      </c>
      <c r="E10" s="209" t="s">
        <v>416</v>
      </c>
      <c r="F10" s="209" t="s">
        <v>417</v>
      </c>
    </row>
    <row r="11" ht="15.75" customHeight="1">
      <c r="A11" s="210" t="s">
        <v>116</v>
      </c>
      <c r="B11" s="210" t="s">
        <v>418</v>
      </c>
      <c r="C11" s="213"/>
      <c r="D11" s="212" t="s">
        <v>419</v>
      </c>
      <c r="E11" s="212" t="s">
        <v>415</v>
      </c>
      <c r="F11" s="212" t="s">
        <v>411</v>
      </c>
    </row>
    <row r="12" ht="15.75" customHeight="1">
      <c r="A12" s="207" t="s">
        <v>116</v>
      </c>
      <c r="B12" s="219" t="s">
        <v>131</v>
      </c>
      <c r="C12" s="220"/>
      <c r="D12" s="221" t="s">
        <v>420</v>
      </c>
      <c r="E12" s="221" t="s">
        <v>421</v>
      </c>
      <c r="F12" s="209" t="s">
        <v>422</v>
      </c>
    </row>
    <row r="13" ht="15.75" customHeight="1">
      <c r="A13" s="210" t="s">
        <v>116</v>
      </c>
      <c r="B13" s="222" t="s">
        <v>423</v>
      </c>
      <c r="C13" s="223"/>
      <c r="D13" s="224" t="s">
        <v>420</v>
      </c>
      <c r="E13" s="224" t="s">
        <v>394</v>
      </c>
      <c r="F13" s="224" t="s">
        <v>422</v>
      </c>
    </row>
    <row r="14" ht="15.75" customHeight="1">
      <c r="A14" s="207" t="s">
        <v>116</v>
      </c>
      <c r="B14" s="207" t="s">
        <v>424</v>
      </c>
      <c r="C14" s="220"/>
      <c r="D14" s="221" t="s">
        <v>425</v>
      </c>
      <c r="E14" s="221" t="s">
        <v>426</v>
      </c>
      <c r="F14" s="209" t="s">
        <v>422</v>
      </c>
    </row>
    <row r="15" ht="15.75" customHeight="1">
      <c r="A15" s="210" t="s">
        <v>116</v>
      </c>
      <c r="B15" s="210" t="s">
        <v>427</v>
      </c>
      <c r="C15" s="213"/>
      <c r="D15" s="212" t="s">
        <v>425</v>
      </c>
      <c r="E15" s="212" t="s">
        <v>428</v>
      </c>
      <c r="F15" s="212" t="s">
        <v>426</v>
      </c>
    </row>
    <row r="16" ht="15.75" customHeight="1">
      <c r="A16" s="207" t="s">
        <v>116</v>
      </c>
      <c r="B16" s="207" t="s">
        <v>191</v>
      </c>
      <c r="C16" s="216"/>
      <c r="D16" s="209" t="s">
        <v>425</v>
      </c>
      <c r="E16" s="209" t="s">
        <v>428</v>
      </c>
      <c r="F16" s="209" t="s">
        <v>422</v>
      </c>
    </row>
    <row r="17" ht="15.75" customHeight="1">
      <c r="A17" s="210" t="s">
        <v>192</v>
      </c>
      <c r="B17" s="210" t="s">
        <v>151</v>
      </c>
      <c r="C17" s="213"/>
      <c r="D17" s="212" t="s">
        <v>429</v>
      </c>
      <c r="E17" s="212" t="s">
        <v>430</v>
      </c>
      <c r="F17" s="212" t="s">
        <v>431</v>
      </c>
    </row>
    <row r="18" ht="15.75" customHeight="1">
      <c r="A18" s="207" t="s">
        <v>192</v>
      </c>
      <c r="B18" s="207" t="s">
        <v>101</v>
      </c>
      <c r="C18" s="208"/>
      <c r="D18" s="209" t="s">
        <v>432</v>
      </c>
      <c r="E18" s="209" t="s">
        <v>433</v>
      </c>
      <c r="F18" s="209" t="s">
        <v>434</v>
      </c>
    </row>
    <row r="19" ht="15.75" customHeight="1">
      <c r="A19" s="210" t="s">
        <v>192</v>
      </c>
      <c r="B19" s="210" t="s">
        <v>193</v>
      </c>
      <c r="C19" s="213"/>
      <c r="D19" s="212" t="s">
        <v>432</v>
      </c>
      <c r="E19" s="212" t="s">
        <v>435</v>
      </c>
      <c r="F19" s="212" t="s">
        <v>436</v>
      </c>
    </row>
    <row r="20" ht="15.75" customHeight="1">
      <c r="A20" s="207" t="s">
        <v>192</v>
      </c>
      <c r="B20" s="207" t="s">
        <v>149</v>
      </c>
      <c r="C20" s="208"/>
      <c r="D20" s="209" t="s">
        <v>437</v>
      </c>
      <c r="E20" s="209" t="s">
        <v>438</v>
      </c>
      <c r="F20" s="209" t="s">
        <v>439</v>
      </c>
    </row>
    <row r="21" ht="15.75" customHeight="1">
      <c r="A21" s="210" t="s">
        <v>440</v>
      </c>
      <c r="B21" s="210" t="s">
        <v>73</v>
      </c>
      <c r="C21" s="213"/>
      <c r="D21" s="212" t="s">
        <v>441</v>
      </c>
      <c r="E21" s="212" t="s">
        <v>442</v>
      </c>
      <c r="F21" s="212" t="s">
        <v>443</v>
      </c>
    </row>
    <row r="22" ht="15.75" customHeight="1">
      <c r="A22" s="207" t="s">
        <v>440</v>
      </c>
      <c r="B22" s="207" t="s">
        <v>66</v>
      </c>
      <c r="C22" s="208"/>
      <c r="D22" s="209" t="s">
        <v>444</v>
      </c>
      <c r="E22" s="209" t="s">
        <v>445</v>
      </c>
      <c r="F22" s="209" t="s">
        <v>446</v>
      </c>
    </row>
    <row r="23" ht="15.75" customHeight="1">
      <c r="A23" s="210" t="s">
        <v>447</v>
      </c>
      <c r="B23" s="210" t="s">
        <v>101</v>
      </c>
      <c r="C23" s="213"/>
      <c r="D23" s="212" t="s">
        <v>448</v>
      </c>
      <c r="E23" s="212" t="s">
        <v>449</v>
      </c>
      <c r="F23" s="212" t="s">
        <v>450</v>
      </c>
    </row>
    <row r="24" ht="15.75" customHeight="1">
      <c r="A24" s="207" t="s">
        <v>200</v>
      </c>
      <c r="B24" s="207" t="s">
        <v>451</v>
      </c>
      <c r="C24" s="208"/>
      <c r="D24" s="209" t="s">
        <v>452</v>
      </c>
      <c r="E24" s="209" t="s">
        <v>453</v>
      </c>
      <c r="F24" s="209" t="s">
        <v>454</v>
      </c>
    </row>
    <row r="25" ht="15.75" customHeight="1">
      <c r="A25" s="210" t="s">
        <v>200</v>
      </c>
      <c r="B25" s="210" t="s">
        <v>455</v>
      </c>
      <c r="C25" s="213"/>
      <c r="D25" s="212" t="s">
        <v>456</v>
      </c>
      <c r="E25" s="212" t="s">
        <v>457</v>
      </c>
      <c r="F25" s="212" t="s">
        <v>458</v>
      </c>
    </row>
    <row r="26" ht="15.75" customHeight="1">
      <c r="A26" s="207" t="s">
        <v>200</v>
      </c>
      <c r="B26" s="207" t="s">
        <v>459</v>
      </c>
      <c r="C26" s="208"/>
      <c r="D26" s="209" t="s">
        <v>456</v>
      </c>
      <c r="E26" s="209" t="s">
        <v>457</v>
      </c>
      <c r="F26" s="209" t="s">
        <v>460</v>
      </c>
    </row>
    <row r="27" ht="15.75" customHeight="1">
      <c r="A27" s="210" t="s">
        <v>119</v>
      </c>
      <c r="B27" s="210" t="s">
        <v>120</v>
      </c>
      <c r="C27" s="213"/>
      <c r="D27" s="212" t="s">
        <v>461</v>
      </c>
      <c r="E27" s="212" t="s">
        <v>462</v>
      </c>
      <c r="F27" s="212" t="s">
        <v>463</v>
      </c>
    </row>
    <row r="28" ht="15.75" customHeight="1">
      <c r="A28" s="207" t="s">
        <v>119</v>
      </c>
      <c r="B28" s="207" t="s">
        <v>227</v>
      </c>
      <c r="C28" s="208"/>
      <c r="D28" s="209" t="s">
        <v>461</v>
      </c>
      <c r="E28" s="209" t="s">
        <v>462</v>
      </c>
      <c r="F28" s="208"/>
    </row>
    <row r="29" ht="15.75" customHeight="1">
      <c r="A29" s="210" t="s">
        <v>119</v>
      </c>
      <c r="B29" s="210" t="s">
        <v>464</v>
      </c>
      <c r="C29" s="213"/>
      <c r="D29" s="212" t="s">
        <v>461</v>
      </c>
      <c r="E29" s="212" t="s">
        <v>462</v>
      </c>
      <c r="F29" s="213"/>
    </row>
    <row r="30" ht="15.75" customHeight="1">
      <c r="A30" s="207" t="s">
        <v>119</v>
      </c>
      <c r="B30" s="207" t="s">
        <v>198</v>
      </c>
      <c r="C30" s="208"/>
      <c r="D30" s="209" t="s">
        <v>465</v>
      </c>
      <c r="E30" s="209" t="s">
        <v>466</v>
      </c>
      <c r="F30" s="209" t="s">
        <v>467</v>
      </c>
    </row>
    <row r="31" ht="15.75" customHeight="1">
      <c r="A31" s="210" t="s">
        <v>468</v>
      </c>
      <c r="B31" s="210" t="s">
        <v>469</v>
      </c>
      <c r="C31" s="213"/>
      <c r="D31" s="212" t="s">
        <v>470</v>
      </c>
      <c r="E31" s="212" t="s">
        <v>471</v>
      </c>
      <c r="F31" s="212" t="s">
        <v>472</v>
      </c>
    </row>
    <row r="32" ht="15.75" customHeight="1">
      <c r="A32" s="207" t="s">
        <v>203</v>
      </c>
      <c r="B32" s="207" t="s">
        <v>73</v>
      </c>
      <c r="C32" s="208"/>
      <c r="D32" s="209" t="s">
        <v>473</v>
      </c>
      <c r="E32" s="209" t="s">
        <v>474</v>
      </c>
      <c r="F32" s="209" t="s">
        <v>475</v>
      </c>
    </row>
    <row r="33" ht="15.75" customHeight="1">
      <c r="A33" s="210" t="s">
        <v>203</v>
      </c>
      <c r="B33" s="210" t="s">
        <v>86</v>
      </c>
      <c r="C33" s="213"/>
      <c r="D33" s="212" t="s">
        <v>476</v>
      </c>
      <c r="E33" s="212" t="s">
        <v>477</v>
      </c>
      <c r="F33" s="212" t="s">
        <v>478</v>
      </c>
    </row>
    <row r="34" ht="15.75" customHeight="1">
      <c r="A34" s="207" t="s">
        <v>203</v>
      </c>
      <c r="B34" s="207" t="s">
        <v>308</v>
      </c>
      <c r="C34" s="216"/>
      <c r="D34" s="208"/>
      <c r="E34" s="209" t="s">
        <v>476</v>
      </c>
      <c r="F34" s="209" t="s">
        <v>479</v>
      </c>
    </row>
    <row r="35" ht="15.75" customHeight="1">
      <c r="A35" s="210" t="s">
        <v>203</v>
      </c>
      <c r="B35" s="210" t="s">
        <v>265</v>
      </c>
      <c r="C35" s="213"/>
      <c r="D35" s="212" t="s">
        <v>480</v>
      </c>
      <c r="E35" s="212" t="s">
        <v>481</v>
      </c>
      <c r="F35" s="212" t="s">
        <v>482</v>
      </c>
    </row>
    <row r="36" ht="15.75" customHeight="1">
      <c r="A36" s="207" t="s">
        <v>203</v>
      </c>
      <c r="B36" s="207" t="s">
        <v>483</v>
      </c>
      <c r="C36" s="208"/>
      <c r="D36" s="209" t="s">
        <v>484</v>
      </c>
      <c r="E36" s="209" t="s">
        <v>485</v>
      </c>
      <c r="F36" s="209" t="s">
        <v>486</v>
      </c>
    </row>
    <row r="37" ht="15.75" customHeight="1">
      <c r="A37" s="210" t="s">
        <v>487</v>
      </c>
      <c r="B37" s="210" t="s">
        <v>149</v>
      </c>
      <c r="C37" s="213"/>
      <c r="D37" s="213"/>
      <c r="E37" s="213"/>
      <c r="F37" s="213"/>
    </row>
    <row r="38" ht="15.75" customHeight="1">
      <c r="A38" s="207" t="s">
        <v>65</v>
      </c>
      <c r="B38" s="207" t="s">
        <v>66</v>
      </c>
      <c r="C38" s="208"/>
      <c r="D38" s="209" t="s">
        <v>488</v>
      </c>
      <c r="E38" s="209" t="s">
        <v>489</v>
      </c>
      <c r="F38" s="209" t="s">
        <v>490</v>
      </c>
    </row>
    <row r="39" ht="15.75" customHeight="1">
      <c r="A39" s="210" t="s">
        <v>65</v>
      </c>
      <c r="B39" s="210" t="s">
        <v>73</v>
      </c>
      <c r="C39" s="213"/>
      <c r="D39" s="212" t="s">
        <v>491</v>
      </c>
      <c r="E39" s="212" t="s">
        <v>492</v>
      </c>
      <c r="F39" s="212" t="s">
        <v>493</v>
      </c>
    </row>
    <row r="40" ht="15.75" customHeight="1">
      <c r="A40" s="207" t="s">
        <v>65</v>
      </c>
      <c r="B40" s="207" t="s">
        <v>242</v>
      </c>
      <c r="C40" s="208"/>
      <c r="D40" s="209" t="s">
        <v>494</v>
      </c>
      <c r="E40" s="209" t="s">
        <v>495</v>
      </c>
      <c r="F40" s="209" t="s">
        <v>496</v>
      </c>
    </row>
    <row r="41" ht="15.75" customHeight="1">
      <c r="A41" s="210" t="s">
        <v>65</v>
      </c>
      <c r="B41" s="210" t="s">
        <v>127</v>
      </c>
      <c r="C41" s="213"/>
      <c r="D41" s="212" t="s">
        <v>497</v>
      </c>
      <c r="E41" s="212" t="s">
        <v>498</v>
      </c>
      <c r="F41" s="212" t="s">
        <v>499</v>
      </c>
    </row>
    <row r="42" ht="15.75" customHeight="1">
      <c r="A42" s="207" t="s">
        <v>65</v>
      </c>
      <c r="B42" s="207" t="s">
        <v>500</v>
      </c>
      <c r="C42" s="208"/>
      <c r="D42" s="209" t="s">
        <v>489</v>
      </c>
      <c r="E42" s="209" t="s">
        <v>490</v>
      </c>
      <c r="F42" s="209" t="s">
        <v>493</v>
      </c>
    </row>
    <row r="43" ht="15.75" customHeight="1">
      <c r="A43" s="210" t="s">
        <v>65</v>
      </c>
      <c r="B43" s="210" t="s">
        <v>144</v>
      </c>
      <c r="C43" s="213"/>
      <c r="D43" s="212" t="s">
        <v>491</v>
      </c>
      <c r="E43" s="212" t="s">
        <v>489</v>
      </c>
      <c r="F43" s="212" t="s">
        <v>490</v>
      </c>
    </row>
    <row r="44" ht="15.75" customHeight="1">
      <c r="A44" s="207" t="s">
        <v>65</v>
      </c>
      <c r="B44" s="207" t="s">
        <v>501</v>
      </c>
      <c r="C44" s="208"/>
      <c r="D44" s="209" t="s">
        <v>491</v>
      </c>
      <c r="E44" s="209" t="s">
        <v>490</v>
      </c>
      <c r="F44" s="209" t="s">
        <v>493</v>
      </c>
    </row>
    <row r="45" ht="15.75" customHeight="1">
      <c r="A45" s="210" t="s">
        <v>98</v>
      </c>
      <c r="B45" s="210" t="s">
        <v>502</v>
      </c>
      <c r="C45" s="213"/>
      <c r="D45" s="212" t="s">
        <v>503</v>
      </c>
      <c r="E45" s="212" t="s">
        <v>504</v>
      </c>
      <c r="F45" s="212" t="s">
        <v>505</v>
      </c>
    </row>
    <row r="46" ht="15.75" customHeight="1">
      <c r="A46" s="207" t="s">
        <v>98</v>
      </c>
      <c r="B46" s="207" t="s">
        <v>506</v>
      </c>
      <c r="C46" s="208"/>
      <c r="D46" s="208"/>
      <c r="E46" s="208"/>
      <c r="F46" s="208"/>
    </row>
    <row r="47" ht="15.75" customHeight="1">
      <c r="A47" s="210" t="s">
        <v>98</v>
      </c>
      <c r="B47" s="210" t="s">
        <v>198</v>
      </c>
      <c r="C47" s="213"/>
      <c r="D47" s="213"/>
      <c r="E47" s="213"/>
      <c r="F47" s="213"/>
    </row>
    <row r="48" ht="15.75" customHeight="1">
      <c r="A48" s="207" t="s">
        <v>98</v>
      </c>
      <c r="B48" s="219" t="s">
        <v>133</v>
      </c>
      <c r="C48" s="208"/>
      <c r="D48" s="209" t="s">
        <v>507</v>
      </c>
      <c r="E48" s="209" t="s">
        <v>508</v>
      </c>
      <c r="F48" s="209" t="s">
        <v>509</v>
      </c>
    </row>
    <row r="49" ht="15.75" customHeight="1">
      <c r="A49" s="210" t="s">
        <v>98</v>
      </c>
      <c r="B49" s="210" t="s">
        <v>510</v>
      </c>
      <c r="C49" s="213"/>
      <c r="D49" s="213"/>
      <c r="E49" s="213"/>
      <c r="F49" s="213"/>
    </row>
    <row r="50" ht="15.75" customHeight="1">
      <c r="A50" s="207" t="s">
        <v>98</v>
      </c>
      <c r="B50" s="207" t="s">
        <v>511</v>
      </c>
      <c r="C50" s="208"/>
      <c r="D50" s="208"/>
      <c r="E50" s="208"/>
      <c r="F50" s="208"/>
    </row>
    <row r="51" ht="15.75" customHeight="1">
      <c r="A51" s="210" t="s">
        <v>98</v>
      </c>
      <c r="B51" s="210" t="s">
        <v>512</v>
      </c>
      <c r="C51" s="213"/>
      <c r="D51" s="212" t="s">
        <v>513</v>
      </c>
      <c r="E51" s="212" t="s">
        <v>514</v>
      </c>
      <c r="F51" s="212" t="s">
        <v>515</v>
      </c>
    </row>
    <row r="52" ht="15.75" customHeight="1">
      <c r="A52" s="207" t="s">
        <v>98</v>
      </c>
      <c r="B52" s="207" t="s">
        <v>206</v>
      </c>
      <c r="C52" s="208"/>
      <c r="D52" s="209" t="s">
        <v>516</v>
      </c>
      <c r="E52" s="209" t="s">
        <v>517</v>
      </c>
      <c r="F52" s="209" t="s">
        <v>505</v>
      </c>
    </row>
    <row r="53" ht="15.75" customHeight="1">
      <c r="A53" s="210" t="s">
        <v>98</v>
      </c>
      <c r="B53" s="210" t="s">
        <v>208</v>
      </c>
      <c r="C53" s="213"/>
      <c r="D53" s="212" t="s">
        <v>503</v>
      </c>
      <c r="E53" s="212" t="s">
        <v>518</v>
      </c>
      <c r="F53" s="212" t="s">
        <v>515</v>
      </c>
    </row>
    <row r="54" ht="15.75" customHeight="1">
      <c r="A54" s="207" t="s">
        <v>98</v>
      </c>
      <c r="B54" s="207" t="s">
        <v>519</v>
      </c>
      <c r="C54" s="208"/>
      <c r="D54" s="208"/>
      <c r="E54" s="208"/>
      <c r="F54" s="208"/>
    </row>
    <row r="55" ht="15.75" customHeight="1">
      <c r="A55" s="210" t="s">
        <v>98</v>
      </c>
      <c r="B55" s="210" t="s">
        <v>73</v>
      </c>
      <c r="C55" s="213"/>
      <c r="D55" s="212" t="s">
        <v>507</v>
      </c>
      <c r="E55" s="212" t="s">
        <v>508</v>
      </c>
      <c r="F55" s="212" t="s">
        <v>520</v>
      </c>
    </row>
    <row r="56" ht="15.75" customHeight="1">
      <c r="A56" s="207" t="s">
        <v>98</v>
      </c>
      <c r="B56" s="207" t="s">
        <v>521</v>
      </c>
      <c r="C56" s="216"/>
      <c r="D56" s="209" t="s">
        <v>522</v>
      </c>
      <c r="E56" s="209" t="s">
        <v>523</v>
      </c>
      <c r="F56" s="209" t="s">
        <v>524</v>
      </c>
    </row>
    <row r="57" ht="15.75" customHeight="1">
      <c r="A57" s="210" t="s">
        <v>98</v>
      </c>
      <c r="B57" s="210" t="s">
        <v>525</v>
      </c>
      <c r="C57" s="211"/>
      <c r="D57" s="212" t="s">
        <v>522</v>
      </c>
      <c r="E57" s="212" t="s">
        <v>526</v>
      </c>
      <c r="F57" s="212" t="s">
        <v>524</v>
      </c>
    </row>
    <row r="58" ht="15.75" customHeight="1">
      <c r="A58" s="207" t="s">
        <v>98</v>
      </c>
      <c r="B58" s="207" t="s">
        <v>101</v>
      </c>
      <c r="C58" s="208"/>
      <c r="D58" s="209" t="s">
        <v>527</v>
      </c>
      <c r="E58" s="209" t="s">
        <v>528</v>
      </c>
      <c r="F58" s="209" t="s">
        <v>529</v>
      </c>
    </row>
    <row r="59" ht="15.75" customHeight="1">
      <c r="A59" s="210" t="s">
        <v>98</v>
      </c>
      <c r="B59" s="210" t="s">
        <v>79</v>
      </c>
      <c r="C59" s="213"/>
      <c r="D59" s="213"/>
      <c r="E59" s="213"/>
      <c r="F59" s="213"/>
    </row>
    <row r="60" ht="15.75" customHeight="1">
      <c r="A60" s="207" t="s">
        <v>98</v>
      </c>
      <c r="B60" s="207" t="s">
        <v>66</v>
      </c>
      <c r="C60" s="208"/>
      <c r="D60" s="208"/>
      <c r="E60" s="209" t="s">
        <v>530</v>
      </c>
      <c r="F60" s="209" t="s">
        <v>531</v>
      </c>
    </row>
    <row r="61" ht="15.75" customHeight="1">
      <c r="A61" s="210" t="s">
        <v>98</v>
      </c>
      <c r="B61" s="210" t="s">
        <v>149</v>
      </c>
      <c r="C61" s="211"/>
      <c r="D61" s="212" t="s">
        <v>532</v>
      </c>
      <c r="E61" s="212" t="s">
        <v>533</v>
      </c>
      <c r="F61" s="212" t="s">
        <v>534</v>
      </c>
    </row>
    <row r="62" ht="15.75" customHeight="1">
      <c r="A62" s="207" t="s">
        <v>140</v>
      </c>
      <c r="B62" s="225" t="s">
        <v>335</v>
      </c>
      <c r="C62" s="208"/>
      <c r="D62" s="209" t="s">
        <v>535</v>
      </c>
      <c r="E62" s="209" t="s">
        <v>536</v>
      </c>
      <c r="F62" s="209" t="s">
        <v>537</v>
      </c>
    </row>
    <row r="63" ht="15.75" customHeight="1">
      <c r="A63" s="210" t="s">
        <v>140</v>
      </c>
      <c r="B63" s="210" t="s">
        <v>538</v>
      </c>
      <c r="C63" s="213"/>
      <c r="D63" s="212" t="s">
        <v>539</v>
      </c>
      <c r="E63" s="212" t="s">
        <v>540</v>
      </c>
      <c r="F63" s="212" t="s">
        <v>541</v>
      </c>
    </row>
    <row r="64" ht="15.75" customHeight="1">
      <c r="A64" s="222" t="s">
        <v>140</v>
      </c>
      <c r="B64" s="222" t="s">
        <v>146</v>
      </c>
      <c r="C64" s="213"/>
      <c r="D64" s="226" t="s">
        <v>542</v>
      </c>
      <c r="E64" s="226" t="s">
        <v>543</v>
      </c>
      <c r="F64" s="212"/>
    </row>
    <row r="65" ht="15.75" customHeight="1">
      <c r="A65" s="207" t="s">
        <v>140</v>
      </c>
      <c r="B65" s="207" t="s">
        <v>544</v>
      </c>
      <c r="C65" s="208"/>
      <c r="D65" s="209" t="s">
        <v>545</v>
      </c>
      <c r="E65" s="209" t="s">
        <v>546</v>
      </c>
      <c r="F65" s="209" t="s">
        <v>547</v>
      </c>
    </row>
    <row r="66" ht="15.75" customHeight="1">
      <c r="A66" s="210" t="s">
        <v>140</v>
      </c>
      <c r="B66" s="210" t="s">
        <v>115</v>
      </c>
      <c r="C66" s="213"/>
      <c r="D66" s="212" t="s">
        <v>539</v>
      </c>
      <c r="E66" s="212" t="s">
        <v>540</v>
      </c>
      <c r="F66" s="212" t="s">
        <v>541</v>
      </c>
    </row>
    <row r="67" ht="15.75" customHeight="1">
      <c r="A67" s="227" t="s">
        <v>140</v>
      </c>
      <c r="B67" s="219" t="s">
        <v>214</v>
      </c>
      <c r="C67" s="208"/>
      <c r="D67" s="209" t="s">
        <v>540</v>
      </c>
      <c r="E67" s="209" t="s">
        <v>548</v>
      </c>
      <c r="F67" s="209" t="s">
        <v>549</v>
      </c>
    </row>
    <row r="68" ht="15.75" customHeight="1">
      <c r="A68" s="228" t="s">
        <v>140</v>
      </c>
      <c r="B68" s="222" t="s">
        <v>201</v>
      </c>
      <c r="C68" s="213"/>
      <c r="D68" s="212" t="s">
        <v>550</v>
      </c>
      <c r="E68" s="212" t="s">
        <v>548</v>
      </c>
      <c r="F68" s="212" t="s">
        <v>549</v>
      </c>
    </row>
    <row r="69" ht="15.75" customHeight="1">
      <c r="A69" s="207" t="s">
        <v>140</v>
      </c>
      <c r="B69" s="207" t="s">
        <v>141</v>
      </c>
      <c r="C69" s="216"/>
      <c r="D69" s="209" t="s">
        <v>551</v>
      </c>
      <c r="E69" s="209" t="s">
        <v>552</v>
      </c>
      <c r="F69" s="209" t="s">
        <v>546</v>
      </c>
    </row>
    <row r="70" ht="15.75" customHeight="1">
      <c r="A70" s="210" t="s">
        <v>140</v>
      </c>
      <c r="B70" s="210" t="s">
        <v>553</v>
      </c>
      <c r="C70" s="211"/>
      <c r="D70" s="212" t="s">
        <v>551</v>
      </c>
      <c r="E70" s="212" t="s">
        <v>552</v>
      </c>
      <c r="F70" s="212" t="s">
        <v>547</v>
      </c>
    </row>
    <row r="71" ht="15.75" customHeight="1">
      <c r="A71" s="207" t="s">
        <v>140</v>
      </c>
      <c r="B71" s="207" t="s">
        <v>554</v>
      </c>
      <c r="C71" s="208"/>
      <c r="D71" s="209" t="s">
        <v>550</v>
      </c>
      <c r="E71" s="209" t="s">
        <v>555</v>
      </c>
      <c r="F71" s="209" t="s">
        <v>556</v>
      </c>
    </row>
    <row r="72" ht="15.75" customHeight="1">
      <c r="A72" s="210" t="s">
        <v>140</v>
      </c>
      <c r="B72" s="210" t="s">
        <v>230</v>
      </c>
      <c r="C72" s="213"/>
      <c r="D72" s="212" t="s">
        <v>550</v>
      </c>
      <c r="E72" s="212" t="s">
        <v>557</v>
      </c>
      <c r="F72" s="212" t="s">
        <v>558</v>
      </c>
    </row>
    <row r="73" ht="15.75" customHeight="1">
      <c r="A73" s="207" t="s">
        <v>140</v>
      </c>
      <c r="B73" s="207" t="s">
        <v>73</v>
      </c>
      <c r="C73" s="216"/>
      <c r="D73" s="209" t="s">
        <v>559</v>
      </c>
      <c r="E73" s="209" t="s">
        <v>560</v>
      </c>
      <c r="F73" s="209" t="s">
        <v>561</v>
      </c>
    </row>
    <row r="74" ht="15.75" customHeight="1">
      <c r="A74" s="210" t="s">
        <v>148</v>
      </c>
      <c r="B74" s="210" t="s">
        <v>562</v>
      </c>
      <c r="C74" s="213"/>
      <c r="D74" s="212" t="s">
        <v>563</v>
      </c>
      <c r="E74" s="212" t="s">
        <v>564</v>
      </c>
      <c r="F74" s="212" t="s">
        <v>565</v>
      </c>
    </row>
    <row r="75" ht="15.75" customHeight="1">
      <c r="A75" s="207" t="s">
        <v>148</v>
      </c>
      <c r="B75" s="207" t="s">
        <v>566</v>
      </c>
      <c r="C75" s="208"/>
      <c r="D75" s="209" t="s">
        <v>567</v>
      </c>
      <c r="E75" s="209" t="s">
        <v>568</v>
      </c>
      <c r="F75" s="209" t="s">
        <v>569</v>
      </c>
    </row>
    <row r="76" ht="15.75" customHeight="1">
      <c r="A76" s="210" t="s">
        <v>148</v>
      </c>
      <c r="B76" s="210" t="s">
        <v>570</v>
      </c>
      <c r="C76" s="213"/>
      <c r="D76" s="212" t="s">
        <v>563</v>
      </c>
      <c r="E76" s="212" t="s">
        <v>571</v>
      </c>
      <c r="F76" s="212" t="s">
        <v>572</v>
      </c>
    </row>
    <row r="77" ht="15.75" customHeight="1">
      <c r="A77" s="207" t="s">
        <v>148</v>
      </c>
      <c r="B77" s="207" t="s">
        <v>573</v>
      </c>
      <c r="C77" s="208"/>
      <c r="D77" s="209" t="s">
        <v>563</v>
      </c>
      <c r="E77" s="209" t="s">
        <v>574</v>
      </c>
      <c r="F77" s="209" t="s">
        <v>575</v>
      </c>
    </row>
    <row r="78" ht="15.75" customHeight="1">
      <c r="A78" s="210" t="s">
        <v>148</v>
      </c>
      <c r="B78" s="210" t="s">
        <v>576</v>
      </c>
      <c r="C78" s="213"/>
      <c r="D78" s="212" t="s">
        <v>563</v>
      </c>
      <c r="E78" s="212" t="s">
        <v>571</v>
      </c>
      <c r="F78" s="212" t="s">
        <v>577</v>
      </c>
    </row>
    <row r="79" ht="15.75" customHeight="1">
      <c r="A79" s="207" t="s">
        <v>148</v>
      </c>
      <c r="B79" s="207" t="s">
        <v>578</v>
      </c>
      <c r="C79" s="208"/>
      <c r="D79" s="209" t="s">
        <v>579</v>
      </c>
      <c r="E79" s="208"/>
      <c r="F79" s="209" t="s">
        <v>580</v>
      </c>
    </row>
    <row r="80" ht="15.75" customHeight="1">
      <c r="A80" s="210" t="s">
        <v>148</v>
      </c>
      <c r="B80" s="210" t="s">
        <v>581</v>
      </c>
      <c r="C80" s="213"/>
      <c r="D80" s="212" t="s">
        <v>567</v>
      </c>
      <c r="E80" s="212" t="s">
        <v>568</v>
      </c>
      <c r="F80" s="212" t="s">
        <v>569</v>
      </c>
    </row>
    <row r="81" ht="15.75" customHeight="1">
      <c r="A81" s="207" t="s">
        <v>148</v>
      </c>
      <c r="B81" s="207" t="s">
        <v>582</v>
      </c>
      <c r="C81" s="208"/>
      <c r="D81" s="208"/>
      <c r="E81" s="208"/>
      <c r="F81" s="208"/>
    </row>
    <row r="82" ht="15.75" customHeight="1">
      <c r="A82" s="210" t="s">
        <v>148</v>
      </c>
      <c r="B82" s="210" t="s">
        <v>583</v>
      </c>
      <c r="C82" s="213"/>
      <c r="D82" s="212" t="s">
        <v>584</v>
      </c>
      <c r="E82" s="212" t="s">
        <v>563</v>
      </c>
      <c r="F82" s="212" t="s">
        <v>585</v>
      </c>
    </row>
    <row r="83" ht="15.75" customHeight="1">
      <c r="A83" s="207" t="s">
        <v>148</v>
      </c>
      <c r="B83" s="207" t="s">
        <v>123</v>
      </c>
      <c r="C83" s="208"/>
      <c r="D83" s="209" t="s">
        <v>586</v>
      </c>
      <c r="E83" s="209" t="s">
        <v>587</v>
      </c>
      <c r="F83" s="209" t="s">
        <v>588</v>
      </c>
    </row>
    <row r="84" ht="15.75" customHeight="1">
      <c r="A84" s="210" t="s">
        <v>148</v>
      </c>
      <c r="B84" s="210" t="s">
        <v>218</v>
      </c>
      <c r="C84" s="213"/>
      <c r="D84" s="212" t="s">
        <v>563</v>
      </c>
      <c r="E84" s="212" t="s">
        <v>571</v>
      </c>
      <c r="F84" s="212" t="s">
        <v>572</v>
      </c>
    </row>
    <row r="85" ht="15.75" customHeight="1">
      <c r="A85" s="207" t="s">
        <v>148</v>
      </c>
      <c r="B85" s="207" t="s">
        <v>589</v>
      </c>
      <c r="C85" s="208"/>
      <c r="D85" s="209" t="s">
        <v>563</v>
      </c>
      <c r="E85" s="209" t="s">
        <v>571</v>
      </c>
      <c r="F85" s="209" t="s">
        <v>572</v>
      </c>
    </row>
    <row r="86" ht="15.75" customHeight="1">
      <c r="A86" s="210" t="s">
        <v>148</v>
      </c>
      <c r="B86" s="210" t="s">
        <v>216</v>
      </c>
      <c r="C86" s="213"/>
      <c r="D86" s="212" t="s">
        <v>563</v>
      </c>
      <c r="E86" s="212" t="s">
        <v>574</v>
      </c>
      <c r="F86" s="212" t="s">
        <v>575</v>
      </c>
    </row>
    <row r="87" ht="15.75" customHeight="1">
      <c r="A87" s="207" t="s">
        <v>148</v>
      </c>
      <c r="B87" s="207" t="s">
        <v>149</v>
      </c>
      <c r="C87" s="208"/>
      <c r="D87" s="209" t="s">
        <v>563</v>
      </c>
      <c r="E87" s="209" t="s">
        <v>590</v>
      </c>
      <c r="F87" s="209" t="s">
        <v>577</v>
      </c>
    </row>
    <row r="88" ht="15.75" customHeight="1">
      <c r="A88" s="210" t="s">
        <v>148</v>
      </c>
      <c r="B88" s="210" t="s">
        <v>591</v>
      </c>
      <c r="C88" s="213"/>
      <c r="D88" s="224" t="s">
        <v>563</v>
      </c>
      <c r="E88" s="224" t="s">
        <v>564</v>
      </c>
      <c r="F88" s="224" t="s">
        <v>569</v>
      </c>
    </row>
    <row r="89" ht="15.75" customHeight="1">
      <c r="A89" s="207" t="s">
        <v>148</v>
      </c>
      <c r="B89" s="207" t="s">
        <v>215</v>
      </c>
      <c r="C89" s="208"/>
      <c r="D89" s="209" t="s">
        <v>563</v>
      </c>
      <c r="E89" s="209" t="s">
        <v>564</v>
      </c>
      <c r="F89" s="209" t="s">
        <v>565</v>
      </c>
    </row>
    <row r="90" ht="15.75" customHeight="1">
      <c r="A90" s="210" t="s">
        <v>148</v>
      </c>
      <c r="B90" s="210" t="s">
        <v>227</v>
      </c>
      <c r="C90" s="213"/>
      <c r="D90" s="212" t="s">
        <v>579</v>
      </c>
      <c r="E90" s="212" t="s">
        <v>571</v>
      </c>
      <c r="F90" s="212" t="s">
        <v>592</v>
      </c>
    </row>
    <row r="91" ht="15.75" customHeight="1">
      <c r="A91" s="207" t="s">
        <v>148</v>
      </c>
      <c r="B91" s="207" t="s">
        <v>593</v>
      </c>
      <c r="C91" s="208"/>
      <c r="D91" s="209" t="s">
        <v>594</v>
      </c>
      <c r="E91" s="209" t="s">
        <v>595</v>
      </c>
      <c r="F91" s="209" t="s">
        <v>596</v>
      </c>
    </row>
    <row r="92" ht="15.75" customHeight="1">
      <c r="A92" s="210" t="s">
        <v>148</v>
      </c>
      <c r="B92" s="210" t="s">
        <v>66</v>
      </c>
      <c r="C92" s="213"/>
      <c r="D92" s="213"/>
      <c r="E92" s="213"/>
      <c r="F92" s="213"/>
    </row>
    <row r="93" ht="15.75" customHeight="1">
      <c r="A93" s="207" t="s">
        <v>148</v>
      </c>
      <c r="B93" s="207" t="s">
        <v>597</v>
      </c>
      <c r="C93" s="208"/>
      <c r="D93" s="209" t="s">
        <v>598</v>
      </c>
      <c r="E93" s="209" t="s">
        <v>599</v>
      </c>
      <c r="F93" s="209" t="s">
        <v>569</v>
      </c>
    </row>
    <row r="94" ht="15.75" customHeight="1">
      <c r="A94" s="210" t="s">
        <v>148</v>
      </c>
      <c r="B94" s="210" t="s">
        <v>600</v>
      </c>
      <c r="C94" s="211"/>
      <c r="D94" s="212" t="s">
        <v>601</v>
      </c>
      <c r="E94" s="212" t="s">
        <v>602</v>
      </c>
      <c r="F94" s="212" t="s">
        <v>572</v>
      </c>
    </row>
    <row r="95" ht="15.75" customHeight="1">
      <c r="A95" s="207" t="s">
        <v>148</v>
      </c>
      <c r="B95" s="207" t="s">
        <v>603</v>
      </c>
      <c r="C95" s="208"/>
      <c r="D95" s="209" t="s">
        <v>604</v>
      </c>
      <c r="E95" s="209" t="s">
        <v>605</v>
      </c>
      <c r="F95" s="209" t="s">
        <v>606</v>
      </c>
    </row>
    <row r="96" ht="15.75" customHeight="1">
      <c r="A96" s="210" t="s">
        <v>148</v>
      </c>
      <c r="B96" s="210" t="s">
        <v>219</v>
      </c>
      <c r="C96" s="213"/>
      <c r="D96" s="212" t="s">
        <v>594</v>
      </c>
      <c r="E96" s="212" t="s">
        <v>595</v>
      </c>
      <c r="F96" s="212" t="s">
        <v>607</v>
      </c>
    </row>
    <row r="97" ht="15.75" customHeight="1">
      <c r="A97" s="207" t="s">
        <v>148</v>
      </c>
      <c r="B97" s="207" t="s">
        <v>608</v>
      </c>
      <c r="C97" s="208"/>
      <c r="D97" s="208"/>
      <c r="E97" s="208"/>
      <c r="F97" s="208"/>
    </row>
    <row r="98" ht="15.75" customHeight="1">
      <c r="A98" s="210" t="s">
        <v>148</v>
      </c>
      <c r="B98" s="210" t="s">
        <v>609</v>
      </c>
      <c r="C98" s="213"/>
      <c r="D98" s="212" t="s">
        <v>610</v>
      </c>
      <c r="E98" s="212" t="s">
        <v>611</v>
      </c>
      <c r="F98" s="212" t="s">
        <v>612</v>
      </c>
    </row>
    <row r="99" ht="15.75" customHeight="1">
      <c r="A99" s="207" t="s">
        <v>148</v>
      </c>
      <c r="B99" s="207" t="s">
        <v>613</v>
      </c>
      <c r="C99" s="208"/>
      <c r="D99" s="208"/>
      <c r="E99" s="208"/>
      <c r="F99" s="208"/>
    </row>
    <row r="100" ht="15.75" customHeight="1">
      <c r="A100" s="210" t="s">
        <v>148</v>
      </c>
      <c r="B100" s="210" t="s">
        <v>614</v>
      </c>
      <c r="C100" s="213"/>
      <c r="D100" s="212" t="s">
        <v>615</v>
      </c>
      <c r="E100" s="212" t="s">
        <v>616</v>
      </c>
      <c r="F100" s="212" t="s">
        <v>617</v>
      </c>
    </row>
    <row r="101" ht="15.75" customHeight="1">
      <c r="A101" s="207" t="s">
        <v>148</v>
      </c>
      <c r="B101" s="207" t="s">
        <v>618</v>
      </c>
      <c r="C101" s="208"/>
      <c r="D101" s="209" t="s">
        <v>619</v>
      </c>
      <c r="E101" s="209" t="s">
        <v>620</v>
      </c>
      <c r="F101" s="209" t="s">
        <v>569</v>
      </c>
    </row>
    <row r="102" ht="15.75" customHeight="1">
      <c r="A102" s="210" t="s">
        <v>148</v>
      </c>
      <c r="B102" s="210" t="s">
        <v>621</v>
      </c>
      <c r="C102" s="211"/>
      <c r="D102" s="212" t="s">
        <v>622</v>
      </c>
      <c r="E102" s="212" t="s">
        <v>623</v>
      </c>
      <c r="F102" s="212" t="s">
        <v>624</v>
      </c>
    </row>
    <row r="103" ht="15.75" customHeight="1">
      <c r="A103" s="207" t="s">
        <v>148</v>
      </c>
      <c r="B103" s="207" t="s">
        <v>625</v>
      </c>
      <c r="C103" s="216"/>
      <c r="D103" s="209" t="s">
        <v>626</v>
      </c>
      <c r="E103" s="209" t="s">
        <v>627</v>
      </c>
      <c r="F103" s="209" t="s">
        <v>628</v>
      </c>
    </row>
    <row r="104" ht="15.75" customHeight="1">
      <c r="A104" s="210" t="s">
        <v>148</v>
      </c>
      <c r="B104" s="210" t="s">
        <v>629</v>
      </c>
      <c r="C104" s="213"/>
      <c r="D104" s="212" t="s">
        <v>630</v>
      </c>
      <c r="E104" s="212" t="s">
        <v>631</v>
      </c>
      <c r="F104" s="212" t="s">
        <v>632</v>
      </c>
    </row>
    <row r="105" ht="15.75" customHeight="1">
      <c r="A105" s="207" t="s">
        <v>148</v>
      </c>
      <c r="B105" s="207" t="s">
        <v>198</v>
      </c>
      <c r="C105" s="208"/>
      <c r="D105" s="208"/>
      <c r="E105" s="208"/>
      <c r="F105" s="208"/>
    </row>
    <row r="106" ht="15.75" customHeight="1">
      <c r="A106" s="210" t="s">
        <v>148</v>
      </c>
      <c r="B106" s="210" t="s">
        <v>224</v>
      </c>
      <c r="C106" s="213"/>
      <c r="D106" s="212" t="s">
        <v>633</v>
      </c>
      <c r="E106" s="212" t="s">
        <v>634</v>
      </c>
      <c r="F106" s="212" t="s">
        <v>635</v>
      </c>
    </row>
    <row r="107" ht="15.75" customHeight="1">
      <c r="A107" s="207" t="s">
        <v>636</v>
      </c>
      <c r="B107" s="207" t="s">
        <v>637</v>
      </c>
      <c r="C107" s="208"/>
      <c r="D107" s="209" t="s">
        <v>638</v>
      </c>
      <c r="E107" s="209" t="s">
        <v>639</v>
      </c>
      <c r="F107" s="209" t="s">
        <v>640</v>
      </c>
    </row>
    <row r="108" ht="15.75" customHeight="1">
      <c r="A108" s="210" t="s">
        <v>636</v>
      </c>
      <c r="B108" s="210" t="s">
        <v>641</v>
      </c>
      <c r="C108" s="213"/>
      <c r="D108" s="212" t="s">
        <v>642</v>
      </c>
      <c r="E108" s="212" t="s">
        <v>638</v>
      </c>
      <c r="F108" s="212" t="s">
        <v>643</v>
      </c>
    </row>
    <row r="109" ht="15.75" customHeight="1">
      <c r="A109" s="207" t="s">
        <v>636</v>
      </c>
      <c r="B109" s="207" t="s">
        <v>66</v>
      </c>
      <c r="C109" s="208"/>
      <c r="D109" s="209" t="s">
        <v>644</v>
      </c>
      <c r="E109" s="209" t="s">
        <v>645</v>
      </c>
      <c r="F109" s="209" t="s">
        <v>640</v>
      </c>
    </row>
    <row r="110" ht="15.75" customHeight="1">
      <c r="A110" s="210" t="s">
        <v>636</v>
      </c>
      <c r="B110" s="210" t="s">
        <v>318</v>
      </c>
      <c r="C110" s="213"/>
      <c r="D110" s="212" t="s">
        <v>646</v>
      </c>
      <c r="E110" s="212" t="s">
        <v>647</v>
      </c>
      <c r="F110" s="213"/>
    </row>
    <row r="111" ht="15.75" customHeight="1">
      <c r="A111" s="207" t="s">
        <v>636</v>
      </c>
      <c r="B111" s="207" t="s">
        <v>648</v>
      </c>
      <c r="C111" s="208"/>
      <c r="D111" s="209" t="s">
        <v>646</v>
      </c>
      <c r="E111" s="209" t="s">
        <v>647</v>
      </c>
      <c r="F111" s="209" t="s">
        <v>643</v>
      </c>
    </row>
    <row r="112" ht="15.75" customHeight="1">
      <c r="A112" s="210" t="s">
        <v>636</v>
      </c>
      <c r="B112" s="210" t="s">
        <v>197</v>
      </c>
      <c r="C112" s="213"/>
      <c r="D112" s="213"/>
      <c r="E112" s="213"/>
      <c r="F112" s="213"/>
    </row>
    <row r="113" ht="15.75" customHeight="1">
      <c r="A113" s="207" t="s">
        <v>636</v>
      </c>
      <c r="B113" s="207" t="s">
        <v>141</v>
      </c>
      <c r="C113" s="208"/>
      <c r="D113" s="208"/>
      <c r="E113" s="208"/>
      <c r="F113" s="208"/>
    </row>
    <row r="114" ht="15.75" customHeight="1">
      <c r="A114" s="210" t="s">
        <v>649</v>
      </c>
      <c r="B114" s="210" t="s">
        <v>115</v>
      </c>
      <c r="C114" s="213"/>
      <c r="D114" s="213"/>
      <c r="E114" s="213"/>
      <c r="F114" s="213"/>
    </row>
    <row r="115" ht="15.75" customHeight="1">
      <c r="A115" s="207" t="s">
        <v>124</v>
      </c>
      <c r="B115" s="207" t="s">
        <v>101</v>
      </c>
      <c r="C115" s="208"/>
      <c r="D115" s="209" t="s">
        <v>650</v>
      </c>
      <c r="E115" s="209" t="s">
        <v>651</v>
      </c>
      <c r="F115" s="209" t="s">
        <v>652</v>
      </c>
    </row>
    <row r="116" ht="15.75" customHeight="1">
      <c r="A116" s="210" t="s">
        <v>124</v>
      </c>
      <c r="B116" s="210" t="s">
        <v>79</v>
      </c>
      <c r="C116" s="213"/>
      <c r="D116" s="212" t="s">
        <v>653</v>
      </c>
      <c r="E116" s="212" t="s">
        <v>654</v>
      </c>
      <c r="F116" s="212" t="s">
        <v>655</v>
      </c>
    </row>
    <row r="117" ht="15.75" customHeight="1">
      <c r="A117" s="207" t="s">
        <v>124</v>
      </c>
      <c r="B117" s="207" t="s">
        <v>73</v>
      </c>
      <c r="C117" s="208"/>
      <c r="D117" s="209" t="s">
        <v>656</v>
      </c>
      <c r="E117" s="209" t="s">
        <v>657</v>
      </c>
      <c r="F117" s="209" t="s">
        <v>658</v>
      </c>
    </row>
    <row r="118" ht="15.75" customHeight="1">
      <c r="A118" s="210" t="s">
        <v>124</v>
      </c>
      <c r="B118" s="210" t="s">
        <v>659</v>
      </c>
      <c r="C118" s="213"/>
      <c r="D118" s="212" t="s">
        <v>660</v>
      </c>
      <c r="E118" s="212" t="s">
        <v>661</v>
      </c>
      <c r="F118" s="212" t="s">
        <v>662</v>
      </c>
    </row>
    <row r="119" ht="15.75" customHeight="1">
      <c r="A119" s="207" t="s">
        <v>124</v>
      </c>
      <c r="B119" s="207" t="s">
        <v>309</v>
      </c>
      <c r="C119" s="208"/>
      <c r="D119" s="209" t="s">
        <v>650</v>
      </c>
      <c r="E119" s="209" t="s">
        <v>663</v>
      </c>
      <c r="F119" s="209" t="s">
        <v>664</v>
      </c>
    </row>
    <row r="120" ht="15.75" customHeight="1">
      <c r="A120" s="210" t="s">
        <v>124</v>
      </c>
      <c r="B120" s="210" t="s">
        <v>125</v>
      </c>
      <c r="C120" s="211"/>
      <c r="D120" s="212" t="s">
        <v>665</v>
      </c>
      <c r="E120" s="212" t="s">
        <v>666</v>
      </c>
      <c r="F120" s="212" t="s">
        <v>662</v>
      </c>
    </row>
    <row r="121" ht="15.75" customHeight="1">
      <c r="A121" s="207" t="s">
        <v>124</v>
      </c>
      <c r="B121" s="207" t="s">
        <v>667</v>
      </c>
      <c r="C121" s="216"/>
      <c r="D121" s="209" t="s">
        <v>665</v>
      </c>
      <c r="E121" s="209" t="s">
        <v>668</v>
      </c>
      <c r="F121" s="209" t="s">
        <v>662</v>
      </c>
    </row>
    <row r="122" ht="15.75" customHeight="1">
      <c r="A122" s="210" t="s">
        <v>669</v>
      </c>
      <c r="B122" s="210" t="s">
        <v>66</v>
      </c>
      <c r="C122" s="213"/>
      <c r="D122" s="212" t="s">
        <v>670</v>
      </c>
      <c r="E122" s="212" t="s">
        <v>671</v>
      </c>
      <c r="F122" s="212" t="s">
        <v>672</v>
      </c>
    </row>
    <row r="123" ht="15.75" customHeight="1">
      <c r="A123" s="207" t="s">
        <v>139</v>
      </c>
      <c r="B123" s="207" t="s">
        <v>115</v>
      </c>
      <c r="C123" s="208"/>
      <c r="D123" s="209" t="s">
        <v>673</v>
      </c>
      <c r="E123" s="209" t="s">
        <v>674</v>
      </c>
      <c r="F123" s="209" t="s">
        <v>675</v>
      </c>
    </row>
    <row r="124" ht="15.75" customHeight="1">
      <c r="A124" s="210" t="s">
        <v>139</v>
      </c>
      <c r="B124" s="210" t="s">
        <v>101</v>
      </c>
      <c r="C124" s="213"/>
      <c r="D124" s="212" t="s">
        <v>676</v>
      </c>
      <c r="E124" s="212" t="s">
        <v>677</v>
      </c>
      <c r="F124" s="212" t="s">
        <v>678</v>
      </c>
    </row>
    <row r="125" ht="15.75" customHeight="1">
      <c r="A125" s="207" t="s">
        <v>139</v>
      </c>
      <c r="B125" s="207" t="s">
        <v>195</v>
      </c>
      <c r="C125" s="208"/>
      <c r="D125" s="208"/>
      <c r="E125" s="208"/>
      <c r="F125" s="208"/>
    </row>
    <row r="126" ht="15.75" customHeight="1">
      <c r="A126" s="210" t="s">
        <v>139</v>
      </c>
      <c r="B126" s="210" t="s">
        <v>127</v>
      </c>
      <c r="C126" s="213"/>
      <c r="D126" s="213"/>
      <c r="E126" s="213"/>
      <c r="F126" s="213"/>
    </row>
    <row r="127" ht="15.75" customHeight="1">
      <c r="A127" s="207" t="s">
        <v>139</v>
      </c>
      <c r="B127" s="207" t="s">
        <v>679</v>
      </c>
      <c r="C127" s="208"/>
      <c r="D127" s="209" t="s">
        <v>677</v>
      </c>
      <c r="E127" s="209" t="s">
        <v>680</v>
      </c>
      <c r="F127" s="209" t="s">
        <v>678</v>
      </c>
    </row>
    <row r="128" ht="15.75" customHeight="1">
      <c r="A128" s="210" t="s">
        <v>139</v>
      </c>
      <c r="B128" s="210" t="s">
        <v>123</v>
      </c>
      <c r="C128" s="213"/>
      <c r="D128" s="212" t="s">
        <v>681</v>
      </c>
      <c r="E128" s="212" t="s">
        <v>682</v>
      </c>
      <c r="F128" s="212" t="s">
        <v>683</v>
      </c>
    </row>
    <row r="129" ht="15.75" customHeight="1">
      <c r="A129" s="207" t="s">
        <v>139</v>
      </c>
      <c r="B129" s="219" t="s">
        <v>131</v>
      </c>
      <c r="C129" s="216"/>
      <c r="D129" s="209" t="s">
        <v>684</v>
      </c>
      <c r="E129" s="209" t="s">
        <v>673</v>
      </c>
      <c r="F129" s="209" t="s">
        <v>675</v>
      </c>
    </row>
    <row r="130" ht="15.75" customHeight="1">
      <c r="A130" s="210" t="s">
        <v>139</v>
      </c>
      <c r="B130" s="222" t="s">
        <v>317</v>
      </c>
      <c r="C130" s="213"/>
      <c r="D130" s="212" t="s">
        <v>685</v>
      </c>
      <c r="E130" s="212" t="s">
        <v>686</v>
      </c>
      <c r="F130" s="212" t="s">
        <v>678</v>
      </c>
    </row>
    <row r="131" ht="15.75" customHeight="1">
      <c r="A131" s="207" t="s">
        <v>139</v>
      </c>
      <c r="B131" s="219" t="s">
        <v>687</v>
      </c>
      <c r="C131" s="208"/>
      <c r="D131" s="208"/>
      <c r="E131" s="208"/>
      <c r="F131" s="208"/>
    </row>
    <row r="132" ht="15.75" customHeight="1">
      <c r="A132" s="210" t="s">
        <v>139</v>
      </c>
      <c r="B132" s="222" t="s">
        <v>142</v>
      </c>
      <c r="C132" s="213"/>
      <c r="D132" s="214" t="s">
        <v>688</v>
      </c>
      <c r="E132" s="214" t="s">
        <v>689</v>
      </c>
      <c r="F132" s="214" t="s">
        <v>690</v>
      </c>
    </row>
    <row r="133" ht="15.75" customHeight="1">
      <c r="A133" s="207" t="s">
        <v>121</v>
      </c>
      <c r="B133" s="207" t="s">
        <v>73</v>
      </c>
      <c r="C133" s="208"/>
      <c r="D133" s="209" t="s">
        <v>691</v>
      </c>
      <c r="E133" s="209" t="s">
        <v>692</v>
      </c>
      <c r="F133" s="209" t="s">
        <v>693</v>
      </c>
    </row>
    <row r="134" ht="15.75" customHeight="1">
      <c r="A134" s="210" t="s">
        <v>121</v>
      </c>
      <c r="B134" s="210" t="s">
        <v>501</v>
      </c>
      <c r="C134" s="213"/>
      <c r="D134" s="212" t="s">
        <v>691</v>
      </c>
      <c r="E134" s="212" t="s">
        <v>694</v>
      </c>
      <c r="F134" s="212" t="s">
        <v>693</v>
      </c>
    </row>
    <row r="135" ht="15.75" customHeight="1">
      <c r="A135" s="207" t="s">
        <v>121</v>
      </c>
      <c r="B135" s="207" t="s">
        <v>695</v>
      </c>
      <c r="C135" s="208"/>
      <c r="D135" s="209" t="s">
        <v>696</v>
      </c>
      <c r="E135" s="208"/>
      <c r="F135" s="208"/>
    </row>
    <row r="136" ht="15.75" customHeight="1">
      <c r="A136" s="210" t="s">
        <v>121</v>
      </c>
      <c r="B136" s="210" t="s">
        <v>697</v>
      </c>
      <c r="C136" s="213"/>
      <c r="D136" s="212" t="s">
        <v>696</v>
      </c>
      <c r="E136" s="213"/>
      <c r="F136" s="212" t="s">
        <v>698</v>
      </c>
    </row>
    <row r="137" ht="15.75" customHeight="1">
      <c r="A137" s="207" t="s">
        <v>121</v>
      </c>
      <c r="B137" s="207" t="s">
        <v>225</v>
      </c>
      <c r="C137" s="208"/>
      <c r="D137" s="209" t="s">
        <v>699</v>
      </c>
      <c r="E137" s="209" t="s">
        <v>700</v>
      </c>
      <c r="F137" s="209" t="s">
        <v>701</v>
      </c>
    </row>
    <row r="138" ht="15.75" customHeight="1">
      <c r="A138" s="210" t="s">
        <v>226</v>
      </c>
      <c r="B138" s="229" t="s">
        <v>227</v>
      </c>
      <c r="C138" s="213"/>
      <c r="D138" s="212" t="s">
        <v>702</v>
      </c>
      <c r="E138" s="212" t="s">
        <v>703</v>
      </c>
      <c r="F138" s="212" t="s">
        <v>704</v>
      </c>
    </row>
    <row r="139" ht="15.75" customHeight="1">
      <c r="A139" s="207" t="s">
        <v>705</v>
      </c>
      <c r="B139" s="230" t="s">
        <v>96</v>
      </c>
      <c r="C139" s="208"/>
      <c r="D139" s="208"/>
      <c r="E139" s="208"/>
      <c r="F139" s="208"/>
    </row>
    <row r="140" ht="15.75" customHeight="1">
      <c r="A140" s="210" t="s">
        <v>705</v>
      </c>
      <c r="B140" s="210" t="s">
        <v>151</v>
      </c>
      <c r="C140" s="213"/>
      <c r="D140" s="212" t="s">
        <v>706</v>
      </c>
      <c r="E140" s="213"/>
      <c r="F140" s="212" t="s">
        <v>707</v>
      </c>
    </row>
    <row r="141" ht="15.75" customHeight="1">
      <c r="A141" s="207" t="s">
        <v>705</v>
      </c>
      <c r="B141" s="207" t="s">
        <v>101</v>
      </c>
      <c r="C141" s="208"/>
      <c r="D141" s="209" t="s">
        <v>708</v>
      </c>
      <c r="E141" s="209" t="s">
        <v>709</v>
      </c>
      <c r="F141" s="209" t="s">
        <v>710</v>
      </c>
    </row>
    <row r="142" ht="15.75" customHeight="1">
      <c r="A142" s="210" t="s">
        <v>711</v>
      </c>
      <c r="B142" s="210" t="s">
        <v>66</v>
      </c>
      <c r="C142" s="213"/>
      <c r="D142" s="212" t="s">
        <v>712</v>
      </c>
      <c r="E142" s="212" t="s">
        <v>713</v>
      </c>
      <c r="F142" s="212" t="s">
        <v>714</v>
      </c>
    </row>
    <row r="143" ht="15.75" customHeight="1">
      <c r="A143" s="207" t="s">
        <v>100</v>
      </c>
      <c r="B143" s="207" t="s">
        <v>123</v>
      </c>
      <c r="C143" s="208"/>
      <c r="D143" s="209" t="s">
        <v>715</v>
      </c>
      <c r="E143" s="209" t="s">
        <v>716</v>
      </c>
      <c r="F143" s="209" t="s">
        <v>717</v>
      </c>
    </row>
    <row r="144" ht="15.75" customHeight="1">
      <c r="A144" s="210" t="s">
        <v>100</v>
      </c>
      <c r="B144" s="210" t="s">
        <v>115</v>
      </c>
      <c r="C144" s="213"/>
      <c r="D144" s="212" t="s">
        <v>718</v>
      </c>
      <c r="E144" s="212" t="s">
        <v>719</v>
      </c>
      <c r="F144" s="212" t="s">
        <v>720</v>
      </c>
    </row>
    <row r="145" ht="15.75" customHeight="1">
      <c r="A145" s="207" t="s">
        <v>100</v>
      </c>
      <c r="B145" s="207" t="s">
        <v>101</v>
      </c>
      <c r="C145" s="208"/>
      <c r="D145" s="209" t="s">
        <v>721</v>
      </c>
      <c r="E145" s="209" t="s">
        <v>722</v>
      </c>
      <c r="F145" s="209" t="s">
        <v>723</v>
      </c>
    </row>
    <row r="146" ht="15.75" customHeight="1">
      <c r="A146" s="210" t="s">
        <v>228</v>
      </c>
      <c r="B146" s="210" t="s">
        <v>198</v>
      </c>
      <c r="C146" s="213"/>
      <c r="D146" s="213"/>
      <c r="E146" s="213"/>
      <c r="F146" s="213"/>
    </row>
    <row r="147" ht="15.75" customHeight="1">
      <c r="A147" s="207" t="s">
        <v>228</v>
      </c>
      <c r="B147" s="219" t="s">
        <v>76</v>
      </c>
      <c r="C147" s="208"/>
      <c r="D147" s="209" t="s">
        <v>724</v>
      </c>
      <c r="E147" s="209" t="s">
        <v>725</v>
      </c>
      <c r="F147" s="209" t="s">
        <v>726</v>
      </c>
    </row>
    <row r="148" ht="15.75" customHeight="1">
      <c r="A148" s="210" t="s">
        <v>727</v>
      </c>
      <c r="B148" s="210" t="s">
        <v>578</v>
      </c>
      <c r="C148" s="213"/>
      <c r="D148" s="213"/>
      <c r="E148" s="213"/>
      <c r="F148" s="213"/>
    </row>
    <row r="149" ht="15.75" customHeight="1">
      <c r="A149" s="207" t="s">
        <v>68</v>
      </c>
      <c r="B149" s="219" t="s">
        <v>728</v>
      </c>
      <c r="C149" s="208"/>
      <c r="D149" s="209" t="s">
        <v>729</v>
      </c>
      <c r="E149" s="209" t="s">
        <v>730</v>
      </c>
      <c r="F149" s="231" t="s">
        <v>731</v>
      </c>
    </row>
    <row r="150" ht="15.75" customHeight="1">
      <c r="A150" s="207" t="s">
        <v>68</v>
      </c>
      <c r="B150" s="219" t="s">
        <v>71</v>
      </c>
      <c r="C150" s="208"/>
      <c r="D150" s="215" t="s">
        <v>732</v>
      </c>
      <c r="E150" s="231" t="s">
        <v>731</v>
      </c>
      <c r="F150" s="231"/>
    </row>
    <row r="151" ht="15.75" customHeight="1">
      <c r="A151" s="207" t="s">
        <v>68</v>
      </c>
      <c r="B151" s="219" t="s">
        <v>733</v>
      </c>
      <c r="C151" s="208"/>
      <c r="D151" s="215" t="s">
        <v>734</v>
      </c>
      <c r="E151" s="215" t="s">
        <v>735</v>
      </c>
      <c r="F151" s="215" t="s">
        <v>736</v>
      </c>
    </row>
    <row r="152" ht="15.75" customHeight="1">
      <c r="A152" s="219" t="s">
        <v>68</v>
      </c>
      <c r="B152" s="219" t="s">
        <v>69</v>
      </c>
      <c r="C152" s="208"/>
      <c r="D152" s="215" t="s">
        <v>737</v>
      </c>
      <c r="E152" s="215" t="s">
        <v>738</v>
      </c>
      <c r="F152" s="215" t="s">
        <v>739</v>
      </c>
    </row>
    <row r="153" ht="15.75" customHeight="1">
      <c r="A153" s="219" t="s">
        <v>68</v>
      </c>
      <c r="B153" s="219" t="s">
        <v>134</v>
      </c>
      <c r="C153" s="208"/>
      <c r="D153" s="215" t="s">
        <v>356</v>
      </c>
      <c r="E153" s="215" t="s">
        <v>738</v>
      </c>
      <c r="F153" s="215"/>
    </row>
    <row r="154" ht="15.75" customHeight="1">
      <c r="A154" s="219" t="s">
        <v>68</v>
      </c>
      <c r="B154" s="219" t="s">
        <v>740</v>
      </c>
      <c r="C154" s="208"/>
      <c r="D154" s="215" t="s">
        <v>356</v>
      </c>
      <c r="E154" s="232" t="s">
        <v>731</v>
      </c>
      <c r="F154" s="215"/>
    </row>
    <row r="155" ht="15.75" customHeight="1">
      <c r="A155" s="207" t="s">
        <v>68</v>
      </c>
      <c r="B155" s="219" t="s">
        <v>73</v>
      </c>
      <c r="C155" s="208"/>
      <c r="D155" s="215" t="s">
        <v>356</v>
      </c>
      <c r="E155" s="215" t="s">
        <v>741</v>
      </c>
      <c r="F155" s="215"/>
    </row>
    <row r="156" ht="15.75" customHeight="1">
      <c r="A156" s="210" t="s">
        <v>229</v>
      </c>
      <c r="B156" s="210" t="s">
        <v>742</v>
      </c>
      <c r="C156" s="213"/>
      <c r="D156" s="212" t="s">
        <v>743</v>
      </c>
      <c r="E156" s="212" t="s">
        <v>744</v>
      </c>
      <c r="F156" s="212" t="s">
        <v>745</v>
      </c>
    </row>
    <row r="157" ht="15.75" customHeight="1">
      <c r="A157" s="207" t="s">
        <v>229</v>
      </c>
      <c r="B157" s="207" t="s">
        <v>230</v>
      </c>
      <c r="C157" s="208"/>
      <c r="D157" s="209" t="s">
        <v>746</v>
      </c>
      <c r="E157" s="209" t="s">
        <v>747</v>
      </c>
      <c r="F157" s="209" t="s">
        <v>748</v>
      </c>
    </row>
    <row r="158" ht="15.75" customHeight="1">
      <c r="A158" s="210" t="s">
        <v>229</v>
      </c>
      <c r="B158" s="210" t="s">
        <v>230</v>
      </c>
      <c r="C158" s="213"/>
      <c r="D158" s="213"/>
      <c r="E158" s="213"/>
      <c r="F158" s="213"/>
    </row>
    <row r="159" ht="15.75" customHeight="1">
      <c r="A159" s="207" t="s">
        <v>231</v>
      </c>
      <c r="B159" s="207" t="s">
        <v>749</v>
      </c>
      <c r="C159" s="208"/>
      <c r="D159" s="209" t="s">
        <v>750</v>
      </c>
      <c r="E159" s="209" t="s">
        <v>751</v>
      </c>
      <c r="F159" s="209" t="s">
        <v>752</v>
      </c>
    </row>
    <row r="160" ht="15.75" customHeight="1">
      <c r="A160" s="210" t="s">
        <v>231</v>
      </c>
      <c r="B160" s="210" t="s">
        <v>115</v>
      </c>
      <c r="C160" s="213"/>
      <c r="D160" s="213"/>
      <c r="E160" s="213"/>
      <c r="F160" s="213"/>
    </row>
    <row r="161" ht="15.75" customHeight="1">
      <c r="A161" s="207" t="s">
        <v>85</v>
      </c>
      <c r="B161" s="207" t="s">
        <v>115</v>
      </c>
      <c r="C161" s="208"/>
      <c r="D161" s="209" t="s">
        <v>753</v>
      </c>
      <c r="E161" s="209" t="s">
        <v>754</v>
      </c>
      <c r="F161" s="209" t="s">
        <v>755</v>
      </c>
    </row>
    <row r="162" ht="15.75" customHeight="1">
      <c r="A162" s="210" t="s">
        <v>85</v>
      </c>
      <c r="B162" s="210" t="s">
        <v>149</v>
      </c>
      <c r="C162" s="213"/>
      <c r="D162" s="212" t="s">
        <v>756</v>
      </c>
      <c r="E162" s="213"/>
      <c r="F162" s="212" t="s">
        <v>757</v>
      </c>
    </row>
    <row r="163" ht="15.75" customHeight="1">
      <c r="A163" s="210" t="s">
        <v>85</v>
      </c>
      <c r="B163" s="222" t="s">
        <v>86</v>
      </c>
      <c r="C163" s="213"/>
      <c r="D163" s="212"/>
      <c r="E163" s="213"/>
      <c r="F163" s="212"/>
    </row>
    <row r="164" ht="15.75" customHeight="1">
      <c r="A164" s="207" t="s">
        <v>130</v>
      </c>
      <c r="B164" s="207" t="s">
        <v>79</v>
      </c>
      <c r="C164" s="208"/>
      <c r="D164" s="209" t="s">
        <v>758</v>
      </c>
      <c r="E164" s="208"/>
      <c r="F164" s="208"/>
    </row>
    <row r="165" ht="15.75" customHeight="1">
      <c r="A165" s="210" t="s">
        <v>130</v>
      </c>
      <c r="B165" s="210" t="s">
        <v>66</v>
      </c>
      <c r="C165" s="213"/>
      <c r="D165" s="212" t="s">
        <v>759</v>
      </c>
      <c r="E165" s="213"/>
      <c r="F165" s="212" t="s">
        <v>760</v>
      </c>
    </row>
    <row r="166" ht="15.75" customHeight="1">
      <c r="A166" s="207" t="s">
        <v>130</v>
      </c>
      <c r="B166" s="207" t="s">
        <v>73</v>
      </c>
      <c r="C166" s="208"/>
      <c r="D166" s="233" t="s">
        <v>376</v>
      </c>
      <c r="E166" s="233" t="s">
        <v>761</v>
      </c>
      <c r="F166" s="233" t="s">
        <v>762</v>
      </c>
    </row>
    <row r="167" ht="15.75" customHeight="1">
      <c r="A167" s="210" t="s">
        <v>130</v>
      </c>
      <c r="B167" s="210" t="s">
        <v>763</v>
      </c>
      <c r="C167" s="213"/>
      <c r="D167" s="212" t="s">
        <v>764</v>
      </c>
      <c r="E167" s="212" t="s">
        <v>765</v>
      </c>
      <c r="F167" s="212" t="s">
        <v>766</v>
      </c>
    </row>
    <row r="168" ht="15.75" customHeight="1">
      <c r="A168" s="207" t="s">
        <v>130</v>
      </c>
      <c r="B168" s="207" t="s">
        <v>93</v>
      </c>
      <c r="C168" s="208"/>
      <c r="D168" s="209" t="s">
        <v>758</v>
      </c>
      <c r="E168" s="208"/>
      <c r="F168" s="209" t="s">
        <v>767</v>
      </c>
    </row>
    <row r="169" ht="15.75" customHeight="1">
      <c r="A169" s="210" t="s">
        <v>130</v>
      </c>
      <c r="B169" s="210" t="s">
        <v>768</v>
      </c>
      <c r="C169" s="213"/>
      <c r="D169" s="212" t="s">
        <v>769</v>
      </c>
      <c r="E169" s="212" t="s">
        <v>767</v>
      </c>
      <c r="F169" s="212" t="s">
        <v>766</v>
      </c>
    </row>
    <row r="170" ht="15.75" customHeight="1">
      <c r="A170" s="207" t="s">
        <v>130</v>
      </c>
      <c r="B170" s="219" t="s">
        <v>131</v>
      </c>
      <c r="C170" s="208"/>
      <c r="D170" s="209" t="s">
        <v>770</v>
      </c>
      <c r="E170" s="209" t="s">
        <v>771</v>
      </c>
      <c r="F170" s="209" t="s">
        <v>772</v>
      </c>
    </row>
    <row r="171" ht="15.75" customHeight="1">
      <c r="A171" s="210" t="s">
        <v>130</v>
      </c>
      <c r="B171" s="222" t="s">
        <v>773</v>
      </c>
      <c r="C171" s="213"/>
      <c r="D171" s="212" t="s">
        <v>770</v>
      </c>
      <c r="E171" s="213"/>
      <c r="F171" s="213"/>
    </row>
    <row r="172" ht="15.75" customHeight="1">
      <c r="A172" s="207" t="s">
        <v>130</v>
      </c>
      <c r="B172" s="219" t="s">
        <v>154</v>
      </c>
      <c r="C172" s="208"/>
      <c r="D172" s="208"/>
      <c r="E172" s="208"/>
      <c r="F172" s="208"/>
    </row>
    <row r="173" ht="15.75" customHeight="1">
      <c r="A173" s="210" t="s">
        <v>130</v>
      </c>
      <c r="B173" s="222" t="s">
        <v>687</v>
      </c>
      <c r="C173" s="213"/>
      <c r="D173" s="212" t="s">
        <v>770</v>
      </c>
      <c r="E173" s="213"/>
      <c r="F173" s="213"/>
    </row>
    <row r="174" ht="15.75" customHeight="1">
      <c r="A174" s="207" t="s">
        <v>78</v>
      </c>
      <c r="B174" s="207" t="s">
        <v>774</v>
      </c>
      <c r="C174" s="216"/>
      <c r="D174" s="209" t="s">
        <v>775</v>
      </c>
      <c r="E174" s="209" t="s">
        <v>776</v>
      </c>
      <c r="F174" s="209" t="s">
        <v>777</v>
      </c>
    </row>
    <row r="175" ht="15.75" customHeight="1">
      <c r="A175" s="210" t="s">
        <v>78</v>
      </c>
      <c r="B175" s="210" t="s">
        <v>151</v>
      </c>
      <c r="C175" s="211"/>
      <c r="D175" s="212" t="s">
        <v>778</v>
      </c>
      <c r="E175" s="212" t="s">
        <v>776</v>
      </c>
      <c r="F175" s="212" t="s">
        <v>777</v>
      </c>
    </row>
    <row r="176" ht="15.75" customHeight="1">
      <c r="A176" s="207" t="s">
        <v>78</v>
      </c>
      <c r="B176" s="207" t="s">
        <v>779</v>
      </c>
      <c r="C176" s="208"/>
      <c r="D176" s="209" t="s">
        <v>778</v>
      </c>
      <c r="E176" s="209" t="s">
        <v>780</v>
      </c>
      <c r="F176" s="209" t="s">
        <v>781</v>
      </c>
    </row>
    <row r="177" ht="15.75" customHeight="1">
      <c r="A177" s="210" t="s">
        <v>78</v>
      </c>
      <c r="B177" s="210" t="s">
        <v>66</v>
      </c>
      <c r="C177" s="213"/>
      <c r="D177" s="212" t="s">
        <v>778</v>
      </c>
      <c r="E177" s="212" t="s">
        <v>782</v>
      </c>
      <c r="F177" s="212" t="s">
        <v>781</v>
      </c>
    </row>
    <row r="178" ht="15.75" customHeight="1">
      <c r="A178" s="207" t="s">
        <v>78</v>
      </c>
      <c r="B178" s="207" t="s">
        <v>79</v>
      </c>
      <c r="C178" s="208"/>
      <c r="D178" s="209" t="s">
        <v>783</v>
      </c>
      <c r="E178" s="209" t="s">
        <v>784</v>
      </c>
      <c r="F178" s="209" t="s">
        <v>777</v>
      </c>
    </row>
    <row r="179" ht="15.75" customHeight="1">
      <c r="A179" s="210" t="s">
        <v>785</v>
      </c>
      <c r="B179" s="210" t="s">
        <v>211</v>
      </c>
      <c r="C179" s="213"/>
      <c r="D179" s="212" t="s">
        <v>786</v>
      </c>
      <c r="E179" s="212" t="s">
        <v>787</v>
      </c>
      <c r="F179" s="212" t="s">
        <v>788</v>
      </c>
    </row>
    <row r="180" ht="15.75" customHeight="1">
      <c r="A180" s="207" t="s">
        <v>785</v>
      </c>
      <c r="B180" s="207" t="s">
        <v>308</v>
      </c>
      <c r="C180" s="208"/>
      <c r="D180" s="209" t="s">
        <v>786</v>
      </c>
      <c r="E180" s="208"/>
      <c r="F180" s="208"/>
    </row>
    <row r="181" ht="15.75" customHeight="1">
      <c r="A181" s="210" t="s">
        <v>785</v>
      </c>
      <c r="B181" s="210" t="s">
        <v>79</v>
      </c>
      <c r="C181" s="213"/>
      <c r="D181" s="213"/>
      <c r="E181" s="213"/>
      <c r="F181" s="213"/>
    </row>
    <row r="182" ht="15.75" customHeight="1">
      <c r="A182" s="207" t="s">
        <v>785</v>
      </c>
      <c r="B182" s="207" t="s">
        <v>66</v>
      </c>
      <c r="C182" s="208"/>
      <c r="D182" s="209" t="s">
        <v>789</v>
      </c>
      <c r="E182" s="209" t="s">
        <v>790</v>
      </c>
      <c r="F182" s="209" t="s">
        <v>791</v>
      </c>
    </row>
    <row r="183" ht="15.75" customHeight="1">
      <c r="A183" s="210" t="s">
        <v>785</v>
      </c>
      <c r="B183" s="210" t="s">
        <v>149</v>
      </c>
      <c r="C183" s="213"/>
      <c r="D183" s="212" t="s">
        <v>786</v>
      </c>
      <c r="E183" s="212" t="s">
        <v>787</v>
      </c>
      <c r="F183" s="212" t="s">
        <v>788</v>
      </c>
    </row>
    <row r="184" ht="15.75" customHeight="1">
      <c r="A184" s="207" t="s">
        <v>785</v>
      </c>
      <c r="B184" s="207" t="s">
        <v>151</v>
      </c>
      <c r="C184" s="208"/>
      <c r="D184" s="209" t="s">
        <v>789</v>
      </c>
      <c r="E184" s="209" t="s">
        <v>790</v>
      </c>
      <c r="F184" s="209" t="s">
        <v>788</v>
      </c>
    </row>
    <row r="185" ht="15.75" customHeight="1">
      <c r="A185" s="210" t="s">
        <v>785</v>
      </c>
      <c r="B185" s="210" t="s">
        <v>500</v>
      </c>
      <c r="C185" s="213"/>
      <c r="D185" s="212" t="s">
        <v>789</v>
      </c>
      <c r="E185" s="212" t="s">
        <v>790</v>
      </c>
      <c r="F185" s="212" t="s">
        <v>792</v>
      </c>
    </row>
    <row r="186" ht="15.75" customHeight="1">
      <c r="A186" s="207" t="s">
        <v>234</v>
      </c>
      <c r="B186" s="207" t="s">
        <v>127</v>
      </c>
      <c r="C186" s="208"/>
      <c r="D186" s="209" t="s">
        <v>793</v>
      </c>
      <c r="E186" s="209" t="s">
        <v>794</v>
      </c>
      <c r="F186" s="209" t="s">
        <v>795</v>
      </c>
    </row>
    <row r="187" ht="15.75" customHeight="1">
      <c r="A187" s="210" t="s">
        <v>234</v>
      </c>
      <c r="B187" s="210" t="s">
        <v>79</v>
      </c>
      <c r="C187" s="213"/>
      <c r="D187" s="212" t="s">
        <v>796</v>
      </c>
      <c r="E187" s="212" t="s">
        <v>797</v>
      </c>
      <c r="F187" s="212" t="s">
        <v>798</v>
      </c>
    </row>
    <row r="188" ht="15.75" customHeight="1">
      <c r="A188" s="207" t="s">
        <v>234</v>
      </c>
      <c r="B188" s="207" t="s">
        <v>235</v>
      </c>
      <c r="C188" s="208"/>
      <c r="D188" s="209" t="s">
        <v>799</v>
      </c>
      <c r="E188" s="209" t="s">
        <v>800</v>
      </c>
      <c r="F188" s="209" t="s">
        <v>801</v>
      </c>
    </row>
    <row r="189" ht="15.75" customHeight="1">
      <c r="A189" s="210" t="s">
        <v>234</v>
      </c>
      <c r="B189" s="210" t="s">
        <v>141</v>
      </c>
      <c r="C189" s="211"/>
      <c r="D189" s="212" t="s">
        <v>799</v>
      </c>
      <c r="E189" s="212" t="s">
        <v>802</v>
      </c>
      <c r="F189" s="212" t="s">
        <v>803</v>
      </c>
    </row>
    <row r="190" ht="15.75" customHeight="1">
      <c r="A190" s="207" t="s">
        <v>234</v>
      </c>
      <c r="B190" s="207" t="s">
        <v>804</v>
      </c>
      <c r="C190" s="208"/>
      <c r="D190" s="208"/>
      <c r="E190" s="208"/>
      <c r="F190" s="208"/>
    </row>
    <row r="191" ht="15.75" customHeight="1">
      <c r="A191" s="210" t="s">
        <v>234</v>
      </c>
      <c r="B191" s="210" t="s">
        <v>805</v>
      </c>
      <c r="C191" s="211"/>
      <c r="D191" s="212" t="s">
        <v>806</v>
      </c>
      <c r="E191" s="212" t="s">
        <v>807</v>
      </c>
      <c r="F191" s="212" t="s">
        <v>801</v>
      </c>
    </row>
    <row r="192" ht="15.75" customHeight="1">
      <c r="A192" s="207" t="s">
        <v>234</v>
      </c>
      <c r="B192" s="207" t="s">
        <v>287</v>
      </c>
      <c r="C192" s="208"/>
      <c r="D192" s="209" t="s">
        <v>808</v>
      </c>
      <c r="E192" s="209" t="s">
        <v>809</v>
      </c>
      <c r="F192" s="209" t="s">
        <v>810</v>
      </c>
    </row>
    <row r="193" ht="15.75" customHeight="1">
      <c r="A193" s="210" t="s">
        <v>234</v>
      </c>
      <c r="B193" s="210" t="s">
        <v>213</v>
      </c>
      <c r="C193" s="213"/>
      <c r="D193" s="212" t="s">
        <v>811</v>
      </c>
      <c r="E193" s="212" t="s">
        <v>809</v>
      </c>
      <c r="F193" s="212" t="s">
        <v>810</v>
      </c>
    </row>
    <row r="194" ht="15.75" customHeight="1">
      <c r="A194" s="207" t="s">
        <v>234</v>
      </c>
      <c r="B194" s="207" t="s">
        <v>812</v>
      </c>
      <c r="C194" s="208"/>
      <c r="D194" s="209" t="s">
        <v>813</v>
      </c>
      <c r="E194" s="209" t="s">
        <v>814</v>
      </c>
      <c r="F194" s="209" t="s">
        <v>815</v>
      </c>
    </row>
    <row r="195" ht="15.75" customHeight="1">
      <c r="A195" s="210" t="s">
        <v>236</v>
      </c>
      <c r="B195" s="210" t="s">
        <v>237</v>
      </c>
      <c r="C195" s="213"/>
      <c r="D195" s="212" t="s">
        <v>816</v>
      </c>
      <c r="E195" s="212" t="s">
        <v>817</v>
      </c>
      <c r="F195" s="212" t="s">
        <v>818</v>
      </c>
    </row>
    <row r="196" ht="15.75" customHeight="1">
      <c r="A196" s="207" t="s">
        <v>236</v>
      </c>
      <c r="B196" s="207" t="s">
        <v>238</v>
      </c>
      <c r="C196" s="208"/>
      <c r="D196" s="209" t="s">
        <v>819</v>
      </c>
      <c r="E196" s="209" t="s">
        <v>817</v>
      </c>
      <c r="F196" s="209" t="s">
        <v>818</v>
      </c>
    </row>
    <row r="197" ht="15.75" customHeight="1">
      <c r="A197" s="210" t="s">
        <v>236</v>
      </c>
      <c r="B197" s="210" t="s">
        <v>79</v>
      </c>
      <c r="C197" s="213"/>
      <c r="D197" s="212" t="s">
        <v>820</v>
      </c>
      <c r="E197" s="212" t="s">
        <v>816</v>
      </c>
      <c r="F197" s="212" t="s">
        <v>818</v>
      </c>
    </row>
    <row r="198" ht="15.75" customHeight="1">
      <c r="A198" s="207" t="s">
        <v>236</v>
      </c>
      <c r="B198" s="207" t="s">
        <v>93</v>
      </c>
      <c r="C198" s="208"/>
      <c r="D198" s="209" t="s">
        <v>816</v>
      </c>
      <c r="E198" s="209" t="s">
        <v>821</v>
      </c>
      <c r="F198" s="209" t="s">
        <v>822</v>
      </c>
    </row>
    <row r="199" ht="15.75" customHeight="1">
      <c r="A199" s="210" t="s">
        <v>236</v>
      </c>
      <c r="B199" s="210" t="s">
        <v>823</v>
      </c>
      <c r="C199" s="211"/>
      <c r="D199" s="212" t="s">
        <v>820</v>
      </c>
      <c r="E199" s="212" t="s">
        <v>816</v>
      </c>
      <c r="F199" s="212" t="s">
        <v>824</v>
      </c>
    </row>
    <row r="200" ht="15.75" customHeight="1">
      <c r="A200" s="207" t="s">
        <v>236</v>
      </c>
      <c r="B200" s="207" t="s">
        <v>96</v>
      </c>
      <c r="C200" s="216"/>
      <c r="D200" s="209" t="s">
        <v>820</v>
      </c>
      <c r="E200" s="209" t="s">
        <v>816</v>
      </c>
      <c r="F200" s="209" t="s">
        <v>824</v>
      </c>
    </row>
    <row r="201" ht="15.75" customHeight="1">
      <c r="A201" s="210" t="s">
        <v>236</v>
      </c>
      <c r="B201" s="210" t="s">
        <v>73</v>
      </c>
      <c r="C201" s="213"/>
      <c r="D201" s="212" t="s">
        <v>825</v>
      </c>
      <c r="E201" s="212" t="s">
        <v>821</v>
      </c>
      <c r="F201" s="212" t="s">
        <v>822</v>
      </c>
    </row>
    <row r="202" ht="15.75" customHeight="1">
      <c r="A202" s="207" t="s">
        <v>236</v>
      </c>
      <c r="B202" s="207" t="s">
        <v>196</v>
      </c>
      <c r="C202" s="208"/>
      <c r="D202" s="209" t="s">
        <v>816</v>
      </c>
      <c r="E202" s="209" t="s">
        <v>822</v>
      </c>
      <c r="F202" s="209" t="s">
        <v>818</v>
      </c>
    </row>
    <row r="203" ht="15.75" customHeight="1">
      <c r="A203" s="210" t="s">
        <v>236</v>
      </c>
      <c r="B203" s="210" t="s">
        <v>141</v>
      </c>
      <c r="C203" s="213"/>
      <c r="D203" s="212" t="s">
        <v>819</v>
      </c>
      <c r="E203" s="212" t="s">
        <v>826</v>
      </c>
      <c r="F203" s="212" t="s">
        <v>827</v>
      </c>
    </row>
    <row r="204" ht="15.75" customHeight="1">
      <c r="A204" s="207" t="s">
        <v>236</v>
      </c>
      <c r="B204" s="207" t="s">
        <v>828</v>
      </c>
      <c r="C204" s="208"/>
      <c r="D204" s="209" t="s">
        <v>829</v>
      </c>
      <c r="E204" s="209" t="s">
        <v>830</v>
      </c>
      <c r="F204" s="209" t="s">
        <v>831</v>
      </c>
    </row>
    <row r="205" ht="15.75" customHeight="1">
      <c r="A205" s="210" t="s">
        <v>832</v>
      </c>
      <c r="B205" s="210" t="s">
        <v>833</v>
      </c>
      <c r="C205" s="213"/>
      <c r="D205" s="212" t="s">
        <v>834</v>
      </c>
      <c r="E205" s="212" t="s">
        <v>835</v>
      </c>
      <c r="F205" s="212" t="s">
        <v>836</v>
      </c>
    </row>
    <row r="206" ht="15.75" customHeight="1">
      <c r="A206" s="207" t="s">
        <v>75</v>
      </c>
      <c r="B206" s="207" t="s">
        <v>86</v>
      </c>
      <c r="C206" s="208"/>
      <c r="D206" s="209" t="s">
        <v>837</v>
      </c>
      <c r="E206" s="209" t="s">
        <v>838</v>
      </c>
      <c r="F206" s="209" t="s">
        <v>839</v>
      </c>
    </row>
    <row r="207" ht="15.75" customHeight="1">
      <c r="A207" s="210" t="s">
        <v>75</v>
      </c>
      <c r="B207" s="210" t="s">
        <v>96</v>
      </c>
      <c r="C207" s="213"/>
      <c r="D207" s="212" t="s">
        <v>840</v>
      </c>
      <c r="E207" s="212" t="s">
        <v>841</v>
      </c>
      <c r="F207" s="212" t="s">
        <v>842</v>
      </c>
    </row>
    <row r="208" ht="15.75" customHeight="1">
      <c r="A208" s="207" t="s">
        <v>75</v>
      </c>
      <c r="B208" s="207" t="s">
        <v>156</v>
      </c>
      <c r="C208" s="208"/>
      <c r="D208" s="209" t="s">
        <v>843</v>
      </c>
      <c r="E208" s="209" t="s">
        <v>844</v>
      </c>
      <c r="F208" s="209" t="s">
        <v>845</v>
      </c>
    </row>
    <row r="209" ht="15.75" customHeight="1">
      <c r="A209" s="210" t="s">
        <v>75</v>
      </c>
      <c r="B209" s="210" t="s">
        <v>115</v>
      </c>
      <c r="C209" s="213"/>
      <c r="D209" s="212" t="s">
        <v>837</v>
      </c>
      <c r="E209" s="212" t="s">
        <v>846</v>
      </c>
      <c r="F209" s="212" t="s">
        <v>847</v>
      </c>
    </row>
    <row r="210" ht="15.75" customHeight="1">
      <c r="A210" s="207" t="s">
        <v>75</v>
      </c>
      <c r="B210" s="207" t="s">
        <v>101</v>
      </c>
      <c r="C210" s="208"/>
      <c r="D210" s="209" t="s">
        <v>848</v>
      </c>
      <c r="E210" s="209" t="s">
        <v>838</v>
      </c>
      <c r="F210" s="209" t="s">
        <v>839</v>
      </c>
    </row>
    <row r="211" ht="15.75" customHeight="1">
      <c r="A211" s="210" t="s">
        <v>239</v>
      </c>
      <c r="B211" s="210" t="s">
        <v>66</v>
      </c>
      <c r="C211" s="213"/>
      <c r="D211" s="212" t="s">
        <v>849</v>
      </c>
      <c r="E211" s="212" t="s">
        <v>850</v>
      </c>
      <c r="F211" s="212" t="s">
        <v>851</v>
      </c>
    </row>
    <row r="212" ht="15.75" customHeight="1">
      <c r="A212" s="207" t="s">
        <v>239</v>
      </c>
      <c r="B212" s="207" t="s">
        <v>852</v>
      </c>
      <c r="C212" s="208"/>
      <c r="D212" s="208"/>
      <c r="E212" s="208"/>
      <c r="F212" s="208"/>
    </row>
    <row r="213" ht="15.75" customHeight="1">
      <c r="A213" s="210" t="s">
        <v>239</v>
      </c>
      <c r="B213" s="210" t="s">
        <v>265</v>
      </c>
      <c r="C213" s="213"/>
      <c r="D213" s="212" t="s">
        <v>853</v>
      </c>
      <c r="E213" s="212" t="s">
        <v>854</v>
      </c>
      <c r="F213" s="212" t="s">
        <v>855</v>
      </c>
    </row>
    <row r="214" ht="15.75" customHeight="1">
      <c r="A214" s="207" t="s">
        <v>239</v>
      </c>
      <c r="B214" s="207" t="s">
        <v>856</v>
      </c>
      <c r="C214" s="208"/>
      <c r="D214" s="209" t="s">
        <v>849</v>
      </c>
      <c r="E214" s="209" t="s">
        <v>853</v>
      </c>
      <c r="F214" s="209" t="s">
        <v>851</v>
      </c>
    </row>
    <row r="215" ht="15.75" customHeight="1">
      <c r="A215" s="210" t="s">
        <v>239</v>
      </c>
      <c r="B215" s="210" t="s">
        <v>857</v>
      </c>
      <c r="C215" s="213"/>
      <c r="D215" s="212" t="s">
        <v>849</v>
      </c>
      <c r="E215" s="212" t="s">
        <v>858</v>
      </c>
      <c r="F215" s="212" t="s">
        <v>851</v>
      </c>
    </row>
    <row r="216" ht="15.75" customHeight="1">
      <c r="A216" s="207" t="s">
        <v>239</v>
      </c>
      <c r="B216" s="207" t="s">
        <v>240</v>
      </c>
      <c r="C216" s="208"/>
      <c r="D216" s="209" t="s">
        <v>859</v>
      </c>
      <c r="E216" s="209" t="s">
        <v>858</v>
      </c>
      <c r="F216" s="209" t="s">
        <v>860</v>
      </c>
    </row>
    <row r="217" ht="15.75" customHeight="1">
      <c r="A217" s="210" t="s">
        <v>861</v>
      </c>
      <c r="B217" s="210" t="s">
        <v>79</v>
      </c>
      <c r="C217" s="213"/>
      <c r="D217" s="213"/>
      <c r="E217" s="213"/>
      <c r="F217" s="213"/>
    </row>
    <row r="218" ht="15.75" customHeight="1">
      <c r="A218" s="207" t="s">
        <v>861</v>
      </c>
      <c r="B218" s="207" t="s">
        <v>115</v>
      </c>
      <c r="C218" s="208"/>
      <c r="D218" s="209" t="s">
        <v>862</v>
      </c>
      <c r="E218" s="208"/>
      <c r="F218" s="209" t="s">
        <v>863</v>
      </c>
    </row>
    <row r="219" ht="15.75" customHeight="1">
      <c r="A219" s="210" t="s">
        <v>861</v>
      </c>
      <c r="B219" s="210" t="s">
        <v>66</v>
      </c>
      <c r="C219" s="213"/>
      <c r="D219" s="212" t="s">
        <v>864</v>
      </c>
      <c r="E219" s="212" t="s">
        <v>865</v>
      </c>
      <c r="F219" s="212" t="s">
        <v>866</v>
      </c>
    </row>
    <row r="220" ht="15.75" customHeight="1">
      <c r="A220" s="207" t="s">
        <v>861</v>
      </c>
      <c r="B220" s="207" t="s">
        <v>296</v>
      </c>
      <c r="C220" s="208"/>
      <c r="D220" s="209" t="s">
        <v>864</v>
      </c>
      <c r="E220" s="209" t="s">
        <v>867</v>
      </c>
      <c r="F220" s="209" t="s">
        <v>866</v>
      </c>
    </row>
    <row r="221" ht="15.75" customHeight="1">
      <c r="A221" s="210" t="s">
        <v>868</v>
      </c>
      <c r="B221" s="210" t="s">
        <v>227</v>
      </c>
      <c r="C221" s="213"/>
      <c r="D221" s="212" t="s">
        <v>869</v>
      </c>
      <c r="E221" s="212" t="s">
        <v>870</v>
      </c>
      <c r="F221" s="212" t="s">
        <v>871</v>
      </c>
    </row>
    <row r="222" ht="15.75" customHeight="1">
      <c r="A222" s="207" t="s">
        <v>241</v>
      </c>
      <c r="B222" s="207" t="s">
        <v>242</v>
      </c>
      <c r="C222" s="208"/>
      <c r="D222" s="209" t="s">
        <v>872</v>
      </c>
      <c r="E222" s="209" t="s">
        <v>873</v>
      </c>
      <c r="F222" s="209" t="s">
        <v>874</v>
      </c>
    </row>
    <row r="223" ht="15.75" customHeight="1">
      <c r="A223" s="210" t="s">
        <v>241</v>
      </c>
      <c r="B223" s="210" t="s">
        <v>875</v>
      </c>
      <c r="C223" s="213"/>
      <c r="D223" s="212" t="s">
        <v>876</v>
      </c>
      <c r="E223" s="212" t="s">
        <v>873</v>
      </c>
      <c r="F223" s="212" t="s">
        <v>877</v>
      </c>
    </row>
    <row r="224" ht="15.75" customHeight="1">
      <c r="A224" s="207" t="s">
        <v>241</v>
      </c>
      <c r="B224" s="207" t="s">
        <v>96</v>
      </c>
      <c r="C224" s="208"/>
      <c r="D224" s="208"/>
      <c r="E224" s="208"/>
      <c r="F224" s="208"/>
    </row>
    <row r="225" ht="15.75" customHeight="1">
      <c r="A225" s="210" t="s">
        <v>241</v>
      </c>
      <c r="B225" s="210" t="s">
        <v>198</v>
      </c>
      <c r="C225" s="213"/>
      <c r="D225" s="213"/>
      <c r="E225" s="213"/>
      <c r="F225" s="213"/>
    </row>
    <row r="226" ht="15.75" customHeight="1">
      <c r="A226" s="207" t="s">
        <v>241</v>
      </c>
      <c r="B226" s="219" t="s">
        <v>878</v>
      </c>
      <c r="C226" s="208"/>
      <c r="D226" s="209" t="s">
        <v>879</v>
      </c>
      <c r="E226" s="209" t="s">
        <v>880</v>
      </c>
      <c r="F226" s="209" t="s">
        <v>873</v>
      </c>
    </row>
    <row r="227" ht="15.75" customHeight="1">
      <c r="A227" s="210" t="s">
        <v>113</v>
      </c>
      <c r="B227" s="210" t="s">
        <v>73</v>
      </c>
      <c r="C227" s="213"/>
      <c r="D227" s="212" t="s">
        <v>881</v>
      </c>
      <c r="E227" s="212" t="s">
        <v>882</v>
      </c>
      <c r="F227" s="212" t="s">
        <v>883</v>
      </c>
    </row>
    <row r="228" ht="15.75" customHeight="1">
      <c r="A228" s="207" t="s">
        <v>113</v>
      </c>
      <c r="B228" s="207" t="s">
        <v>884</v>
      </c>
      <c r="C228" s="208"/>
      <c r="D228" s="208"/>
      <c r="E228" s="208"/>
      <c r="F228" s="208"/>
    </row>
    <row r="229" ht="15.75" customHeight="1">
      <c r="A229" s="210" t="s">
        <v>113</v>
      </c>
      <c r="B229" s="210" t="s">
        <v>885</v>
      </c>
      <c r="C229" s="213"/>
      <c r="D229" s="212" t="s">
        <v>886</v>
      </c>
      <c r="E229" s="212" t="s">
        <v>887</v>
      </c>
      <c r="F229" s="212" t="s">
        <v>888</v>
      </c>
    </row>
    <row r="230" ht="15.75" customHeight="1">
      <c r="A230" s="207" t="s">
        <v>113</v>
      </c>
      <c r="B230" s="207" t="s">
        <v>889</v>
      </c>
      <c r="C230" s="208"/>
      <c r="D230" s="208"/>
      <c r="E230" s="208"/>
      <c r="F230" s="208"/>
    </row>
    <row r="231" ht="15.75" customHeight="1">
      <c r="A231" s="210" t="s">
        <v>113</v>
      </c>
      <c r="B231" s="210" t="s">
        <v>890</v>
      </c>
      <c r="C231" s="213"/>
      <c r="D231" s="212" t="s">
        <v>891</v>
      </c>
      <c r="E231" s="212" t="s">
        <v>892</v>
      </c>
      <c r="F231" s="212" t="s">
        <v>893</v>
      </c>
    </row>
    <row r="232" ht="15.75" customHeight="1">
      <c r="A232" s="207" t="s">
        <v>113</v>
      </c>
      <c r="B232" s="207" t="s">
        <v>894</v>
      </c>
      <c r="C232" s="208"/>
      <c r="D232" s="209" t="s">
        <v>891</v>
      </c>
      <c r="E232" s="209" t="s">
        <v>895</v>
      </c>
      <c r="F232" s="209" t="s">
        <v>896</v>
      </c>
    </row>
    <row r="233" ht="15.75" customHeight="1">
      <c r="A233" s="210" t="s">
        <v>113</v>
      </c>
      <c r="B233" s="210" t="s">
        <v>897</v>
      </c>
      <c r="C233" s="213"/>
      <c r="D233" s="212" t="s">
        <v>891</v>
      </c>
      <c r="E233" s="212" t="s">
        <v>898</v>
      </c>
      <c r="F233" s="212" t="s">
        <v>899</v>
      </c>
    </row>
    <row r="234" ht="15.75" customHeight="1">
      <c r="A234" s="207" t="s">
        <v>113</v>
      </c>
      <c r="B234" s="207" t="s">
        <v>900</v>
      </c>
      <c r="C234" s="208"/>
      <c r="D234" s="209" t="s">
        <v>891</v>
      </c>
      <c r="E234" s="209" t="s">
        <v>901</v>
      </c>
      <c r="F234" s="209" t="s">
        <v>902</v>
      </c>
    </row>
    <row r="235" ht="15.75" customHeight="1">
      <c r="A235" s="210" t="s">
        <v>113</v>
      </c>
      <c r="B235" s="210" t="s">
        <v>903</v>
      </c>
      <c r="C235" s="213"/>
      <c r="D235" s="212" t="s">
        <v>891</v>
      </c>
      <c r="E235" s="212" t="s">
        <v>904</v>
      </c>
      <c r="F235" s="212" t="s">
        <v>905</v>
      </c>
    </row>
    <row r="236" ht="15.75" customHeight="1">
      <c r="A236" s="207" t="s">
        <v>113</v>
      </c>
      <c r="B236" s="207" t="s">
        <v>906</v>
      </c>
      <c r="C236" s="208"/>
      <c r="D236" s="209" t="s">
        <v>891</v>
      </c>
      <c r="E236" s="209" t="s">
        <v>907</v>
      </c>
      <c r="F236" s="209" t="s">
        <v>883</v>
      </c>
    </row>
    <row r="237" ht="15.75" customHeight="1">
      <c r="A237" s="210" t="s">
        <v>113</v>
      </c>
      <c r="B237" s="210" t="s">
        <v>908</v>
      </c>
      <c r="C237" s="213"/>
      <c r="D237" s="212" t="s">
        <v>891</v>
      </c>
      <c r="E237" s="212" t="s">
        <v>909</v>
      </c>
      <c r="F237" s="212" t="s">
        <v>910</v>
      </c>
    </row>
    <row r="238" ht="15.75" customHeight="1">
      <c r="A238" s="207" t="s">
        <v>113</v>
      </c>
      <c r="B238" s="207" t="s">
        <v>911</v>
      </c>
      <c r="C238" s="208"/>
      <c r="D238" s="209" t="s">
        <v>912</v>
      </c>
      <c r="E238" s="209" t="s">
        <v>913</v>
      </c>
      <c r="F238" s="209" t="s">
        <v>914</v>
      </c>
    </row>
    <row r="239" ht="15.75" customHeight="1">
      <c r="A239" s="210" t="s">
        <v>113</v>
      </c>
      <c r="B239" s="210" t="s">
        <v>915</v>
      </c>
      <c r="C239" s="213"/>
      <c r="D239" s="212" t="s">
        <v>916</v>
      </c>
      <c r="E239" s="212" t="s">
        <v>912</v>
      </c>
      <c r="F239" s="212" t="s">
        <v>917</v>
      </c>
    </row>
    <row r="240" ht="15.75" customHeight="1">
      <c r="A240" s="208" t="s">
        <v>113</v>
      </c>
      <c r="B240" s="207" t="s">
        <v>918</v>
      </c>
      <c r="C240" s="208"/>
      <c r="D240" s="209" t="s">
        <v>919</v>
      </c>
      <c r="E240" s="209" t="s">
        <v>920</v>
      </c>
      <c r="F240" s="209" t="s">
        <v>921</v>
      </c>
    </row>
    <row r="241" ht="15.75" customHeight="1">
      <c r="A241" s="210" t="s">
        <v>113</v>
      </c>
      <c r="B241" s="210" t="s">
        <v>246</v>
      </c>
      <c r="C241" s="213"/>
      <c r="D241" s="212" t="s">
        <v>919</v>
      </c>
      <c r="E241" s="212" t="s">
        <v>920</v>
      </c>
      <c r="F241" s="212" t="s">
        <v>922</v>
      </c>
    </row>
    <row r="242" ht="15.75" customHeight="1">
      <c r="A242" s="207" t="s">
        <v>113</v>
      </c>
      <c r="B242" s="207" t="s">
        <v>247</v>
      </c>
      <c r="C242" s="208"/>
      <c r="D242" s="209" t="s">
        <v>920</v>
      </c>
      <c r="E242" s="209" t="s">
        <v>923</v>
      </c>
      <c r="F242" s="209" t="s">
        <v>914</v>
      </c>
    </row>
    <row r="243" ht="15.75" customHeight="1">
      <c r="A243" s="210" t="s">
        <v>113</v>
      </c>
      <c r="B243" s="210" t="s">
        <v>248</v>
      </c>
      <c r="C243" s="211"/>
      <c r="D243" s="212" t="s">
        <v>919</v>
      </c>
      <c r="E243" s="212" t="s">
        <v>920</v>
      </c>
      <c r="F243" s="212" t="s">
        <v>914</v>
      </c>
    </row>
    <row r="244" ht="15.75" customHeight="1">
      <c r="A244" s="207" t="s">
        <v>113</v>
      </c>
      <c r="B244" s="207" t="s">
        <v>924</v>
      </c>
      <c r="C244" s="216"/>
      <c r="D244" s="209" t="s">
        <v>925</v>
      </c>
      <c r="E244" s="209" t="s">
        <v>926</v>
      </c>
      <c r="F244" s="209" t="s">
        <v>914</v>
      </c>
    </row>
    <row r="245" ht="15.75" customHeight="1">
      <c r="A245" s="210" t="s">
        <v>113</v>
      </c>
      <c r="B245" s="210" t="s">
        <v>249</v>
      </c>
      <c r="C245" s="213"/>
      <c r="D245" s="212" t="s">
        <v>925</v>
      </c>
      <c r="E245" s="212" t="s">
        <v>926</v>
      </c>
      <c r="F245" s="212" t="s">
        <v>914</v>
      </c>
    </row>
    <row r="246" ht="15.75" customHeight="1">
      <c r="A246" s="207" t="s">
        <v>113</v>
      </c>
      <c r="B246" s="207" t="s">
        <v>251</v>
      </c>
      <c r="C246" s="208"/>
      <c r="D246" s="209" t="s">
        <v>925</v>
      </c>
      <c r="E246" s="209" t="s">
        <v>927</v>
      </c>
      <c r="F246" s="209" t="s">
        <v>928</v>
      </c>
    </row>
    <row r="247" ht="15.75" customHeight="1">
      <c r="A247" s="210" t="s">
        <v>113</v>
      </c>
      <c r="B247" s="210" t="s">
        <v>929</v>
      </c>
      <c r="C247" s="213"/>
      <c r="D247" s="212" t="s">
        <v>925</v>
      </c>
      <c r="E247" s="212" t="s">
        <v>930</v>
      </c>
      <c r="F247" s="212" t="s">
        <v>931</v>
      </c>
    </row>
    <row r="248" ht="15.75" customHeight="1">
      <c r="A248" s="207" t="s">
        <v>113</v>
      </c>
      <c r="B248" s="207" t="s">
        <v>932</v>
      </c>
      <c r="C248" s="208"/>
      <c r="D248" s="209" t="s">
        <v>933</v>
      </c>
      <c r="E248" s="209" t="s">
        <v>904</v>
      </c>
      <c r="F248" s="209" t="s">
        <v>905</v>
      </c>
    </row>
    <row r="249" ht="15.75" customHeight="1">
      <c r="A249" s="210" t="s">
        <v>113</v>
      </c>
      <c r="B249" s="210" t="s">
        <v>934</v>
      </c>
      <c r="C249" s="213"/>
      <c r="D249" s="212" t="s">
        <v>935</v>
      </c>
      <c r="E249" s="212" t="s">
        <v>936</v>
      </c>
      <c r="F249" s="212" t="s">
        <v>896</v>
      </c>
    </row>
    <row r="250" ht="15.75" customHeight="1">
      <c r="A250" s="207" t="s">
        <v>113</v>
      </c>
      <c r="B250" s="207" t="s">
        <v>937</v>
      </c>
      <c r="C250" s="208"/>
      <c r="D250" s="209" t="s">
        <v>935</v>
      </c>
      <c r="E250" s="209" t="s">
        <v>917</v>
      </c>
      <c r="F250" s="209" t="s">
        <v>938</v>
      </c>
    </row>
    <row r="251" ht="15.75" customHeight="1">
      <c r="A251" s="234" t="s">
        <v>113</v>
      </c>
      <c r="B251" s="210" t="s">
        <v>939</v>
      </c>
      <c r="C251" s="213"/>
      <c r="D251" s="212" t="s">
        <v>940</v>
      </c>
      <c r="E251" s="212" t="s">
        <v>941</v>
      </c>
      <c r="F251" s="212" t="s">
        <v>942</v>
      </c>
    </row>
    <row r="252" ht="15.75" customHeight="1">
      <c r="A252" s="207" t="s">
        <v>113</v>
      </c>
      <c r="B252" s="207" t="s">
        <v>252</v>
      </c>
      <c r="C252" s="208"/>
      <c r="D252" s="209" t="s">
        <v>943</v>
      </c>
      <c r="E252" s="209" t="s">
        <v>923</v>
      </c>
      <c r="F252" s="209" t="s">
        <v>888</v>
      </c>
    </row>
    <row r="253" ht="15.75" customHeight="1">
      <c r="A253" s="210" t="s">
        <v>113</v>
      </c>
      <c r="B253" s="210" t="s">
        <v>253</v>
      </c>
      <c r="C253" s="213"/>
      <c r="D253" s="212" t="s">
        <v>898</v>
      </c>
      <c r="E253" s="212" t="s">
        <v>923</v>
      </c>
      <c r="F253" s="212" t="s">
        <v>899</v>
      </c>
    </row>
    <row r="254" ht="15.75" customHeight="1">
      <c r="A254" s="216" t="s">
        <v>113</v>
      </c>
      <c r="B254" s="235" t="s">
        <v>944</v>
      </c>
      <c r="C254" s="208"/>
      <c r="D254" s="209" t="s">
        <v>945</v>
      </c>
      <c r="E254" s="209" t="s">
        <v>913</v>
      </c>
      <c r="F254" s="209" t="s">
        <v>942</v>
      </c>
    </row>
    <row r="255" ht="15.75" customHeight="1">
      <c r="A255" s="210" t="s">
        <v>113</v>
      </c>
      <c r="B255" s="210" t="s">
        <v>946</v>
      </c>
      <c r="C255" s="213"/>
      <c r="D255" s="212" t="s">
        <v>895</v>
      </c>
      <c r="E255" s="212" t="s">
        <v>947</v>
      </c>
      <c r="F255" s="212" t="s">
        <v>948</v>
      </c>
    </row>
    <row r="256" ht="15.75" customHeight="1">
      <c r="A256" s="207" t="s">
        <v>113</v>
      </c>
      <c r="B256" s="207" t="s">
        <v>949</v>
      </c>
      <c r="C256" s="208"/>
      <c r="D256" s="209" t="s">
        <v>950</v>
      </c>
      <c r="E256" s="209" t="s">
        <v>951</v>
      </c>
      <c r="F256" s="209" t="s">
        <v>888</v>
      </c>
    </row>
    <row r="257" ht="15.75" customHeight="1">
      <c r="A257" s="210" t="s">
        <v>113</v>
      </c>
      <c r="B257" s="210" t="s">
        <v>952</v>
      </c>
      <c r="C257" s="213"/>
      <c r="D257" s="213"/>
      <c r="E257" s="213"/>
      <c r="F257" s="213"/>
    </row>
    <row r="258" ht="15.75" customHeight="1">
      <c r="A258" s="207" t="s">
        <v>113</v>
      </c>
      <c r="B258" s="207" t="s">
        <v>953</v>
      </c>
      <c r="C258" s="208"/>
      <c r="D258" s="209" t="s">
        <v>954</v>
      </c>
      <c r="E258" s="209" t="s">
        <v>955</v>
      </c>
      <c r="F258" s="209" t="s">
        <v>955</v>
      </c>
    </row>
    <row r="259" ht="15.75" customHeight="1">
      <c r="A259" s="210" t="s">
        <v>113</v>
      </c>
      <c r="B259" s="210" t="s">
        <v>956</v>
      </c>
      <c r="C259" s="213"/>
      <c r="D259" s="213"/>
      <c r="E259" s="213"/>
      <c r="F259" s="213"/>
    </row>
    <row r="260" ht="15.75" customHeight="1">
      <c r="A260" s="207" t="s">
        <v>113</v>
      </c>
      <c r="B260" s="207" t="s">
        <v>257</v>
      </c>
      <c r="C260" s="208"/>
      <c r="D260" s="209" t="s">
        <v>957</v>
      </c>
      <c r="E260" s="209" t="s">
        <v>958</v>
      </c>
      <c r="F260" s="209" t="s">
        <v>959</v>
      </c>
    </row>
    <row r="261" ht="15.75" customHeight="1">
      <c r="A261" s="210" t="s">
        <v>113</v>
      </c>
      <c r="B261" s="210" t="s">
        <v>960</v>
      </c>
      <c r="C261" s="213"/>
      <c r="D261" s="212" t="s">
        <v>961</v>
      </c>
      <c r="E261" s="212" t="s">
        <v>962</v>
      </c>
      <c r="F261" s="212" t="s">
        <v>963</v>
      </c>
    </row>
    <row r="262" ht="15.75" customHeight="1">
      <c r="A262" s="207" t="s">
        <v>113</v>
      </c>
      <c r="B262" s="207" t="s">
        <v>964</v>
      </c>
      <c r="C262" s="208"/>
      <c r="D262" s="209" t="s">
        <v>961</v>
      </c>
      <c r="E262" s="209" t="s">
        <v>965</v>
      </c>
      <c r="F262" s="209" t="s">
        <v>966</v>
      </c>
    </row>
    <row r="263" ht="15.75" customHeight="1">
      <c r="A263" s="210" t="s">
        <v>113</v>
      </c>
      <c r="B263" s="222" t="s">
        <v>967</v>
      </c>
      <c r="C263" s="213"/>
      <c r="D263" s="213"/>
      <c r="E263" s="213"/>
      <c r="F263" s="213"/>
    </row>
    <row r="264" ht="15.75" customHeight="1">
      <c r="A264" s="207" t="s">
        <v>113</v>
      </c>
      <c r="B264" s="207" t="s">
        <v>258</v>
      </c>
      <c r="C264" s="208"/>
      <c r="D264" s="209" t="s">
        <v>968</v>
      </c>
      <c r="E264" s="209" t="s">
        <v>930</v>
      </c>
      <c r="F264" s="209" t="s">
        <v>931</v>
      </c>
    </row>
    <row r="265" ht="15.75" customHeight="1">
      <c r="A265" s="207" t="s">
        <v>113</v>
      </c>
      <c r="B265" s="219" t="s">
        <v>114</v>
      </c>
      <c r="C265" s="208"/>
      <c r="D265" s="209" t="s">
        <v>968</v>
      </c>
      <c r="E265" s="209" t="s">
        <v>907</v>
      </c>
      <c r="F265" s="209" t="s">
        <v>883</v>
      </c>
    </row>
    <row r="266" ht="15.75" customHeight="1">
      <c r="A266" s="210" t="s">
        <v>113</v>
      </c>
      <c r="B266" s="210" t="s">
        <v>259</v>
      </c>
      <c r="C266" s="213"/>
      <c r="D266" s="212" t="s">
        <v>969</v>
      </c>
      <c r="E266" s="212" t="s">
        <v>970</v>
      </c>
      <c r="F266" s="212" t="s">
        <v>971</v>
      </c>
    </row>
    <row r="267" ht="15.75" customHeight="1">
      <c r="A267" s="207" t="s">
        <v>113</v>
      </c>
      <c r="B267" s="207" t="s">
        <v>972</v>
      </c>
      <c r="C267" s="208"/>
      <c r="D267" s="209" t="s">
        <v>973</v>
      </c>
      <c r="E267" s="209" t="s">
        <v>930</v>
      </c>
      <c r="F267" s="209" t="s">
        <v>931</v>
      </c>
    </row>
    <row r="268" ht="15.75" customHeight="1">
      <c r="A268" s="210" t="s">
        <v>113</v>
      </c>
      <c r="B268" s="210" t="s">
        <v>974</v>
      </c>
      <c r="C268" s="211"/>
      <c r="D268" s="212" t="s">
        <v>975</v>
      </c>
      <c r="E268" s="212" t="s">
        <v>913</v>
      </c>
      <c r="F268" s="212" t="s">
        <v>942</v>
      </c>
    </row>
    <row r="269" ht="15.75" customHeight="1">
      <c r="A269" s="207" t="s">
        <v>113</v>
      </c>
      <c r="B269" s="207" t="s">
        <v>976</v>
      </c>
      <c r="C269" s="208"/>
      <c r="D269" s="208"/>
      <c r="E269" s="208"/>
      <c r="F269" s="208"/>
    </row>
    <row r="270" ht="15.75" customHeight="1">
      <c r="A270" s="210" t="s">
        <v>262</v>
      </c>
      <c r="B270" s="210" t="s">
        <v>977</v>
      </c>
      <c r="C270" s="213"/>
      <c r="D270" s="212" t="s">
        <v>978</v>
      </c>
      <c r="E270" s="212" t="s">
        <v>979</v>
      </c>
      <c r="F270" s="212" t="s">
        <v>980</v>
      </c>
    </row>
    <row r="271" ht="15.75" customHeight="1">
      <c r="A271" s="236" t="s">
        <v>262</v>
      </c>
      <c r="B271" s="225" t="s">
        <v>981</v>
      </c>
      <c r="C271" s="208"/>
      <c r="D271" s="209" t="s">
        <v>982</v>
      </c>
      <c r="E271" s="209" t="s">
        <v>983</v>
      </c>
      <c r="F271" s="209" t="s">
        <v>984</v>
      </c>
    </row>
    <row r="272" ht="15.75" customHeight="1">
      <c r="A272" s="210" t="s">
        <v>262</v>
      </c>
      <c r="B272" s="210" t="s">
        <v>79</v>
      </c>
      <c r="C272" s="213"/>
      <c r="D272" s="212" t="s">
        <v>985</v>
      </c>
      <c r="E272" s="212" t="s">
        <v>979</v>
      </c>
      <c r="F272" s="212" t="s">
        <v>980</v>
      </c>
    </row>
    <row r="273" ht="15.75" customHeight="1">
      <c r="A273" s="207" t="s">
        <v>262</v>
      </c>
      <c r="B273" s="207" t="s">
        <v>986</v>
      </c>
      <c r="C273" s="208"/>
      <c r="D273" s="209" t="s">
        <v>978</v>
      </c>
      <c r="E273" s="209" t="s">
        <v>987</v>
      </c>
      <c r="F273" s="209" t="s">
        <v>980</v>
      </c>
    </row>
    <row r="274" ht="15.75" customHeight="1">
      <c r="A274" s="210" t="s">
        <v>262</v>
      </c>
      <c r="B274" s="210" t="s">
        <v>988</v>
      </c>
      <c r="C274" s="213"/>
      <c r="D274" s="212" t="s">
        <v>989</v>
      </c>
      <c r="E274" s="212" t="s">
        <v>985</v>
      </c>
      <c r="F274" s="212" t="s">
        <v>980</v>
      </c>
    </row>
    <row r="275" ht="15.75" customHeight="1">
      <c r="A275" s="207" t="s">
        <v>262</v>
      </c>
      <c r="B275" s="207" t="s">
        <v>197</v>
      </c>
      <c r="C275" s="208"/>
      <c r="D275" s="209" t="s">
        <v>990</v>
      </c>
      <c r="E275" s="209" t="s">
        <v>991</v>
      </c>
      <c r="F275" s="209" t="s">
        <v>992</v>
      </c>
    </row>
    <row r="276" ht="15.75" customHeight="1">
      <c r="A276" s="210" t="s">
        <v>262</v>
      </c>
      <c r="B276" s="210" t="s">
        <v>66</v>
      </c>
      <c r="C276" s="211"/>
      <c r="D276" s="212" t="s">
        <v>982</v>
      </c>
      <c r="E276" s="212" t="s">
        <v>983</v>
      </c>
      <c r="F276" s="212" t="s">
        <v>993</v>
      </c>
    </row>
    <row r="277" ht="15.75" customHeight="1">
      <c r="A277" s="207" t="s">
        <v>994</v>
      </c>
      <c r="B277" s="207" t="s">
        <v>79</v>
      </c>
      <c r="C277" s="216"/>
      <c r="D277" s="209" t="s">
        <v>995</v>
      </c>
      <c r="E277" s="209" t="s">
        <v>996</v>
      </c>
      <c r="F277" s="209" t="s">
        <v>997</v>
      </c>
    </row>
    <row r="278" ht="15.75" customHeight="1">
      <c r="A278" s="210" t="s">
        <v>994</v>
      </c>
      <c r="B278" s="210" t="s">
        <v>219</v>
      </c>
      <c r="C278" s="213"/>
      <c r="D278" s="213"/>
      <c r="E278" s="213"/>
      <c r="F278" s="213"/>
    </row>
    <row r="279" ht="15.75" customHeight="1">
      <c r="A279" s="207" t="s">
        <v>263</v>
      </c>
      <c r="B279" s="207" t="s">
        <v>115</v>
      </c>
      <c r="C279" s="208"/>
      <c r="D279" s="208"/>
      <c r="E279" s="208"/>
      <c r="F279" s="208"/>
    </row>
    <row r="280" ht="15.75" customHeight="1">
      <c r="A280" s="210" t="s">
        <v>263</v>
      </c>
      <c r="B280" s="210" t="s">
        <v>101</v>
      </c>
      <c r="C280" s="213"/>
      <c r="D280" s="212" t="s">
        <v>998</v>
      </c>
      <c r="E280" s="212" t="s">
        <v>999</v>
      </c>
      <c r="F280" s="212" t="s">
        <v>1000</v>
      </c>
    </row>
    <row r="281" ht="15.75" customHeight="1">
      <c r="A281" s="207" t="s">
        <v>263</v>
      </c>
      <c r="B281" s="207" t="s">
        <v>265</v>
      </c>
      <c r="C281" s="208"/>
      <c r="D281" s="209" t="s">
        <v>998</v>
      </c>
      <c r="E281" s="209" t="s">
        <v>999</v>
      </c>
      <c r="F281" s="209" t="s">
        <v>1001</v>
      </c>
    </row>
    <row r="282" ht="15.75" customHeight="1">
      <c r="A282" s="210" t="s">
        <v>263</v>
      </c>
      <c r="B282" s="210" t="s">
        <v>219</v>
      </c>
      <c r="C282" s="211"/>
      <c r="D282" s="212" t="s">
        <v>998</v>
      </c>
      <c r="E282" s="212" t="s">
        <v>999</v>
      </c>
      <c r="F282" s="212" t="s">
        <v>1002</v>
      </c>
    </row>
    <row r="283" ht="15.75" customHeight="1">
      <c r="A283" s="207" t="s">
        <v>263</v>
      </c>
      <c r="B283" s="207" t="s">
        <v>73</v>
      </c>
      <c r="C283" s="216"/>
      <c r="D283" s="209" t="s">
        <v>1003</v>
      </c>
      <c r="E283" s="209" t="s">
        <v>1004</v>
      </c>
      <c r="F283" s="209" t="s">
        <v>1005</v>
      </c>
    </row>
    <row r="284" ht="15.75" customHeight="1">
      <c r="A284" s="210" t="s">
        <v>263</v>
      </c>
      <c r="B284" s="210" t="s">
        <v>1006</v>
      </c>
      <c r="C284" s="213"/>
      <c r="D284" s="213"/>
      <c r="E284" s="213"/>
      <c r="F284" s="213"/>
    </row>
    <row r="285" ht="15.75" customHeight="1">
      <c r="A285" s="207" t="s">
        <v>263</v>
      </c>
      <c r="B285" s="207" t="s">
        <v>1007</v>
      </c>
      <c r="C285" s="208"/>
      <c r="D285" s="208"/>
      <c r="E285" s="208"/>
      <c r="F285" s="208"/>
    </row>
    <row r="286" ht="15.75" customHeight="1">
      <c r="A286" s="210" t="s">
        <v>263</v>
      </c>
      <c r="B286" s="210" t="s">
        <v>218</v>
      </c>
      <c r="C286" s="213"/>
      <c r="D286" s="212" t="s">
        <v>1008</v>
      </c>
      <c r="E286" s="212" t="s">
        <v>1009</v>
      </c>
      <c r="F286" s="212" t="s">
        <v>1010</v>
      </c>
    </row>
    <row r="287" ht="15.75" customHeight="1">
      <c r="A287" s="207" t="s">
        <v>263</v>
      </c>
      <c r="B287" s="207" t="s">
        <v>1011</v>
      </c>
      <c r="C287" s="208"/>
      <c r="D287" s="208"/>
      <c r="E287" s="208"/>
      <c r="F287" s="208"/>
    </row>
    <row r="288" ht="15.75" customHeight="1">
      <c r="A288" s="210" t="s">
        <v>263</v>
      </c>
      <c r="B288" s="210" t="s">
        <v>1012</v>
      </c>
      <c r="C288" s="213"/>
      <c r="D288" s="212" t="s">
        <v>1013</v>
      </c>
      <c r="E288" s="212" t="s">
        <v>1014</v>
      </c>
      <c r="F288" s="212" t="s">
        <v>1015</v>
      </c>
    </row>
    <row r="289" ht="15.75" customHeight="1">
      <c r="A289" s="207" t="s">
        <v>263</v>
      </c>
      <c r="B289" s="207" t="s">
        <v>264</v>
      </c>
      <c r="C289" s="208"/>
      <c r="D289" s="209" t="s">
        <v>1016</v>
      </c>
      <c r="E289" s="209" t="s">
        <v>1017</v>
      </c>
      <c r="F289" s="209" t="s">
        <v>1018</v>
      </c>
    </row>
    <row r="290" ht="15.75" customHeight="1">
      <c r="A290" s="210" t="s">
        <v>267</v>
      </c>
      <c r="B290" s="210" t="s">
        <v>86</v>
      </c>
      <c r="C290" s="213"/>
      <c r="D290" s="212" t="s">
        <v>1019</v>
      </c>
      <c r="E290" s="212" t="s">
        <v>1020</v>
      </c>
      <c r="F290" s="212" t="s">
        <v>1021</v>
      </c>
    </row>
    <row r="291" ht="15.75" customHeight="1">
      <c r="A291" s="207" t="s">
        <v>267</v>
      </c>
      <c r="B291" s="207" t="s">
        <v>219</v>
      </c>
      <c r="C291" s="208"/>
      <c r="D291" s="209" t="s">
        <v>1022</v>
      </c>
      <c r="E291" s="209" t="s">
        <v>1023</v>
      </c>
      <c r="F291" s="209" t="s">
        <v>1024</v>
      </c>
    </row>
    <row r="292" ht="15.75" customHeight="1">
      <c r="A292" s="210" t="s">
        <v>267</v>
      </c>
      <c r="B292" s="210" t="s">
        <v>101</v>
      </c>
      <c r="C292" s="213"/>
      <c r="D292" s="212" t="s">
        <v>1025</v>
      </c>
      <c r="E292" s="212" t="s">
        <v>1026</v>
      </c>
      <c r="F292" s="212" t="s">
        <v>1027</v>
      </c>
    </row>
    <row r="293" ht="15.75" customHeight="1">
      <c r="A293" s="207" t="s">
        <v>267</v>
      </c>
      <c r="B293" s="207" t="s">
        <v>79</v>
      </c>
      <c r="C293" s="208"/>
      <c r="D293" s="208"/>
      <c r="E293" s="208"/>
      <c r="F293" s="208"/>
    </row>
    <row r="294" ht="15.75" customHeight="1">
      <c r="A294" s="210" t="s">
        <v>267</v>
      </c>
      <c r="B294" s="210" t="s">
        <v>66</v>
      </c>
      <c r="C294" s="213"/>
      <c r="D294" s="212" t="s">
        <v>1028</v>
      </c>
      <c r="E294" s="212" t="s">
        <v>1029</v>
      </c>
      <c r="F294" s="212" t="s">
        <v>1030</v>
      </c>
    </row>
    <row r="295" ht="15.75" customHeight="1">
      <c r="A295" s="207" t="s">
        <v>267</v>
      </c>
      <c r="B295" s="207" t="s">
        <v>141</v>
      </c>
      <c r="C295" s="208"/>
      <c r="D295" s="209" t="s">
        <v>1028</v>
      </c>
      <c r="E295" s="209" t="s">
        <v>1026</v>
      </c>
      <c r="F295" s="209" t="s">
        <v>1027</v>
      </c>
    </row>
    <row r="296" ht="15.75" customHeight="1">
      <c r="A296" s="210" t="s">
        <v>1031</v>
      </c>
      <c r="B296" s="222" t="s">
        <v>317</v>
      </c>
      <c r="C296" s="213"/>
      <c r="D296" s="212" t="s">
        <v>1032</v>
      </c>
      <c r="E296" s="212" t="s">
        <v>1033</v>
      </c>
      <c r="F296" s="212" t="s">
        <v>1034</v>
      </c>
    </row>
    <row r="297" ht="15.75" customHeight="1">
      <c r="A297" s="207" t="s">
        <v>1031</v>
      </c>
      <c r="B297" s="207" t="s">
        <v>66</v>
      </c>
      <c r="C297" s="208"/>
      <c r="D297" s="208"/>
      <c r="E297" s="208"/>
      <c r="F297" s="208"/>
    </row>
    <row r="298" ht="15.75" customHeight="1">
      <c r="A298" s="210" t="s">
        <v>1031</v>
      </c>
      <c r="B298" s="210" t="s">
        <v>553</v>
      </c>
      <c r="C298" s="213"/>
      <c r="D298" s="213"/>
      <c r="E298" s="213"/>
      <c r="F298" s="213"/>
    </row>
    <row r="299" ht="15.75" customHeight="1">
      <c r="A299" s="207" t="s">
        <v>1031</v>
      </c>
      <c r="B299" s="207" t="s">
        <v>265</v>
      </c>
      <c r="C299" s="208"/>
      <c r="D299" s="209" t="s">
        <v>1035</v>
      </c>
      <c r="E299" s="209" t="s">
        <v>1036</v>
      </c>
      <c r="F299" s="209" t="s">
        <v>1037</v>
      </c>
    </row>
    <row r="300" ht="15.75" customHeight="1">
      <c r="A300" s="210" t="s">
        <v>270</v>
      </c>
      <c r="B300" s="210" t="s">
        <v>66</v>
      </c>
      <c r="C300" s="213"/>
      <c r="D300" s="212" t="s">
        <v>1038</v>
      </c>
      <c r="E300" s="212" t="s">
        <v>1039</v>
      </c>
      <c r="F300" s="212" t="s">
        <v>1040</v>
      </c>
    </row>
    <row r="301" ht="15.75" customHeight="1">
      <c r="A301" s="207" t="s">
        <v>270</v>
      </c>
      <c r="B301" s="207" t="s">
        <v>151</v>
      </c>
      <c r="C301" s="208"/>
      <c r="D301" s="209" t="s">
        <v>1041</v>
      </c>
      <c r="E301" s="209" t="s">
        <v>1042</v>
      </c>
      <c r="F301" s="209" t="s">
        <v>1043</v>
      </c>
    </row>
    <row r="302" ht="15.75" customHeight="1">
      <c r="A302" s="210" t="s">
        <v>1044</v>
      </c>
      <c r="B302" s="210" t="s">
        <v>141</v>
      </c>
      <c r="C302" s="213"/>
      <c r="D302" s="212" t="s">
        <v>1038</v>
      </c>
      <c r="E302" s="212" t="s">
        <v>1045</v>
      </c>
      <c r="F302" s="212" t="s">
        <v>1046</v>
      </c>
    </row>
    <row r="303" ht="15.75" customHeight="1">
      <c r="A303" s="207" t="s">
        <v>1044</v>
      </c>
      <c r="B303" s="207" t="s">
        <v>1047</v>
      </c>
      <c r="C303" s="208"/>
      <c r="D303" s="209" t="s">
        <v>1048</v>
      </c>
      <c r="E303" s="209" t="s">
        <v>1049</v>
      </c>
      <c r="F303" s="209" t="s">
        <v>1050</v>
      </c>
    </row>
    <row r="304" ht="15.75" customHeight="1">
      <c r="A304" s="210" t="s">
        <v>1051</v>
      </c>
      <c r="B304" s="210" t="s">
        <v>79</v>
      </c>
      <c r="C304" s="211"/>
      <c r="D304" s="212" t="s">
        <v>1052</v>
      </c>
      <c r="E304" s="212" t="s">
        <v>1053</v>
      </c>
      <c r="F304" s="212" t="s">
        <v>1054</v>
      </c>
    </row>
    <row r="305" ht="15.75" customHeight="1">
      <c r="A305" s="207" t="s">
        <v>1055</v>
      </c>
      <c r="B305" s="207" t="s">
        <v>225</v>
      </c>
      <c r="C305" s="208"/>
      <c r="D305" s="208"/>
      <c r="E305" s="208"/>
      <c r="F305" s="208"/>
    </row>
    <row r="306" ht="15.75" customHeight="1">
      <c r="A306" s="210" t="s">
        <v>1056</v>
      </c>
      <c r="B306" s="222" t="s">
        <v>1057</v>
      </c>
      <c r="C306" s="213"/>
      <c r="D306" s="212" t="s">
        <v>1058</v>
      </c>
      <c r="E306" s="212" t="s">
        <v>1059</v>
      </c>
      <c r="F306" s="212" t="s">
        <v>1060</v>
      </c>
    </row>
    <row r="307" ht="15.75" customHeight="1">
      <c r="A307" s="207" t="s">
        <v>1061</v>
      </c>
      <c r="B307" s="207" t="s">
        <v>101</v>
      </c>
      <c r="C307" s="208"/>
      <c r="D307" s="209" t="s">
        <v>1062</v>
      </c>
      <c r="E307" s="209" t="s">
        <v>1063</v>
      </c>
      <c r="F307" s="209" t="s">
        <v>1064</v>
      </c>
    </row>
    <row r="308" ht="15.75" customHeight="1">
      <c r="A308" s="210" t="s">
        <v>1065</v>
      </c>
      <c r="B308" s="210" t="s">
        <v>115</v>
      </c>
      <c r="C308" s="213"/>
      <c r="D308" s="212" t="s">
        <v>1066</v>
      </c>
      <c r="E308" s="212" t="s">
        <v>1067</v>
      </c>
      <c r="F308" s="212" t="s">
        <v>1068</v>
      </c>
    </row>
    <row r="309" ht="15.75" customHeight="1">
      <c r="A309" s="207" t="s">
        <v>1065</v>
      </c>
      <c r="B309" s="207" t="s">
        <v>79</v>
      </c>
      <c r="C309" s="208"/>
      <c r="D309" s="209" t="s">
        <v>1069</v>
      </c>
      <c r="E309" s="209" t="s">
        <v>1070</v>
      </c>
      <c r="F309" s="209" t="s">
        <v>1071</v>
      </c>
    </row>
    <row r="310" ht="15.75" customHeight="1">
      <c r="A310" s="210" t="s">
        <v>1065</v>
      </c>
      <c r="B310" s="210" t="s">
        <v>66</v>
      </c>
      <c r="C310" s="213"/>
      <c r="D310" s="212" t="s">
        <v>1072</v>
      </c>
      <c r="E310" s="212" t="s">
        <v>1073</v>
      </c>
      <c r="F310" s="212" t="s">
        <v>1074</v>
      </c>
    </row>
    <row r="311" ht="15.75" customHeight="1">
      <c r="A311" s="207" t="s">
        <v>1075</v>
      </c>
      <c r="B311" s="219" t="s">
        <v>136</v>
      </c>
      <c r="C311" s="208"/>
      <c r="D311" s="209" t="s">
        <v>1076</v>
      </c>
      <c r="E311" s="209" t="s">
        <v>1077</v>
      </c>
      <c r="F311" s="209" t="s">
        <v>1078</v>
      </c>
    </row>
    <row r="312" ht="15.75" customHeight="1">
      <c r="A312" s="210" t="s">
        <v>1075</v>
      </c>
      <c r="B312" s="210" t="s">
        <v>1079</v>
      </c>
      <c r="C312" s="213"/>
      <c r="D312" s="212" t="s">
        <v>1080</v>
      </c>
      <c r="E312" s="212" t="s">
        <v>1081</v>
      </c>
      <c r="F312" s="212" t="s">
        <v>1082</v>
      </c>
    </row>
    <row r="313" ht="15.75" customHeight="1">
      <c r="A313" s="207" t="s">
        <v>1075</v>
      </c>
      <c r="B313" s="219" t="s">
        <v>201</v>
      </c>
      <c r="C313" s="208"/>
      <c r="D313" s="209" t="s">
        <v>1083</v>
      </c>
      <c r="E313" s="209" t="s">
        <v>1078</v>
      </c>
      <c r="F313" s="209" t="s">
        <v>1084</v>
      </c>
    </row>
    <row r="314" ht="15.75" customHeight="1">
      <c r="A314" s="210" t="s">
        <v>1075</v>
      </c>
      <c r="B314" s="210" t="s">
        <v>1085</v>
      </c>
      <c r="C314" s="213"/>
      <c r="D314" s="212" t="s">
        <v>1086</v>
      </c>
      <c r="E314" s="212" t="s">
        <v>1082</v>
      </c>
      <c r="F314" s="212" t="s">
        <v>1087</v>
      </c>
    </row>
    <row r="315" ht="15.75" customHeight="1">
      <c r="A315" s="207" t="s">
        <v>1075</v>
      </c>
      <c r="B315" s="207" t="s">
        <v>1088</v>
      </c>
      <c r="C315" s="208"/>
      <c r="D315" s="209" t="s">
        <v>1089</v>
      </c>
      <c r="E315" s="209" t="s">
        <v>1090</v>
      </c>
      <c r="F315" s="209" t="s">
        <v>1091</v>
      </c>
    </row>
    <row r="316" ht="15.75" customHeight="1">
      <c r="A316" s="210" t="s">
        <v>1075</v>
      </c>
      <c r="B316" s="222" t="s">
        <v>1092</v>
      </c>
      <c r="C316" s="213"/>
      <c r="D316" s="212" t="s">
        <v>1089</v>
      </c>
      <c r="E316" s="212" t="s">
        <v>1087</v>
      </c>
      <c r="F316" s="212" t="s">
        <v>1093</v>
      </c>
    </row>
    <row r="317" ht="15.75" customHeight="1">
      <c r="A317" s="207" t="s">
        <v>1075</v>
      </c>
      <c r="B317" s="207" t="s">
        <v>1094</v>
      </c>
      <c r="C317" s="208"/>
      <c r="D317" s="209" t="s">
        <v>1095</v>
      </c>
      <c r="E317" s="209" t="s">
        <v>1089</v>
      </c>
      <c r="F317" s="209" t="s">
        <v>1096</v>
      </c>
    </row>
    <row r="318" ht="15.75" customHeight="1">
      <c r="A318" s="210" t="s">
        <v>1075</v>
      </c>
      <c r="B318" s="210" t="s">
        <v>1097</v>
      </c>
      <c r="C318" s="211"/>
      <c r="D318" s="212" t="s">
        <v>1098</v>
      </c>
      <c r="E318" s="212" t="s">
        <v>1099</v>
      </c>
      <c r="F318" s="212" t="s">
        <v>1100</v>
      </c>
    </row>
    <row r="319" ht="15.75" customHeight="1">
      <c r="A319" s="207" t="s">
        <v>1075</v>
      </c>
      <c r="B319" s="219" t="s">
        <v>1101</v>
      </c>
      <c r="C319" s="208"/>
      <c r="D319" s="208"/>
      <c r="E319" s="208"/>
      <c r="F319" s="208"/>
    </row>
    <row r="320" ht="15.75" customHeight="1">
      <c r="A320" s="210" t="s">
        <v>1102</v>
      </c>
      <c r="B320" s="210" t="s">
        <v>265</v>
      </c>
      <c r="C320" s="213"/>
      <c r="D320" s="212" t="s">
        <v>1103</v>
      </c>
      <c r="E320" s="212" t="s">
        <v>1104</v>
      </c>
      <c r="F320" s="212" t="s">
        <v>1105</v>
      </c>
    </row>
    <row r="321" ht="15.75" customHeight="1">
      <c r="A321" s="207" t="s">
        <v>1106</v>
      </c>
      <c r="B321" s="207" t="s">
        <v>66</v>
      </c>
      <c r="C321" s="208"/>
      <c r="D321" s="208"/>
      <c r="E321" s="208"/>
      <c r="F321" s="208"/>
    </row>
    <row r="322" ht="15.75" customHeight="1">
      <c r="A322" s="210" t="s">
        <v>275</v>
      </c>
      <c r="B322" s="210" t="s">
        <v>1107</v>
      </c>
      <c r="C322" s="211"/>
      <c r="D322" s="212" t="s">
        <v>1108</v>
      </c>
      <c r="E322" s="212" t="s">
        <v>1109</v>
      </c>
      <c r="F322" s="212" t="s">
        <v>1110</v>
      </c>
    </row>
    <row r="323" ht="15.75" customHeight="1">
      <c r="A323" s="207" t="s">
        <v>275</v>
      </c>
      <c r="B323" s="207" t="s">
        <v>73</v>
      </c>
      <c r="C323" s="216"/>
      <c r="D323" s="209" t="s">
        <v>1111</v>
      </c>
      <c r="E323" s="209" t="s">
        <v>1109</v>
      </c>
      <c r="F323" s="209" t="s">
        <v>1110</v>
      </c>
    </row>
    <row r="324" ht="15.75" customHeight="1">
      <c r="A324" s="210" t="s">
        <v>275</v>
      </c>
      <c r="B324" s="210" t="s">
        <v>151</v>
      </c>
      <c r="C324" s="213"/>
      <c r="D324" s="212" t="s">
        <v>1112</v>
      </c>
      <c r="E324" s="212" t="s">
        <v>1113</v>
      </c>
      <c r="F324" s="212" t="s">
        <v>1114</v>
      </c>
    </row>
    <row r="325" ht="15.75" customHeight="1">
      <c r="A325" s="207" t="s">
        <v>1115</v>
      </c>
      <c r="B325" s="207" t="s">
        <v>1116</v>
      </c>
      <c r="C325" s="208"/>
      <c r="D325" s="209" t="s">
        <v>1117</v>
      </c>
      <c r="E325" s="209" t="s">
        <v>1118</v>
      </c>
      <c r="F325" s="209" t="s">
        <v>1119</v>
      </c>
    </row>
    <row r="326" ht="15.75" customHeight="1">
      <c r="A326" s="210" t="s">
        <v>276</v>
      </c>
      <c r="B326" s="210" t="s">
        <v>133</v>
      </c>
      <c r="C326" s="213"/>
      <c r="D326" s="212" t="s">
        <v>1120</v>
      </c>
      <c r="E326" s="213"/>
      <c r="F326" s="212" t="s">
        <v>1121</v>
      </c>
    </row>
    <row r="327" ht="15.75" customHeight="1">
      <c r="A327" s="207" t="s">
        <v>276</v>
      </c>
      <c r="B327" s="207" t="s">
        <v>73</v>
      </c>
      <c r="C327" s="208"/>
      <c r="D327" s="209" t="s">
        <v>1122</v>
      </c>
      <c r="E327" s="209" t="s">
        <v>1123</v>
      </c>
      <c r="F327" s="209" t="s">
        <v>1124</v>
      </c>
    </row>
    <row r="328" ht="15.75" customHeight="1">
      <c r="A328" s="210" t="s">
        <v>276</v>
      </c>
      <c r="B328" s="210" t="s">
        <v>230</v>
      </c>
      <c r="C328" s="213"/>
      <c r="D328" s="212" t="s">
        <v>1125</v>
      </c>
      <c r="E328" s="212" t="s">
        <v>1126</v>
      </c>
      <c r="F328" s="212" t="s">
        <v>1127</v>
      </c>
    </row>
    <row r="329" ht="15.75" customHeight="1">
      <c r="A329" s="207" t="s">
        <v>276</v>
      </c>
      <c r="B329" s="207" t="s">
        <v>1128</v>
      </c>
      <c r="C329" s="208"/>
      <c r="D329" s="209" t="s">
        <v>1129</v>
      </c>
      <c r="E329" s="209" t="s">
        <v>1130</v>
      </c>
      <c r="F329" s="209" t="s">
        <v>1131</v>
      </c>
    </row>
    <row r="330" ht="15.75" customHeight="1">
      <c r="A330" s="210" t="s">
        <v>276</v>
      </c>
      <c r="B330" s="210" t="s">
        <v>96</v>
      </c>
      <c r="C330" s="213"/>
      <c r="D330" s="212" t="s">
        <v>1132</v>
      </c>
      <c r="E330" s="212" t="s">
        <v>1126</v>
      </c>
      <c r="F330" s="212" t="s">
        <v>1133</v>
      </c>
    </row>
    <row r="331" ht="15.75" customHeight="1">
      <c r="A331" s="207" t="s">
        <v>276</v>
      </c>
      <c r="B331" s="207" t="s">
        <v>93</v>
      </c>
      <c r="C331" s="208"/>
      <c r="D331" s="209" t="s">
        <v>1126</v>
      </c>
      <c r="E331" s="209" t="s">
        <v>1123</v>
      </c>
      <c r="F331" s="209" t="s">
        <v>1134</v>
      </c>
    </row>
    <row r="332" ht="15.75" customHeight="1">
      <c r="A332" s="210" t="s">
        <v>276</v>
      </c>
      <c r="B332" s="210" t="s">
        <v>278</v>
      </c>
      <c r="C332" s="213"/>
      <c r="D332" s="212" t="s">
        <v>1135</v>
      </c>
      <c r="E332" s="212" t="s">
        <v>1136</v>
      </c>
      <c r="F332" s="212" t="s">
        <v>1137</v>
      </c>
    </row>
    <row r="333" ht="15.75" customHeight="1">
      <c r="A333" s="207" t="s">
        <v>276</v>
      </c>
      <c r="B333" s="207" t="s">
        <v>277</v>
      </c>
      <c r="C333" s="208"/>
      <c r="D333" s="209" t="s">
        <v>1138</v>
      </c>
      <c r="E333" s="209" t="s">
        <v>1139</v>
      </c>
      <c r="F333" s="209" t="s">
        <v>1140</v>
      </c>
    </row>
    <row r="334" ht="15.75" customHeight="1">
      <c r="A334" s="210" t="s">
        <v>129</v>
      </c>
      <c r="B334" s="210" t="s">
        <v>66</v>
      </c>
      <c r="C334" s="213"/>
      <c r="D334" s="213"/>
      <c r="E334" s="213"/>
      <c r="F334" s="213"/>
    </row>
    <row r="335" ht="15.75" customHeight="1">
      <c r="A335" s="207" t="s">
        <v>129</v>
      </c>
      <c r="B335" s="207" t="s">
        <v>1141</v>
      </c>
      <c r="C335" s="208"/>
      <c r="D335" s="209" t="s">
        <v>1142</v>
      </c>
      <c r="E335" s="209" t="s">
        <v>1143</v>
      </c>
      <c r="F335" s="209" t="s">
        <v>1144</v>
      </c>
    </row>
    <row r="336" ht="15.75" customHeight="1">
      <c r="A336" s="210" t="s">
        <v>129</v>
      </c>
      <c r="B336" s="210" t="s">
        <v>79</v>
      </c>
      <c r="C336" s="213"/>
      <c r="D336" s="237" t="s">
        <v>385</v>
      </c>
      <c r="E336" s="212" t="s">
        <v>1145</v>
      </c>
      <c r="F336" s="212" t="s">
        <v>1146</v>
      </c>
    </row>
    <row r="337" ht="15.75" customHeight="1">
      <c r="A337" s="207" t="s">
        <v>129</v>
      </c>
      <c r="B337" s="219" t="s">
        <v>967</v>
      </c>
      <c r="C337" s="208"/>
      <c r="D337" s="209" t="s">
        <v>1142</v>
      </c>
      <c r="E337" s="209" t="s">
        <v>1143</v>
      </c>
      <c r="F337" s="209" t="s">
        <v>1147</v>
      </c>
    </row>
    <row r="338" ht="15.75" customHeight="1">
      <c r="A338" s="210" t="s">
        <v>129</v>
      </c>
      <c r="B338" s="210" t="s">
        <v>151</v>
      </c>
      <c r="C338" s="213"/>
      <c r="D338" s="212" t="s">
        <v>1148</v>
      </c>
      <c r="E338" s="212" t="s">
        <v>1145</v>
      </c>
      <c r="F338" s="212" t="s">
        <v>1146</v>
      </c>
    </row>
    <row r="339" ht="15.75" customHeight="1">
      <c r="A339" s="207" t="s">
        <v>1149</v>
      </c>
      <c r="B339" s="207" t="s">
        <v>1150</v>
      </c>
      <c r="C339" s="208"/>
      <c r="D339" s="209" t="s">
        <v>1151</v>
      </c>
      <c r="E339" s="209" t="s">
        <v>1130</v>
      </c>
      <c r="F339" s="209" t="s">
        <v>1152</v>
      </c>
    </row>
    <row r="340" ht="15.75" customHeight="1">
      <c r="A340" s="210" t="s">
        <v>1149</v>
      </c>
      <c r="B340" s="210" t="s">
        <v>1153</v>
      </c>
      <c r="C340" s="213"/>
      <c r="D340" s="212" t="s">
        <v>1154</v>
      </c>
      <c r="E340" s="212" t="s">
        <v>1155</v>
      </c>
      <c r="F340" s="212" t="s">
        <v>1152</v>
      </c>
    </row>
    <row r="341" ht="15.75" customHeight="1">
      <c r="A341" s="207" t="s">
        <v>279</v>
      </c>
      <c r="B341" s="207" t="s">
        <v>230</v>
      </c>
      <c r="C341" s="208"/>
      <c r="D341" s="209" t="s">
        <v>1156</v>
      </c>
      <c r="E341" s="209" t="s">
        <v>1157</v>
      </c>
      <c r="F341" s="209" t="s">
        <v>1158</v>
      </c>
    </row>
    <row r="342" ht="15.75" customHeight="1">
      <c r="A342" s="210" t="s">
        <v>279</v>
      </c>
      <c r="B342" s="222" t="s">
        <v>280</v>
      </c>
      <c r="C342" s="213"/>
      <c r="D342" s="212" t="s">
        <v>1159</v>
      </c>
      <c r="E342" s="212" t="s">
        <v>1160</v>
      </c>
      <c r="F342" s="212" t="s">
        <v>1161</v>
      </c>
    </row>
    <row r="343" ht="15.75" customHeight="1">
      <c r="A343" s="207" t="s">
        <v>279</v>
      </c>
      <c r="B343" s="219" t="s">
        <v>1162</v>
      </c>
      <c r="C343" s="208"/>
      <c r="D343" s="208"/>
      <c r="E343" s="208"/>
      <c r="F343" s="208"/>
    </row>
    <row r="344" ht="15.75" customHeight="1">
      <c r="A344" s="210" t="s">
        <v>279</v>
      </c>
      <c r="B344" s="210" t="s">
        <v>79</v>
      </c>
      <c r="C344" s="213"/>
      <c r="D344" s="212" t="s">
        <v>1157</v>
      </c>
      <c r="E344" s="212" t="s">
        <v>1163</v>
      </c>
      <c r="F344" s="212" t="s">
        <v>1164</v>
      </c>
    </row>
    <row r="345" ht="15.75" customHeight="1">
      <c r="A345" s="207" t="s">
        <v>281</v>
      </c>
      <c r="B345" s="207" t="s">
        <v>101</v>
      </c>
      <c r="C345" s="208"/>
      <c r="D345" s="209" t="s">
        <v>1165</v>
      </c>
      <c r="E345" s="209" t="s">
        <v>1166</v>
      </c>
      <c r="F345" s="209" t="s">
        <v>1167</v>
      </c>
    </row>
    <row r="346" ht="15.75" customHeight="1">
      <c r="A346" s="210" t="s">
        <v>281</v>
      </c>
      <c r="B346" s="210" t="s">
        <v>127</v>
      </c>
      <c r="C346" s="213"/>
      <c r="D346" s="213"/>
      <c r="E346" s="213"/>
      <c r="F346" s="213"/>
    </row>
    <row r="347" ht="15.75" customHeight="1">
      <c r="A347" s="207" t="s">
        <v>281</v>
      </c>
      <c r="B347" s="219" t="s">
        <v>1168</v>
      </c>
      <c r="C347" s="208"/>
      <c r="D347" s="209" t="s">
        <v>1169</v>
      </c>
      <c r="E347" s="209" t="s">
        <v>1170</v>
      </c>
      <c r="F347" s="209" t="s">
        <v>1171</v>
      </c>
    </row>
    <row r="348" ht="15.75" customHeight="1">
      <c r="A348" s="210" t="s">
        <v>281</v>
      </c>
      <c r="B348" s="210" t="s">
        <v>1172</v>
      </c>
      <c r="C348" s="213"/>
      <c r="D348" s="213"/>
      <c r="E348" s="213"/>
      <c r="F348" s="213"/>
    </row>
    <row r="349" ht="15.75" customHeight="1">
      <c r="A349" s="207" t="s">
        <v>282</v>
      </c>
      <c r="B349" s="207" t="s">
        <v>96</v>
      </c>
      <c r="C349" s="208"/>
      <c r="D349" s="209" t="s">
        <v>1173</v>
      </c>
      <c r="E349" s="209" t="s">
        <v>1174</v>
      </c>
      <c r="F349" s="209" t="s">
        <v>1175</v>
      </c>
    </row>
    <row r="350" ht="15.75" customHeight="1">
      <c r="A350" s="210" t="s">
        <v>282</v>
      </c>
      <c r="B350" s="210" t="s">
        <v>284</v>
      </c>
      <c r="C350" s="213"/>
      <c r="D350" s="212" t="s">
        <v>1176</v>
      </c>
      <c r="E350" s="212" t="s">
        <v>1177</v>
      </c>
      <c r="F350" s="212" t="s">
        <v>1178</v>
      </c>
    </row>
    <row r="351" ht="15.75" customHeight="1">
      <c r="A351" s="207" t="s">
        <v>282</v>
      </c>
      <c r="B351" s="207" t="s">
        <v>283</v>
      </c>
      <c r="C351" s="208"/>
      <c r="D351" s="209" t="s">
        <v>1179</v>
      </c>
      <c r="E351" s="208"/>
      <c r="F351" s="209" t="s">
        <v>1180</v>
      </c>
    </row>
    <row r="352" ht="15.75" customHeight="1">
      <c r="A352" s="210" t="s">
        <v>155</v>
      </c>
      <c r="B352" s="210" t="s">
        <v>285</v>
      </c>
      <c r="C352" s="213"/>
      <c r="D352" s="212" t="s">
        <v>1181</v>
      </c>
      <c r="E352" s="212" t="s">
        <v>1182</v>
      </c>
      <c r="F352" s="212" t="s">
        <v>1183</v>
      </c>
    </row>
    <row r="353" ht="15.75" customHeight="1">
      <c r="A353" s="207" t="s">
        <v>155</v>
      </c>
      <c r="B353" s="207" t="s">
        <v>79</v>
      </c>
      <c r="C353" s="208"/>
      <c r="D353" s="208"/>
      <c r="E353" s="208"/>
      <c r="F353" s="208"/>
    </row>
    <row r="354" ht="15.75" customHeight="1">
      <c r="A354" s="210" t="s">
        <v>155</v>
      </c>
      <c r="B354" s="210" t="s">
        <v>230</v>
      </c>
      <c r="C354" s="213"/>
      <c r="D354" s="212" t="s">
        <v>1184</v>
      </c>
      <c r="E354" s="212" t="s">
        <v>1182</v>
      </c>
      <c r="F354" s="212" t="s">
        <v>1183</v>
      </c>
    </row>
    <row r="355" ht="15.75" customHeight="1">
      <c r="A355" s="207" t="s">
        <v>155</v>
      </c>
      <c r="B355" s="207" t="s">
        <v>156</v>
      </c>
      <c r="C355" s="216"/>
      <c r="D355" s="209" t="s">
        <v>1185</v>
      </c>
      <c r="E355" s="209" t="s">
        <v>1186</v>
      </c>
      <c r="F355" s="209" t="s">
        <v>1187</v>
      </c>
    </row>
    <row r="356" ht="15.75" customHeight="1">
      <c r="A356" s="210" t="s">
        <v>109</v>
      </c>
      <c r="B356" s="210" t="s">
        <v>101</v>
      </c>
      <c r="C356" s="213"/>
      <c r="D356" s="212" t="s">
        <v>1188</v>
      </c>
      <c r="E356" s="212" t="s">
        <v>1189</v>
      </c>
      <c r="F356" s="212" t="s">
        <v>1190</v>
      </c>
    </row>
    <row r="357" ht="15.75" customHeight="1">
      <c r="A357" s="210" t="s">
        <v>109</v>
      </c>
      <c r="B357" s="222" t="s">
        <v>144</v>
      </c>
      <c r="C357" s="213"/>
      <c r="D357" s="226" t="s">
        <v>1191</v>
      </c>
      <c r="E357" s="226" t="s">
        <v>1192</v>
      </c>
      <c r="F357" s="226" t="s">
        <v>372</v>
      </c>
    </row>
    <row r="358" ht="15.75" customHeight="1">
      <c r="A358" s="222" t="s">
        <v>109</v>
      </c>
      <c r="B358" s="222" t="s">
        <v>79</v>
      </c>
      <c r="C358" s="213"/>
      <c r="D358" s="226" t="s">
        <v>1193</v>
      </c>
      <c r="E358" s="226" t="s">
        <v>1194</v>
      </c>
      <c r="F358" s="226" t="s">
        <v>1195</v>
      </c>
    </row>
    <row r="359" ht="15.75" customHeight="1">
      <c r="A359" s="207" t="s">
        <v>109</v>
      </c>
      <c r="B359" s="207" t="s">
        <v>233</v>
      </c>
      <c r="C359" s="208"/>
      <c r="D359" s="209" t="s">
        <v>1196</v>
      </c>
      <c r="E359" s="209" t="s">
        <v>1197</v>
      </c>
      <c r="F359" s="209" t="s">
        <v>1198</v>
      </c>
    </row>
    <row r="360" ht="15.75" customHeight="1">
      <c r="A360" s="210" t="s">
        <v>1199</v>
      </c>
      <c r="B360" s="210" t="s">
        <v>219</v>
      </c>
      <c r="C360" s="213"/>
      <c r="D360" s="212" t="s">
        <v>1200</v>
      </c>
      <c r="E360" s="212" t="s">
        <v>1201</v>
      </c>
      <c r="F360" s="212" t="s">
        <v>1202</v>
      </c>
    </row>
    <row r="361" ht="15.75" customHeight="1">
      <c r="A361" s="207" t="s">
        <v>1203</v>
      </c>
      <c r="B361" s="207" t="s">
        <v>73</v>
      </c>
      <c r="C361" s="208"/>
      <c r="D361" s="209" t="s">
        <v>1204</v>
      </c>
      <c r="E361" s="209" t="s">
        <v>1205</v>
      </c>
      <c r="F361" s="209" t="s">
        <v>1206</v>
      </c>
    </row>
    <row r="362" ht="15.75" customHeight="1">
      <c r="A362" s="210" t="s">
        <v>1203</v>
      </c>
      <c r="B362" s="210" t="s">
        <v>213</v>
      </c>
      <c r="C362" s="213"/>
      <c r="D362" s="213"/>
      <c r="E362" s="213"/>
      <c r="F362" s="213"/>
    </row>
    <row r="363" ht="15.75" customHeight="1">
      <c r="A363" s="207" t="s">
        <v>1203</v>
      </c>
      <c r="B363" s="207" t="s">
        <v>198</v>
      </c>
      <c r="C363" s="208"/>
      <c r="D363" s="208"/>
      <c r="E363" s="208"/>
      <c r="F363" s="208"/>
    </row>
    <row r="364" ht="15.75" customHeight="1">
      <c r="A364" s="210" t="s">
        <v>1203</v>
      </c>
      <c r="B364" s="210" t="s">
        <v>1207</v>
      </c>
      <c r="C364" s="213"/>
      <c r="D364" s="212" t="s">
        <v>1208</v>
      </c>
      <c r="E364" s="212" t="s">
        <v>1209</v>
      </c>
      <c r="F364" s="212" t="s">
        <v>1210</v>
      </c>
    </row>
    <row r="365" ht="15.75" customHeight="1">
      <c r="A365" s="207" t="s">
        <v>1211</v>
      </c>
      <c r="B365" s="207" t="s">
        <v>1211</v>
      </c>
      <c r="C365" s="208"/>
      <c r="D365" s="209" t="s">
        <v>1212</v>
      </c>
      <c r="E365" s="209" t="s">
        <v>1212</v>
      </c>
      <c r="F365" s="209" t="s">
        <v>1212</v>
      </c>
    </row>
    <row r="366" ht="15.75" customHeight="1">
      <c r="A366" s="210" t="s">
        <v>92</v>
      </c>
      <c r="B366" s="210" t="s">
        <v>1213</v>
      </c>
      <c r="C366" s="213"/>
      <c r="D366" s="212" t="s">
        <v>1214</v>
      </c>
      <c r="E366" s="212" t="s">
        <v>1215</v>
      </c>
      <c r="F366" s="212" t="s">
        <v>1216</v>
      </c>
    </row>
    <row r="367" ht="15.75" customHeight="1">
      <c r="A367" s="236" t="s">
        <v>92</v>
      </c>
      <c r="B367" s="225" t="s">
        <v>1217</v>
      </c>
      <c r="C367" s="220"/>
      <c r="D367" s="221" t="s">
        <v>1218</v>
      </c>
      <c r="E367" s="221" t="s">
        <v>1215</v>
      </c>
      <c r="F367" s="221" t="s">
        <v>1216</v>
      </c>
    </row>
    <row r="368" ht="15.75" customHeight="1">
      <c r="A368" s="210" t="s">
        <v>92</v>
      </c>
      <c r="B368" s="210" t="s">
        <v>115</v>
      </c>
      <c r="C368" s="213"/>
      <c r="D368" s="212" t="s">
        <v>1219</v>
      </c>
      <c r="E368" s="212" t="s">
        <v>1220</v>
      </c>
      <c r="F368" s="212" t="s">
        <v>1216</v>
      </c>
    </row>
    <row r="369" ht="15.75" customHeight="1">
      <c r="A369" s="207" t="s">
        <v>92</v>
      </c>
      <c r="B369" s="207" t="s">
        <v>101</v>
      </c>
      <c r="C369" s="208"/>
      <c r="D369" s="209" t="s">
        <v>1221</v>
      </c>
      <c r="E369" s="209" t="s">
        <v>1222</v>
      </c>
      <c r="F369" s="209" t="s">
        <v>1223</v>
      </c>
    </row>
    <row r="370" ht="15.75" customHeight="1">
      <c r="A370" s="210" t="s">
        <v>92</v>
      </c>
      <c r="B370" s="210" t="s">
        <v>79</v>
      </c>
      <c r="C370" s="213"/>
      <c r="D370" s="212" t="s">
        <v>1224</v>
      </c>
      <c r="E370" s="212" t="s">
        <v>1225</v>
      </c>
      <c r="F370" s="212" t="s">
        <v>1226</v>
      </c>
    </row>
    <row r="371" ht="15.75" customHeight="1">
      <c r="A371" s="216" t="s">
        <v>92</v>
      </c>
      <c r="B371" s="235" t="s">
        <v>66</v>
      </c>
      <c r="C371" s="208"/>
      <c r="D371" s="209" t="s">
        <v>1227</v>
      </c>
      <c r="E371" s="209" t="s">
        <v>1228</v>
      </c>
      <c r="F371" s="209" t="s">
        <v>1229</v>
      </c>
    </row>
    <row r="372" ht="15.75" customHeight="1">
      <c r="A372" s="210" t="s">
        <v>92</v>
      </c>
      <c r="B372" s="210" t="s">
        <v>230</v>
      </c>
      <c r="C372" s="213"/>
      <c r="D372" s="212" t="s">
        <v>1224</v>
      </c>
      <c r="E372" s="213"/>
      <c r="F372" s="212" t="s">
        <v>1230</v>
      </c>
    </row>
    <row r="373" ht="15.75" customHeight="1">
      <c r="A373" s="207" t="s">
        <v>92</v>
      </c>
      <c r="B373" s="207" t="s">
        <v>96</v>
      </c>
      <c r="C373" s="208"/>
      <c r="D373" s="209" t="s">
        <v>1224</v>
      </c>
      <c r="E373" s="209" t="s">
        <v>1228</v>
      </c>
      <c r="F373" s="209" t="s">
        <v>1229</v>
      </c>
    </row>
    <row r="374" ht="15.75" customHeight="1">
      <c r="A374" s="210" t="s">
        <v>92</v>
      </c>
      <c r="B374" s="218" t="s">
        <v>1231</v>
      </c>
      <c r="C374" s="213"/>
      <c r="D374" s="212" t="s">
        <v>1232</v>
      </c>
      <c r="E374" s="212" t="s">
        <v>1233</v>
      </c>
      <c r="F374" s="212" t="s">
        <v>1234</v>
      </c>
    </row>
    <row r="375" ht="15.75" customHeight="1">
      <c r="A375" s="207" t="s">
        <v>92</v>
      </c>
      <c r="B375" s="225" t="s">
        <v>93</v>
      </c>
      <c r="C375" s="216"/>
      <c r="D375" s="209" t="s">
        <v>1224</v>
      </c>
      <c r="E375" s="209" t="s">
        <v>1235</v>
      </c>
      <c r="F375" s="209" t="s">
        <v>1236</v>
      </c>
    </row>
    <row r="376" ht="15.75" customHeight="1">
      <c r="A376" s="210" t="s">
        <v>92</v>
      </c>
      <c r="B376" s="210" t="s">
        <v>196</v>
      </c>
      <c r="C376" s="213"/>
      <c r="D376" s="212" t="s">
        <v>1224</v>
      </c>
      <c r="E376" s="212" t="s">
        <v>1236</v>
      </c>
      <c r="F376" s="212" t="s">
        <v>1226</v>
      </c>
    </row>
    <row r="377" ht="15.75" customHeight="1">
      <c r="A377" s="207" t="s">
        <v>92</v>
      </c>
      <c r="B377" s="207" t="s">
        <v>123</v>
      </c>
      <c r="C377" s="208"/>
      <c r="D377" s="209" t="s">
        <v>1232</v>
      </c>
      <c r="E377" s="209" t="s">
        <v>1237</v>
      </c>
      <c r="F377" s="209" t="s">
        <v>1230</v>
      </c>
    </row>
    <row r="378" ht="15.75" customHeight="1">
      <c r="A378" s="210" t="s">
        <v>92</v>
      </c>
      <c r="B378" s="210" t="s">
        <v>500</v>
      </c>
      <c r="C378" s="213"/>
      <c r="D378" s="212" t="s">
        <v>1227</v>
      </c>
      <c r="E378" s="212" t="s">
        <v>1235</v>
      </c>
      <c r="F378" s="212" t="s">
        <v>1236</v>
      </c>
    </row>
    <row r="379" ht="15.75" customHeight="1">
      <c r="A379" s="207" t="s">
        <v>92</v>
      </c>
      <c r="B379" s="207" t="s">
        <v>1238</v>
      </c>
      <c r="C379" s="208"/>
      <c r="D379" s="209" t="s">
        <v>1239</v>
      </c>
      <c r="E379" s="209" t="s">
        <v>1229</v>
      </c>
      <c r="F379" s="209" t="s">
        <v>1226</v>
      </c>
    </row>
    <row r="380" ht="15.75" customHeight="1">
      <c r="A380" s="210" t="s">
        <v>92</v>
      </c>
      <c r="B380" s="210" t="s">
        <v>287</v>
      </c>
      <c r="C380" s="213"/>
      <c r="D380" s="212" t="s">
        <v>1218</v>
      </c>
      <c r="E380" s="212" t="s">
        <v>1215</v>
      </c>
      <c r="F380" s="212" t="s">
        <v>1216</v>
      </c>
    </row>
    <row r="381" ht="15.75" customHeight="1">
      <c r="A381" s="207" t="s">
        <v>92</v>
      </c>
      <c r="B381" s="207" t="s">
        <v>1240</v>
      </c>
      <c r="C381" s="208"/>
      <c r="D381" s="209" t="s">
        <v>1218</v>
      </c>
      <c r="E381" s="208"/>
      <c r="F381" s="209" t="s">
        <v>1229</v>
      </c>
    </row>
    <row r="382" ht="15.75" customHeight="1">
      <c r="A382" s="210" t="s">
        <v>92</v>
      </c>
      <c r="B382" s="210" t="s">
        <v>213</v>
      </c>
      <c r="C382" s="213"/>
      <c r="D382" s="212" t="s">
        <v>1214</v>
      </c>
      <c r="E382" s="212" t="s">
        <v>1215</v>
      </c>
      <c r="F382" s="212" t="s">
        <v>1216</v>
      </c>
    </row>
    <row r="383" ht="15.75" customHeight="1">
      <c r="A383" s="207" t="s">
        <v>1241</v>
      </c>
      <c r="B383" s="219" t="s">
        <v>214</v>
      </c>
      <c r="C383" s="208"/>
      <c r="D383" s="208"/>
      <c r="E383" s="208"/>
      <c r="F383" s="208"/>
    </row>
    <row r="384" ht="15.75" customHeight="1">
      <c r="A384" s="210" t="s">
        <v>1242</v>
      </c>
      <c r="B384" s="210" t="s">
        <v>127</v>
      </c>
      <c r="C384" s="213"/>
      <c r="D384" s="213"/>
      <c r="E384" s="213"/>
      <c r="F384" s="213"/>
    </row>
    <row r="385" ht="15.75" customHeight="1">
      <c r="A385" s="207" t="s">
        <v>95</v>
      </c>
      <c r="B385" s="207" t="s">
        <v>73</v>
      </c>
      <c r="C385" s="208"/>
      <c r="D385" s="209" t="s">
        <v>1243</v>
      </c>
      <c r="E385" s="209" t="s">
        <v>1244</v>
      </c>
      <c r="F385" s="209" t="s">
        <v>1245</v>
      </c>
    </row>
    <row r="386" ht="15.75" customHeight="1">
      <c r="A386" s="210" t="s">
        <v>95</v>
      </c>
      <c r="B386" s="210" t="s">
        <v>101</v>
      </c>
      <c r="C386" s="213"/>
      <c r="D386" s="212" t="s">
        <v>1246</v>
      </c>
      <c r="E386" s="212" t="s">
        <v>1247</v>
      </c>
      <c r="F386" s="212" t="s">
        <v>1248</v>
      </c>
    </row>
    <row r="387" ht="15.75" customHeight="1">
      <c r="A387" s="207" t="s">
        <v>95</v>
      </c>
      <c r="B387" s="207" t="s">
        <v>1249</v>
      </c>
      <c r="C387" s="208"/>
      <c r="D387" s="209" t="s">
        <v>1250</v>
      </c>
      <c r="E387" s="209" t="s">
        <v>1251</v>
      </c>
      <c r="F387" s="209" t="s">
        <v>1252</v>
      </c>
    </row>
    <row r="388" ht="15.75" customHeight="1">
      <c r="A388" s="210" t="s">
        <v>95</v>
      </c>
      <c r="B388" s="210" t="s">
        <v>1253</v>
      </c>
      <c r="C388" s="213"/>
      <c r="D388" s="212" t="s">
        <v>1254</v>
      </c>
      <c r="E388" s="212" t="s">
        <v>1247</v>
      </c>
      <c r="F388" s="212" t="s">
        <v>1245</v>
      </c>
    </row>
    <row r="389" ht="15.75" customHeight="1">
      <c r="A389" s="207" t="s">
        <v>95</v>
      </c>
      <c r="B389" s="207" t="s">
        <v>96</v>
      </c>
      <c r="C389" s="208"/>
      <c r="D389" s="215" t="s">
        <v>369</v>
      </c>
      <c r="E389" s="215" t="s">
        <v>1255</v>
      </c>
      <c r="F389" s="215" t="s">
        <v>1256</v>
      </c>
    </row>
    <row r="390" ht="15.75" customHeight="1">
      <c r="A390" s="210" t="s">
        <v>95</v>
      </c>
      <c r="B390" s="210" t="s">
        <v>123</v>
      </c>
      <c r="C390" s="213"/>
      <c r="D390" s="212" t="s">
        <v>1257</v>
      </c>
      <c r="E390" s="212" t="s">
        <v>1258</v>
      </c>
      <c r="F390" s="212" t="s">
        <v>1259</v>
      </c>
    </row>
    <row r="391" ht="15.75" customHeight="1">
      <c r="A391" s="207" t="s">
        <v>95</v>
      </c>
      <c r="B391" s="207" t="s">
        <v>151</v>
      </c>
      <c r="C391" s="208"/>
      <c r="D391" s="209" t="s">
        <v>1260</v>
      </c>
      <c r="E391" s="209" t="s">
        <v>1261</v>
      </c>
      <c r="F391" s="209" t="s">
        <v>1262</v>
      </c>
    </row>
    <row r="392" ht="15.75" customHeight="1">
      <c r="A392" s="210" t="s">
        <v>143</v>
      </c>
      <c r="B392" s="210" t="s">
        <v>66</v>
      </c>
      <c r="C392" s="213"/>
      <c r="D392" s="212" t="s">
        <v>1263</v>
      </c>
      <c r="E392" s="213"/>
      <c r="F392" s="212" t="s">
        <v>1264</v>
      </c>
    </row>
    <row r="393" ht="15.75" customHeight="1">
      <c r="A393" s="210" t="s">
        <v>143</v>
      </c>
      <c r="B393" s="222" t="s">
        <v>79</v>
      </c>
      <c r="C393" s="213"/>
      <c r="D393" s="226" t="s">
        <v>1265</v>
      </c>
      <c r="E393" s="214" t="s">
        <v>1266</v>
      </c>
      <c r="F393" s="226" t="s">
        <v>1267</v>
      </c>
    </row>
    <row r="394" ht="15.75" customHeight="1">
      <c r="A394" s="207" t="s">
        <v>143</v>
      </c>
      <c r="B394" s="207" t="s">
        <v>73</v>
      </c>
      <c r="C394" s="208"/>
      <c r="D394" s="209" t="s">
        <v>1268</v>
      </c>
      <c r="E394" s="209" t="s">
        <v>1269</v>
      </c>
      <c r="F394" s="209" t="s">
        <v>1270</v>
      </c>
    </row>
    <row r="395" ht="15.75" customHeight="1">
      <c r="A395" s="210" t="s">
        <v>143</v>
      </c>
      <c r="B395" s="210" t="s">
        <v>291</v>
      </c>
      <c r="C395" s="213"/>
      <c r="D395" s="212" t="s">
        <v>1271</v>
      </c>
      <c r="E395" s="212" t="s">
        <v>1272</v>
      </c>
      <c r="F395" s="212" t="s">
        <v>1273</v>
      </c>
    </row>
    <row r="396" ht="15.75" customHeight="1">
      <c r="A396" s="207" t="s">
        <v>143</v>
      </c>
      <c r="B396" s="207" t="s">
        <v>125</v>
      </c>
      <c r="C396" s="216"/>
      <c r="D396" s="209" t="s">
        <v>1274</v>
      </c>
      <c r="E396" s="209" t="s">
        <v>1275</v>
      </c>
      <c r="F396" s="209" t="s">
        <v>1276</v>
      </c>
    </row>
    <row r="397" ht="15.75" customHeight="1">
      <c r="A397" s="210" t="s">
        <v>143</v>
      </c>
      <c r="B397" s="210" t="s">
        <v>292</v>
      </c>
      <c r="C397" s="213"/>
      <c r="D397" s="212" t="s">
        <v>1274</v>
      </c>
      <c r="E397" s="212" t="s">
        <v>1275</v>
      </c>
      <c r="F397" s="212" t="s">
        <v>1276</v>
      </c>
    </row>
    <row r="398" ht="15.75" customHeight="1">
      <c r="A398" s="207" t="s">
        <v>293</v>
      </c>
      <c r="B398" s="207" t="s">
        <v>79</v>
      </c>
      <c r="C398" s="208"/>
      <c r="D398" s="209" t="s">
        <v>1277</v>
      </c>
      <c r="E398" s="208"/>
      <c r="F398" s="209" t="s">
        <v>1278</v>
      </c>
    </row>
    <row r="399" ht="15.75" customHeight="1">
      <c r="A399" s="210" t="s">
        <v>293</v>
      </c>
      <c r="B399" s="210" t="s">
        <v>127</v>
      </c>
      <c r="C399" s="213"/>
      <c r="D399" s="212" t="s">
        <v>1279</v>
      </c>
      <c r="E399" s="213"/>
      <c r="F399" s="212" t="s">
        <v>1278</v>
      </c>
    </row>
    <row r="400" ht="15.75" customHeight="1">
      <c r="A400" s="207" t="s">
        <v>293</v>
      </c>
      <c r="B400" s="207" t="s">
        <v>230</v>
      </c>
      <c r="C400" s="208"/>
      <c r="D400" s="209" t="s">
        <v>1277</v>
      </c>
      <c r="E400" s="209" t="s">
        <v>1280</v>
      </c>
      <c r="F400" s="209" t="s">
        <v>1281</v>
      </c>
    </row>
    <row r="401" ht="15.75" customHeight="1">
      <c r="A401" s="210" t="s">
        <v>294</v>
      </c>
      <c r="B401" s="210" t="s">
        <v>295</v>
      </c>
      <c r="C401" s="213"/>
      <c r="D401" s="212" t="s">
        <v>1282</v>
      </c>
      <c r="E401" s="212" t="s">
        <v>1283</v>
      </c>
      <c r="F401" s="212" t="s">
        <v>1284</v>
      </c>
    </row>
    <row r="402" ht="15.75" customHeight="1">
      <c r="A402" s="207" t="s">
        <v>1285</v>
      </c>
      <c r="B402" s="207" t="s">
        <v>1286</v>
      </c>
      <c r="C402" s="208"/>
      <c r="D402" s="209" t="s">
        <v>1287</v>
      </c>
      <c r="E402" s="209" t="s">
        <v>1288</v>
      </c>
      <c r="F402" s="209" t="s">
        <v>1289</v>
      </c>
    </row>
    <row r="403" ht="15.75" customHeight="1">
      <c r="A403" s="210" t="s">
        <v>1285</v>
      </c>
      <c r="B403" s="210" t="s">
        <v>1290</v>
      </c>
      <c r="C403" s="213"/>
      <c r="D403" s="213"/>
      <c r="E403" s="213"/>
      <c r="F403" s="213"/>
    </row>
    <row r="404" ht="15.75" customHeight="1">
      <c r="A404" s="207" t="s">
        <v>158</v>
      </c>
      <c r="B404" s="207" t="s">
        <v>86</v>
      </c>
      <c r="C404" s="208"/>
      <c r="D404" s="209" t="s">
        <v>1291</v>
      </c>
      <c r="E404" s="209" t="s">
        <v>1292</v>
      </c>
      <c r="F404" s="209" t="s">
        <v>1293</v>
      </c>
    </row>
    <row r="405" ht="15.75" customHeight="1">
      <c r="A405" s="210" t="s">
        <v>158</v>
      </c>
      <c r="B405" s="210" t="s">
        <v>299</v>
      </c>
      <c r="C405" s="213"/>
      <c r="D405" s="212" t="s">
        <v>1294</v>
      </c>
      <c r="E405" s="212" t="s">
        <v>1295</v>
      </c>
      <c r="F405" s="212" t="s">
        <v>1296</v>
      </c>
    </row>
    <row r="406" ht="15.75" customHeight="1">
      <c r="A406" s="207" t="s">
        <v>158</v>
      </c>
      <c r="B406" s="207" t="s">
        <v>1297</v>
      </c>
      <c r="C406" s="208"/>
      <c r="D406" s="209" t="s">
        <v>1298</v>
      </c>
      <c r="E406" s="209" t="s">
        <v>1299</v>
      </c>
      <c r="F406" s="209" t="s">
        <v>1300</v>
      </c>
    </row>
    <row r="407" ht="15.75" customHeight="1">
      <c r="A407" s="210" t="s">
        <v>158</v>
      </c>
      <c r="B407" s="210" t="s">
        <v>1301</v>
      </c>
      <c r="C407" s="213"/>
      <c r="D407" s="212" t="s">
        <v>1294</v>
      </c>
      <c r="E407" s="212" t="s">
        <v>1295</v>
      </c>
      <c r="F407" s="212" t="s">
        <v>1302</v>
      </c>
    </row>
    <row r="408" ht="15.75" customHeight="1">
      <c r="A408" s="207" t="s">
        <v>158</v>
      </c>
      <c r="B408" s="207" t="s">
        <v>79</v>
      </c>
      <c r="C408" s="208"/>
      <c r="D408" s="209" t="s">
        <v>1303</v>
      </c>
      <c r="E408" s="209" t="s">
        <v>1304</v>
      </c>
      <c r="F408" s="209" t="s">
        <v>1296</v>
      </c>
    </row>
    <row r="409" ht="15.75" customHeight="1">
      <c r="A409" s="210" t="s">
        <v>158</v>
      </c>
      <c r="B409" s="210" t="s">
        <v>335</v>
      </c>
      <c r="C409" s="211"/>
      <c r="D409" s="212" t="s">
        <v>1305</v>
      </c>
      <c r="E409" s="212" t="s">
        <v>1306</v>
      </c>
      <c r="F409" s="212" t="s">
        <v>1307</v>
      </c>
    </row>
    <row r="410" ht="15.75" customHeight="1">
      <c r="A410" s="207" t="s">
        <v>158</v>
      </c>
      <c r="B410" s="207" t="s">
        <v>298</v>
      </c>
      <c r="C410" s="208"/>
      <c r="D410" s="209" t="s">
        <v>1308</v>
      </c>
      <c r="E410" s="209" t="s">
        <v>1309</v>
      </c>
      <c r="F410" s="209" t="s">
        <v>1310</v>
      </c>
    </row>
    <row r="411" ht="15.75" customHeight="1">
      <c r="A411" s="210" t="s">
        <v>158</v>
      </c>
      <c r="B411" s="210" t="s">
        <v>297</v>
      </c>
      <c r="C411" s="213"/>
      <c r="D411" s="212" t="s">
        <v>1311</v>
      </c>
      <c r="E411" s="212" t="s">
        <v>1312</v>
      </c>
      <c r="F411" s="212" t="s">
        <v>1310</v>
      </c>
    </row>
    <row r="412" ht="15.75" customHeight="1">
      <c r="A412" s="207" t="s">
        <v>158</v>
      </c>
      <c r="B412" s="207" t="s">
        <v>115</v>
      </c>
      <c r="C412" s="216"/>
      <c r="D412" s="209" t="s">
        <v>1308</v>
      </c>
      <c r="E412" s="209" t="s">
        <v>1313</v>
      </c>
      <c r="F412" s="209" t="s">
        <v>1314</v>
      </c>
    </row>
    <row r="413" ht="15.75" customHeight="1">
      <c r="A413" s="210" t="s">
        <v>158</v>
      </c>
      <c r="B413" s="210" t="s">
        <v>1315</v>
      </c>
      <c r="C413" s="211"/>
      <c r="D413" s="212" t="s">
        <v>1316</v>
      </c>
      <c r="E413" s="212" t="s">
        <v>1317</v>
      </c>
      <c r="F413" s="212" t="s">
        <v>1318</v>
      </c>
    </row>
    <row r="414" ht="15.75" customHeight="1">
      <c r="A414" s="207" t="s">
        <v>158</v>
      </c>
      <c r="B414" s="207" t="s">
        <v>1319</v>
      </c>
      <c r="C414" s="216"/>
      <c r="D414" s="209" t="s">
        <v>1316</v>
      </c>
      <c r="E414" s="209" t="s">
        <v>1317</v>
      </c>
      <c r="F414" s="209" t="s">
        <v>1320</v>
      </c>
    </row>
    <row r="415" ht="15.75" customHeight="1">
      <c r="A415" s="210" t="s">
        <v>158</v>
      </c>
      <c r="B415" s="210" t="s">
        <v>73</v>
      </c>
      <c r="C415" s="213"/>
      <c r="D415" s="212" t="s">
        <v>1321</v>
      </c>
      <c r="E415" s="212" t="s">
        <v>1322</v>
      </c>
      <c r="F415" s="212" t="s">
        <v>1323</v>
      </c>
    </row>
    <row r="416" ht="15.75" customHeight="1">
      <c r="A416" s="207" t="s">
        <v>158</v>
      </c>
      <c r="B416" s="207" t="s">
        <v>127</v>
      </c>
      <c r="C416" s="216"/>
      <c r="D416" s="209" t="s">
        <v>1317</v>
      </c>
      <c r="E416" s="209" t="s">
        <v>1324</v>
      </c>
      <c r="F416" s="209" t="s">
        <v>1325</v>
      </c>
    </row>
    <row r="417" ht="15.75" customHeight="1">
      <c r="A417" s="210" t="s">
        <v>158</v>
      </c>
      <c r="B417" s="210" t="s">
        <v>1326</v>
      </c>
      <c r="C417" s="211"/>
      <c r="D417" s="212" t="s">
        <v>1316</v>
      </c>
      <c r="E417" s="212" t="s">
        <v>1317</v>
      </c>
      <c r="F417" s="212" t="s">
        <v>1325</v>
      </c>
    </row>
    <row r="418" ht="15.75" customHeight="1">
      <c r="A418" s="207" t="s">
        <v>301</v>
      </c>
      <c r="B418" s="207" t="s">
        <v>86</v>
      </c>
      <c r="C418" s="208"/>
      <c r="D418" s="209" t="s">
        <v>1327</v>
      </c>
      <c r="E418" s="209" t="s">
        <v>1328</v>
      </c>
      <c r="F418" s="209" t="s">
        <v>1329</v>
      </c>
    </row>
    <row r="419" ht="15.75" customHeight="1">
      <c r="A419" s="210" t="s">
        <v>302</v>
      </c>
      <c r="B419" s="210" t="s">
        <v>303</v>
      </c>
      <c r="C419" s="213"/>
      <c r="D419" s="213"/>
      <c r="E419" s="213"/>
      <c r="F419" s="213"/>
    </row>
    <row r="420" ht="15.75" customHeight="1">
      <c r="A420" s="207" t="s">
        <v>302</v>
      </c>
      <c r="B420" s="207" t="s">
        <v>125</v>
      </c>
      <c r="C420" s="216"/>
      <c r="D420" s="209" t="s">
        <v>1330</v>
      </c>
      <c r="E420" s="209" t="s">
        <v>1331</v>
      </c>
      <c r="F420" s="209" t="s">
        <v>1332</v>
      </c>
    </row>
    <row r="421" ht="15.75" customHeight="1">
      <c r="A421" s="210" t="s">
        <v>302</v>
      </c>
      <c r="B421" s="210" t="s">
        <v>1333</v>
      </c>
      <c r="C421" s="213"/>
      <c r="D421" s="212" t="s">
        <v>1334</v>
      </c>
      <c r="E421" s="212" t="s">
        <v>1331</v>
      </c>
      <c r="F421" s="212" t="s">
        <v>1335</v>
      </c>
    </row>
    <row r="422" ht="15.75" customHeight="1">
      <c r="A422" s="207" t="s">
        <v>1336</v>
      </c>
      <c r="B422" s="207" t="s">
        <v>1337</v>
      </c>
      <c r="C422" s="208"/>
      <c r="D422" s="209" t="s">
        <v>1338</v>
      </c>
      <c r="E422" s="209" t="s">
        <v>1339</v>
      </c>
      <c r="F422" s="209" t="s">
        <v>1340</v>
      </c>
    </row>
    <row r="423" ht="15.75" customHeight="1">
      <c r="A423" s="210" t="s">
        <v>135</v>
      </c>
      <c r="B423" s="210" t="s">
        <v>66</v>
      </c>
      <c r="C423" s="213"/>
      <c r="D423" s="212" t="s">
        <v>1341</v>
      </c>
      <c r="E423" s="212" t="s">
        <v>1342</v>
      </c>
      <c r="F423" s="212" t="s">
        <v>1343</v>
      </c>
    </row>
    <row r="424" ht="15.75" customHeight="1">
      <c r="A424" s="207" t="s">
        <v>135</v>
      </c>
      <c r="B424" s="219" t="s">
        <v>1344</v>
      </c>
      <c r="C424" s="208"/>
      <c r="D424" s="208"/>
      <c r="E424" s="208"/>
      <c r="F424" s="209" t="s">
        <v>1345</v>
      </c>
    </row>
    <row r="425" ht="15.75" customHeight="1">
      <c r="A425" s="210" t="s">
        <v>135</v>
      </c>
      <c r="B425" s="222" t="s">
        <v>136</v>
      </c>
      <c r="C425" s="213"/>
      <c r="D425" s="212" t="s">
        <v>1346</v>
      </c>
      <c r="E425" s="212" t="s">
        <v>1347</v>
      </c>
      <c r="F425" s="212" t="s">
        <v>1345</v>
      </c>
    </row>
    <row r="426" ht="15.75" customHeight="1">
      <c r="A426" s="207" t="s">
        <v>135</v>
      </c>
      <c r="B426" s="207" t="s">
        <v>96</v>
      </c>
      <c r="C426" s="208"/>
      <c r="D426" s="209" t="s">
        <v>1348</v>
      </c>
      <c r="E426" s="209" t="s">
        <v>1349</v>
      </c>
      <c r="F426" s="209" t="s">
        <v>1343</v>
      </c>
    </row>
    <row r="427" ht="15.75" customHeight="1">
      <c r="A427" s="210" t="s">
        <v>135</v>
      </c>
      <c r="B427" s="210" t="s">
        <v>79</v>
      </c>
      <c r="C427" s="213"/>
      <c r="D427" s="212" t="s">
        <v>1348</v>
      </c>
      <c r="E427" s="212" t="s">
        <v>1349</v>
      </c>
      <c r="F427" s="212" t="s">
        <v>1350</v>
      </c>
    </row>
    <row r="428" ht="15.75" customHeight="1">
      <c r="A428" s="207" t="s">
        <v>1351</v>
      </c>
      <c r="B428" s="207" t="s">
        <v>1352</v>
      </c>
      <c r="C428" s="208"/>
      <c r="D428" s="208"/>
      <c r="E428" s="208"/>
      <c r="F428" s="208"/>
    </row>
    <row r="429" ht="15.75" customHeight="1">
      <c r="A429" s="210" t="s">
        <v>1351</v>
      </c>
      <c r="B429" s="210" t="s">
        <v>225</v>
      </c>
      <c r="C429" s="213"/>
      <c r="D429" s="213"/>
      <c r="E429" s="213"/>
      <c r="F429" s="213"/>
    </row>
    <row r="430" ht="15.75" customHeight="1">
      <c r="A430" s="207" t="s">
        <v>1351</v>
      </c>
      <c r="B430" s="207" t="s">
        <v>1353</v>
      </c>
      <c r="C430" s="208"/>
      <c r="D430" s="208"/>
      <c r="E430" s="208"/>
      <c r="F430" s="208"/>
    </row>
    <row r="431" ht="15.75" customHeight="1">
      <c r="A431" s="210" t="s">
        <v>1351</v>
      </c>
      <c r="B431" s="210" t="s">
        <v>101</v>
      </c>
      <c r="C431" s="213"/>
      <c r="D431" s="212" t="s">
        <v>1354</v>
      </c>
      <c r="E431" s="212" t="s">
        <v>1355</v>
      </c>
      <c r="F431" s="212" t="s">
        <v>1356</v>
      </c>
    </row>
    <row r="432" ht="15.75" customHeight="1">
      <c r="A432" s="207" t="s">
        <v>1351</v>
      </c>
      <c r="B432" s="207" t="s">
        <v>66</v>
      </c>
      <c r="C432" s="208"/>
      <c r="D432" s="208"/>
      <c r="E432" s="208"/>
      <c r="F432" s="208"/>
    </row>
    <row r="433" ht="15.75" customHeight="1">
      <c r="A433" s="210" t="s">
        <v>1351</v>
      </c>
      <c r="B433" s="210" t="s">
        <v>73</v>
      </c>
      <c r="C433" s="213"/>
      <c r="D433" s="212" t="s">
        <v>1357</v>
      </c>
      <c r="E433" s="212" t="s">
        <v>1358</v>
      </c>
      <c r="F433" s="212" t="s">
        <v>1359</v>
      </c>
    </row>
    <row r="434" ht="15.75" customHeight="1">
      <c r="A434" s="207" t="s">
        <v>1351</v>
      </c>
      <c r="B434" s="207" t="s">
        <v>265</v>
      </c>
      <c r="C434" s="208"/>
      <c r="D434" s="209" t="s">
        <v>1354</v>
      </c>
      <c r="E434" s="209" t="s">
        <v>1360</v>
      </c>
      <c r="F434" s="209" t="s">
        <v>1361</v>
      </c>
    </row>
    <row r="435" ht="15.75" customHeight="1">
      <c r="A435" s="210" t="s">
        <v>1351</v>
      </c>
      <c r="B435" s="210" t="s">
        <v>127</v>
      </c>
      <c r="C435" s="213"/>
      <c r="D435" s="212" t="s">
        <v>1354</v>
      </c>
      <c r="E435" s="212" t="s">
        <v>1362</v>
      </c>
      <c r="F435" s="212" t="s">
        <v>1363</v>
      </c>
    </row>
    <row r="436" ht="15.75" customHeight="1">
      <c r="A436" s="207" t="s">
        <v>1351</v>
      </c>
      <c r="B436" s="207" t="s">
        <v>1364</v>
      </c>
      <c r="C436" s="208"/>
      <c r="D436" s="209" t="s">
        <v>1365</v>
      </c>
      <c r="E436" s="209" t="s">
        <v>1354</v>
      </c>
      <c r="F436" s="209" t="s">
        <v>1366</v>
      </c>
    </row>
    <row r="437" ht="15.75" customHeight="1">
      <c r="A437" s="210" t="s">
        <v>1351</v>
      </c>
      <c r="B437" s="210" t="s">
        <v>1367</v>
      </c>
      <c r="C437" s="213"/>
      <c r="D437" s="212" t="s">
        <v>1368</v>
      </c>
      <c r="E437" s="212" t="s">
        <v>1369</v>
      </c>
      <c r="F437" s="212" t="s">
        <v>1359</v>
      </c>
    </row>
    <row r="438" ht="15.75" customHeight="1">
      <c r="A438" s="207" t="s">
        <v>1351</v>
      </c>
      <c r="B438" s="207" t="s">
        <v>1370</v>
      </c>
      <c r="C438" s="208"/>
      <c r="D438" s="208"/>
      <c r="E438" s="208"/>
      <c r="F438" s="208"/>
    </row>
    <row r="439" ht="15.75" customHeight="1">
      <c r="A439" s="210" t="s">
        <v>1351</v>
      </c>
      <c r="B439" s="210" t="s">
        <v>1371</v>
      </c>
      <c r="C439" s="213"/>
      <c r="D439" s="212" t="s">
        <v>1357</v>
      </c>
      <c r="E439" s="212" t="s">
        <v>1359</v>
      </c>
      <c r="F439" s="212" t="s">
        <v>1372</v>
      </c>
    </row>
    <row r="440" ht="15.75" customHeight="1">
      <c r="A440" s="207" t="s">
        <v>1351</v>
      </c>
      <c r="B440" s="207" t="s">
        <v>141</v>
      </c>
      <c r="C440" s="208"/>
      <c r="D440" s="209" t="s">
        <v>1373</v>
      </c>
      <c r="E440" s="209" t="s">
        <v>1355</v>
      </c>
      <c r="F440" s="209" t="s">
        <v>1356</v>
      </c>
    </row>
    <row r="441" ht="15.75" customHeight="1">
      <c r="A441" s="210" t="s">
        <v>1351</v>
      </c>
      <c r="B441" s="210" t="s">
        <v>151</v>
      </c>
      <c r="C441" s="213"/>
      <c r="D441" s="212" t="s">
        <v>1373</v>
      </c>
      <c r="E441" s="212" t="s">
        <v>1362</v>
      </c>
      <c r="F441" s="212" t="s">
        <v>1363</v>
      </c>
    </row>
    <row r="442" ht="15.75" customHeight="1">
      <c r="A442" s="207" t="s">
        <v>1351</v>
      </c>
      <c r="B442" s="207" t="s">
        <v>1374</v>
      </c>
      <c r="C442" s="208"/>
      <c r="D442" s="209" t="s">
        <v>1373</v>
      </c>
      <c r="E442" s="209" t="s">
        <v>1375</v>
      </c>
      <c r="F442" s="209" t="s">
        <v>1363</v>
      </c>
    </row>
    <row r="443" ht="15.75" customHeight="1">
      <c r="A443" s="210" t="s">
        <v>1351</v>
      </c>
      <c r="B443" s="210" t="s">
        <v>198</v>
      </c>
      <c r="C443" s="213"/>
      <c r="D443" s="212" t="s">
        <v>1357</v>
      </c>
      <c r="E443" s="212" t="s">
        <v>1362</v>
      </c>
      <c r="F443" s="212" t="s">
        <v>1376</v>
      </c>
    </row>
    <row r="444" ht="15.75" customHeight="1">
      <c r="A444" s="207" t="s">
        <v>1351</v>
      </c>
      <c r="B444" s="207" t="s">
        <v>519</v>
      </c>
      <c r="C444" s="208"/>
      <c r="D444" s="209" t="s">
        <v>1357</v>
      </c>
      <c r="E444" s="209" t="s">
        <v>1375</v>
      </c>
      <c r="F444" s="209" t="s">
        <v>1363</v>
      </c>
    </row>
    <row r="445" ht="15.75" customHeight="1">
      <c r="A445" s="210" t="s">
        <v>1351</v>
      </c>
      <c r="B445" s="210" t="s">
        <v>1377</v>
      </c>
      <c r="C445" s="213"/>
      <c r="D445" s="212" t="s">
        <v>1378</v>
      </c>
      <c r="E445" s="212" t="s">
        <v>1379</v>
      </c>
      <c r="F445" s="212" t="s">
        <v>1380</v>
      </c>
    </row>
    <row r="446" ht="15.75" customHeight="1">
      <c r="A446" s="207" t="s">
        <v>307</v>
      </c>
      <c r="B446" s="207" t="s">
        <v>79</v>
      </c>
      <c r="C446" s="208"/>
      <c r="D446" s="209" t="s">
        <v>1381</v>
      </c>
      <c r="E446" s="209" t="s">
        <v>1382</v>
      </c>
      <c r="F446" s="209" t="s">
        <v>1383</v>
      </c>
    </row>
    <row r="447" ht="15.75" customHeight="1">
      <c r="A447" s="210" t="s">
        <v>307</v>
      </c>
      <c r="B447" s="210" t="s">
        <v>73</v>
      </c>
      <c r="C447" s="213"/>
      <c r="D447" s="212" t="s">
        <v>1384</v>
      </c>
      <c r="E447" s="212" t="s">
        <v>1385</v>
      </c>
      <c r="F447" s="212" t="s">
        <v>1386</v>
      </c>
    </row>
    <row r="448" ht="15.75" customHeight="1">
      <c r="A448" s="207" t="s">
        <v>307</v>
      </c>
      <c r="B448" s="207" t="s">
        <v>218</v>
      </c>
      <c r="C448" s="208"/>
      <c r="D448" s="209" t="s">
        <v>1387</v>
      </c>
      <c r="E448" s="209" t="s">
        <v>1388</v>
      </c>
      <c r="F448" s="209" t="s">
        <v>1389</v>
      </c>
    </row>
    <row r="449" ht="15.75" customHeight="1">
      <c r="A449" s="210" t="s">
        <v>307</v>
      </c>
      <c r="B449" s="210" t="s">
        <v>308</v>
      </c>
      <c r="C449" s="213"/>
      <c r="D449" s="212" t="s">
        <v>1390</v>
      </c>
      <c r="E449" s="212" t="s">
        <v>1391</v>
      </c>
      <c r="F449" s="212" t="s">
        <v>1386</v>
      </c>
    </row>
    <row r="450" ht="15.75" customHeight="1">
      <c r="A450" s="207" t="s">
        <v>307</v>
      </c>
      <c r="B450" s="207" t="s">
        <v>1392</v>
      </c>
      <c r="C450" s="208"/>
      <c r="D450" s="209" t="s">
        <v>1393</v>
      </c>
      <c r="E450" s="209" t="s">
        <v>1394</v>
      </c>
      <c r="F450" s="209" t="s">
        <v>1386</v>
      </c>
    </row>
    <row r="451" ht="15.75" customHeight="1">
      <c r="A451" s="210" t="s">
        <v>307</v>
      </c>
      <c r="B451" s="210" t="s">
        <v>309</v>
      </c>
      <c r="C451" s="213"/>
      <c r="D451" s="212" t="s">
        <v>1395</v>
      </c>
      <c r="E451" s="212" t="s">
        <v>1396</v>
      </c>
      <c r="F451" s="212" t="s">
        <v>1397</v>
      </c>
    </row>
    <row r="452" ht="15.75" customHeight="1">
      <c r="A452" s="207" t="s">
        <v>307</v>
      </c>
      <c r="B452" s="207" t="s">
        <v>1398</v>
      </c>
      <c r="C452" s="208"/>
      <c r="D452" s="209" t="s">
        <v>1399</v>
      </c>
      <c r="E452" s="209" t="s">
        <v>1394</v>
      </c>
      <c r="F452" s="209" t="s">
        <v>1397</v>
      </c>
    </row>
    <row r="453" ht="15.75" customHeight="1">
      <c r="A453" s="210" t="s">
        <v>307</v>
      </c>
      <c r="B453" s="210" t="s">
        <v>93</v>
      </c>
      <c r="C453" s="213"/>
      <c r="D453" s="212" t="s">
        <v>1400</v>
      </c>
      <c r="E453" s="212" t="s">
        <v>1401</v>
      </c>
      <c r="F453" s="212" t="s">
        <v>1402</v>
      </c>
    </row>
    <row r="454" ht="15.75" customHeight="1">
      <c r="A454" s="238" t="s">
        <v>307</v>
      </c>
      <c r="B454" s="230" t="s">
        <v>1403</v>
      </c>
      <c r="C454" s="239"/>
      <c r="D454" s="239"/>
      <c r="E454" s="239"/>
      <c r="F454" s="240"/>
    </row>
    <row r="455" ht="15.75" customHeight="1">
      <c r="A455" s="234" t="s">
        <v>307</v>
      </c>
      <c r="B455" s="229" t="s">
        <v>1404</v>
      </c>
      <c r="C455" s="241"/>
      <c r="D455" s="241"/>
      <c r="E455" s="241"/>
      <c r="F455" s="242"/>
    </row>
    <row r="456" ht="15.75" customHeight="1">
      <c r="A456" s="238" t="s">
        <v>310</v>
      </c>
      <c r="B456" s="230" t="s">
        <v>1405</v>
      </c>
      <c r="C456" s="239"/>
      <c r="D456" s="243" t="s">
        <v>1406</v>
      </c>
      <c r="E456" s="243" t="s">
        <v>1407</v>
      </c>
      <c r="F456" s="244" t="s">
        <v>1408</v>
      </c>
    </row>
    <row r="457" ht="15.75" customHeight="1">
      <c r="A457" s="234" t="s">
        <v>310</v>
      </c>
      <c r="B457" s="229" t="s">
        <v>1409</v>
      </c>
      <c r="C457" s="241"/>
      <c r="D457" s="245" t="s">
        <v>1410</v>
      </c>
      <c r="E457" s="245" t="s">
        <v>1411</v>
      </c>
      <c r="F457" s="246" t="s">
        <v>1412</v>
      </c>
    </row>
    <row r="458" ht="15.75" customHeight="1">
      <c r="A458" s="238" t="s">
        <v>310</v>
      </c>
      <c r="B458" s="230" t="s">
        <v>151</v>
      </c>
      <c r="C458" s="239"/>
      <c r="D458" s="243" t="s">
        <v>1413</v>
      </c>
      <c r="E458" s="243" t="s">
        <v>1414</v>
      </c>
      <c r="F458" s="244" t="s">
        <v>1415</v>
      </c>
    </row>
    <row r="459" ht="15.75" customHeight="1">
      <c r="A459" s="234" t="s">
        <v>310</v>
      </c>
      <c r="B459" s="247" t="s">
        <v>1416</v>
      </c>
      <c r="C459" s="241"/>
      <c r="D459" s="241"/>
      <c r="E459" s="241"/>
      <c r="F459" s="242"/>
    </row>
    <row r="460" ht="15.75" customHeight="1">
      <c r="A460" s="238" t="s">
        <v>111</v>
      </c>
      <c r="B460" s="230" t="s">
        <v>1417</v>
      </c>
      <c r="C460" s="239"/>
      <c r="D460" s="243" t="s">
        <v>1418</v>
      </c>
      <c r="E460" s="243" t="s">
        <v>1419</v>
      </c>
      <c r="F460" s="244" t="s">
        <v>1420</v>
      </c>
    </row>
    <row r="461" ht="15.75" customHeight="1">
      <c r="A461" s="234" t="s">
        <v>111</v>
      </c>
      <c r="B461" s="229" t="s">
        <v>1421</v>
      </c>
      <c r="C461" s="241"/>
      <c r="D461" s="241"/>
      <c r="E461" s="241"/>
      <c r="F461" s="242"/>
    </row>
    <row r="462" ht="15.75" customHeight="1">
      <c r="A462" s="238" t="s">
        <v>111</v>
      </c>
      <c r="B462" s="248" t="s">
        <v>1422</v>
      </c>
      <c r="C462" s="239"/>
      <c r="D462" s="239"/>
      <c r="E462" s="239"/>
      <c r="F462" s="240"/>
    </row>
    <row r="463" ht="15.75" customHeight="1">
      <c r="A463" s="234" t="s">
        <v>111</v>
      </c>
      <c r="B463" s="229" t="s">
        <v>79</v>
      </c>
      <c r="C463" s="241"/>
      <c r="D463" s="241"/>
      <c r="E463" s="241"/>
      <c r="F463" s="242"/>
    </row>
    <row r="464" ht="15.75" customHeight="1">
      <c r="A464" s="238" t="s">
        <v>111</v>
      </c>
      <c r="B464" s="230" t="s">
        <v>1423</v>
      </c>
      <c r="C464" s="239"/>
      <c r="D464" s="239"/>
      <c r="E464" s="239"/>
      <c r="F464" s="240"/>
    </row>
    <row r="465" ht="15.75" customHeight="1">
      <c r="A465" s="234" t="s">
        <v>111</v>
      </c>
      <c r="B465" s="229" t="s">
        <v>1424</v>
      </c>
      <c r="C465" s="249"/>
      <c r="D465" s="245" t="s">
        <v>1425</v>
      </c>
      <c r="E465" s="245" t="s">
        <v>1426</v>
      </c>
      <c r="F465" s="246" t="s">
        <v>1427</v>
      </c>
    </row>
    <row r="466" ht="15.75" customHeight="1">
      <c r="A466" s="238" t="s">
        <v>111</v>
      </c>
      <c r="B466" s="230" t="s">
        <v>1428</v>
      </c>
      <c r="C466" s="239"/>
      <c r="D466" s="243" t="s">
        <v>1429</v>
      </c>
      <c r="E466" s="243" t="s">
        <v>1430</v>
      </c>
      <c r="F466" s="244" t="s">
        <v>1431</v>
      </c>
    </row>
    <row r="467" ht="15.75" customHeight="1">
      <c r="A467" s="234" t="s">
        <v>111</v>
      </c>
      <c r="B467" s="229" t="s">
        <v>112</v>
      </c>
      <c r="C467" s="241"/>
      <c r="D467" s="245" t="s">
        <v>1432</v>
      </c>
      <c r="E467" s="245" t="s">
        <v>1433</v>
      </c>
      <c r="F467" s="246" t="s">
        <v>1434</v>
      </c>
    </row>
    <row r="468" ht="15.75" customHeight="1">
      <c r="A468" s="238" t="s">
        <v>111</v>
      </c>
      <c r="B468" s="230" t="s">
        <v>86</v>
      </c>
      <c r="C468" s="250"/>
      <c r="D468" s="243" t="s">
        <v>1435</v>
      </c>
      <c r="E468" s="243" t="s">
        <v>1436</v>
      </c>
      <c r="F468" s="244" t="s">
        <v>1437</v>
      </c>
    </row>
    <row r="469" ht="15.75" customHeight="1">
      <c r="A469" s="234" t="s">
        <v>111</v>
      </c>
      <c r="B469" s="229" t="s">
        <v>149</v>
      </c>
      <c r="C469" s="241"/>
      <c r="D469" s="241"/>
      <c r="E469" s="241"/>
      <c r="F469" s="242"/>
    </row>
    <row r="470" ht="15.75" customHeight="1">
      <c r="A470" s="238" t="s">
        <v>111</v>
      </c>
      <c r="B470" s="230" t="s">
        <v>235</v>
      </c>
      <c r="C470" s="239"/>
      <c r="D470" s="243" t="s">
        <v>1429</v>
      </c>
      <c r="E470" s="243" t="s">
        <v>1430</v>
      </c>
      <c r="F470" s="244" t="s">
        <v>1434</v>
      </c>
    </row>
    <row r="471" ht="15.75" customHeight="1">
      <c r="A471" s="234" t="s">
        <v>111</v>
      </c>
      <c r="B471" s="229" t="s">
        <v>197</v>
      </c>
      <c r="C471" s="241"/>
      <c r="D471" s="245" t="s">
        <v>1429</v>
      </c>
      <c r="E471" s="245" t="s">
        <v>1430</v>
      </c>
      <c r="F471" s="246" t="s">
        <v>1438</v>
      </c>
    </row>
    <row r="472" ht="15.75" customHeight="1">
      <c r="A472" s="238" t="s">
        <v>111</v>
      </c>
      <c r="B472" s="230" t="s">
        <v>198</v>
      </c>
      <c r="C472" s="239"/>
      <c r="D472" s="243" t="s">
        <v>1439</v>
      </c>
      <c r="E472" s="243" t="s">
        <v>1440</v>
      </c>
      <c r="F472" s="244" t="s">
        <v>1441</v>
      </c>
    </row>
    <row r="473" ht="15.75" customHeight="1">
      <c r="A473" s="234" t="s">
        <v>111</v>
      </c>
      <c r="B473" s="229" t="s">
        <v>144</v>
      </c>
      <c r="C473" s="241"/>
      <c r="D473" s="245" t="s">
        <v>1442</v>
      </c>
      <c r="E473" s="245" t="s">
        <v>1443</v>
      </c>
      <c r="F473" s="246" t="s">
        <v>1444</v>
      </c>
    </row>
    <row r="474" ht="15.75" customHeight="1">
      <c r="A474" s="238" t="s">
        <v>111</v>
      </c>
      <c r="B474" s="248" t="s">
        <v>1445</v>
      </c>
      <c r="C474" s="239"/>
      <c r="D474" s="243" t="s">
        <v>1446</v>
      </c>
      <c r="E474" s="243" t="s">
        <v>1433</v>
      </c>
      <c r="F474" s="244" t="s">
        <v>1434</v>
      </c>
    </row>
    <row r="475" ht="15.75" customHeight="1">
      <c r="A475" s="234" t="s">
        <v>111</v>
      </c>
      <c r="B475" s="247" t="s">
        <v>1447</v>
      </c>
      <c r="C475" s="241"/>
      <c r="D475" s="241"/>
      <c r="E475" s="241"/>
      <c r="F475" s="242"/>
    </row>
    <row r="476" ht="15.75" customHeight="1">
      <c r="A476" s="238" t="s">
        <v>111</v>
      </c>
      <c r="B476" s="248" t="s">
        <v>687</v>
      </c>
      <c r="C476" s="239"/>
      <c r="D476" s="243" t="s">
        <v>1448</v>
      </c>
      <c r="E476" s="243" t="s">
        <v>1449</v>
      </c>
      <c r="F476" s="244" t="s">
        <v>1450</v>
      </c>
    </row>
    <row r="477" ht="15.75" customHeight="1">
      <c r="A477" s="234" t="s">
        <v>111</v>
      </c>
      <c r="B477" s="247" t="s">
        <v>1451</v>
      </c>
      <c r="C477" s="241"/>
      <c r="D477" s="245" t="s">
        <v>1452</v>
      </c>
      <c r="E477" s="245" t="s">
        <v>1453</v>
      </c>
      <c r="F477" s="246" t="s">
        <v>1431</v>
      </c>
    </row>
    <row r="478" ht="15.75" customHeight="1">
      <c r="A478" s="238" t="s">
        <v>111</v>
      </c>
      <c r="B478" s="248" t="s">
        <v>1454</v>
      </c>
      <c r="C478" s="239"/>
      <c r="D478" s="243" t="s">
        <v>1452</v>
      </c>
      <c r="E478" s="239"/>
      <c r="F478" s="244" t="s">
        <v>1441</v>
      </c>
    </row>
    <row r="479" ht="15.75" customHeight="1">
      <c r="A479" s="234" t="s">
        <v>111</v>
      </c>
      <c r="B479" s="229" t="s">
        <v>1455</v>
      </c>
      <c r="C479" s="241"/>
      <c r="D479" s="245" t="s">
        <v>1429</v>
      </c>
      <c r="E479" s="245" t="s">
        <v>1456</v>
      </c>
      <c r="F479" s="246" t="s">
        <v>1438</v>
      </c>
    </row>
    <row r="480" ht="15.75" customHeight="1">
      <c r="A480" s="238" t="s">
        <v>111</v>
      </c>
      <c r="B480" s="230" t="s">
        <v>1457</v>
      </c>
      <c r="C480" s="250"/>
      <c r="D480" s="243" t="s">
        <v>1432</v>
      </c>
      <c r="E480" s="243" t="s">
        <v>1434</v>
      </c>
      <c r="F480" s="244" t="s">
        <v>1458</v>
      </c>
    </row>
    <row r="481" ht="15.75" customHeight="1">
      <c r="A481" s="234" t="s">
        <v>111</v>
      </c>
      <c r="B481" s="229" t="s">
        <v>1459</v>
      </c>
      <c r="C481" s="241"/>
      <c r="D481" s="245" t="s">
        <v>1432</v>
      </c>
      <c r="E481" s="241"/>
      <c r="F481" s="242"/>
    </row>
    <row r="482" ht="15.75" customHeight="1">
      <c r="A482" s="238" t="s">
        <v>111</v>
      </c>
      <c r="B482" s="230" t="s">
        <v>1460</v>
      </c>
      <c r="C482" s="239"/>
      <c r="D482" s="243" t="s">
        <v>1446</v>
      </c>
      <c r="E482" s="243" t="s">
        <v>1461</v>
      </c>
      <c r="F482" s="244" t="s">
        <v>1462</v>
      </c>
    </row>
    <row r="483" ht="15.75" customHeight="1">
      <c r="A483" s="234" t="s">
        <v>111</v>
      </c>
      <c r="B483" s="229" t="s">
        <v>1463</v>
      </c>
      <c r="C483" s="241"/>
      <c r="D483" s="245" t="s">
        <v>1446</v>
      </c>
      <c r="E483" s="245" t="s">
        <v>1433</v>
      </c>
      <c r="F483" s="246" t="s">
        <v>1434</v>
      </c>
    </row>
    <row r="484" ht="15.75" customHeight="1">
      <c r="A484" s="238" t="s">
        <v>111</v>
      </c>
      <c r="B484" s="230" t="s">
        <v>1464</v>
      </c>
      <c r="C484" s="239"/>
      <c r="D484" s="243" t="s">
        <v>1432</v>
      </c>
      <c r="E484" s="243" t="s">
        <v>1456</v>
      </c>
      <c r="F484" s="244" t="s">
        <v>1465</v>
      </c>
    </row>
    <row r="485" ht="15.75" customHeight="1">
      <c r="A485" s="234" t="s">
        <v>111</v>
      </c>
      <c r="B485" s="229" t="s">
        <v>1466</v>
      </c>
      <c r="C485" s="241"/>
      <c r="D485" s="245" t="s">
        <v>1435</v>
      </c>
      <c r="E485" s="245" t="s">
        <v>1436</v>
      </c>
      <c r="F485" s="246" t="s">
        <v>1467</v>
      </c>
    </row>
    <row r="486" ht="15.75" customHeight="1">
      <c r="A486" s="238" t="s">
        <v>111</v>
      </c>
      <c r="B486" s="230" t="s">
        <v>1468</v>
      </c>
      <c r="C486" s="239"/>
      <c r="D486" s="239"/>
      <c r="E486" s="239"/>
      <c r="F486" s="240"/>
    </row>
    <row r="487" ht="15.75" customHeight="1">
      <c r="A487" s="234" t="s">
        <v>313</v>
      </c>
      <c r="B487" s="229" t="s">
        <v>1469</v>
      </c>
      <c r="C487" s="241"/>
      <c r="D487" s="245" t="s">
        <v>1470</v>
      </c>
      <c r="E487" s="245" t="s">
        <v>1471</v>
      </c>
      <c r="F487" s="246" t="s">
        <v>1472</v>
      </c>
    </row>
    <row r="488" ht="15.75" customHeight="1">
      <c r="A488" s="238" t="s">
        <v>313</v>
      </c>
      <c r="B488" s="230" t="s">
        <v>1473</v>
      </c>
      <c r="C488" s="239"/>
      <c r="D488" s="243" t="s">
        <v>1470</v>
      </c>
      <c r="E488" s="243" t="s">
        <v>1474</v>
      </c>
      <c r="F488" s="244" t="s">
        <v>1475</v>
      </c>
    </row>
    <row r="489" ht="15.75" customHeight="1">
      <c r="A489" s="234" t="s">
        <v>313</v>
      </c>
      <c r="B489" s="229" t="s">
        <v>101</v>
      </c>
      <c r="C489" s="249"/>
      <c r="D489" s="245" t="s">
        <v>1476</v>
      </c>
      <c r="E489" s="245" t="s">
        <v>1477</v>
      </c>
      <c r="F489" s="246" t="s">
        <v>1478</v>
      </c>
    </row>
    <row r="490" ht="15.75" customHeight="1">
      <c r="A490" s="238" t="s">
        <v>313</v>
      </c>
      <c r="B490" s="230" t="s">
        <v>1479</v>
      </c>
      <c r="C490" s="239"/>
      <c r="D490" s="243" t="s">
        <v>1480</v>
      </c>
      <c r="E490" s="243" t="s">
        <v>1481</v>
      </c>
      <c r="F490" s="244" t="s">
        <v>1482</v>
      </c>
    </row>
    <row r="491" ht="15.75" customHeight="1">
      <c r="A491" s="234" t="s">
        <v>313</v>
      </c>
      <c r="B491" s="229" t="s">
        <v>79</v>
      </c>
      <c r="C491" s="241"/>
      <c r="D491" s="245" t="s">
        <v>1480</v>
      </c>
      <c r="E491" s="245" t="s">
        <v>1481</v>
      </c>
      <c r="F491" s="246" t="s">
        <v>1482</v>
      </c>
    </row>
    <row r="492" ht="15.75" customHeight="1">
      <c r="A492" s="238" t="s">
        <v>313</v>
      </c>
      <c r="B492" s="230" t="s">
        <v>1483</v>
      </c>
      <c r="C492" s="239"/>
      <c r="D492" s="239"/>
      <c r="E492" s="239"/>
      <c r="F492" s="240"/>
    </row>
    <row r="493" ht="15.75" customHeight="1">
      <c r="A493" s="234" t="s">
        <v>313</v>
      </c>
      <c r="B493" s="229" t="s">
        <v>230</v>
      </c>
      <c r="C493" s="241"/>
      <c r="D493" s="245" t="s">
        <v>1480</v>
      </c>
      <c r="E493" s="245" t="s">
        <v>1481</v>
      </c>
      <c r="F493" s="246" t="s">
        <v>1478</v>
      </c>
    </row>
    <row r="494" ht="15.75" customHeight="1">
      <c r="A494" s="238" t="s">
        <v>313</v>
      </c>
      <c r="B494" s="230" t="s">
        <v>235</v>
      </c>
      <c r="C494" s="239"/>
      <c r="D494" s="239"/>
      <c r="E494" s="239"/>
      <c r="F494" s="240"/>
    </row>
    <row r="495" ht="15.75" customHeight="1">
      <c r="A495" s="234" t="s">
        <v>313</v>
      </c>
      <c r="B495" s="229" t="s">
        <v>141</v>
      </c>
      <c r="C495" s="241"/>
      <c r="D495" s="241"/>
      <c r="E495" s="241"/>
      <c r="F495" s="242"/>
    </row>
    <row r="496" ht="15.75" customHeight="1">
      <c r="A496" s="238" t="s">
        <v>313</v>
      </c>
      <c r="B496" s="230" t="s">
        <v>213</v>
      </c>
      <c r="C496" s="239"/>
      <c r="D496" s="239"/>
      <c r="E496" s="239"/>
      <c r="F496" s="240"/>
    </row>
    <row r="497" ht="15.75" customHeight="1">
      <c r="A497" s="234" t="s">
        <v>316</v>
      </c>
      <c r="B497" s="229" t="s">
        <v>93</v>
      </c>
      <c r="C497" s="241"/>
      <c r="D497" s="245" t="s">
        <v>1484</v>
      </c>
      <c r="E497" s="245" t="s">
        <v>1485</v>
      </c>
      <c r="F497" s="246" t="s">
        <v>1486</v>
      </c>
    </row>
    <row r="498" ht="15.75" customHeight="1">
      <c r="A498" s="238" t="s">
        <v>316</v>
      </c>
      <c r="B498" s="248" t="s">
        <v>1487</v>
      </c>
      <c r="C498" s="251"/>
      <c r="D498" s="243" t="s">
        <v>1488</v>
      </c>
      <c r="E498" s="243" t="s">
        <v>1489</v>
      </c>
      <c r="F498" s="244" t="s">
        <v>1490</v>
      </c>
    </row>
    <row r="499" ht="15.75" customHeight="1">
      <c r="A499" s="234" t="s">
        <v>316</v>
      </c>
      <c r="B499" s="247" t="s">
        <v>687</v>
      </c>
      <c r="C499" s="252"/>
      <c r="D499" s="245" t="s">
        <v>1488</v>
      </c>
      <c r="E499" s="245" t="s">
        <v>1489</v>
      </c>
      <c r="F499" s="246" t="s">
        <v>1490</v>
      </c>
    </row>
    <row r="500" ht="15.75" customHeight="1">
      <c r="A500" s="238" t="s">
        <v>316</v>
      </c>
      <c r="B500" s="248" t="s">
        <v>317</v>
      </c>
      <c r="C500" s="239"/>
      <c r="D500" s="243" t="s">
        <v>1491</v>
      </c>
      <c r="E500" s="243" t="s">
        <v>1492</v>
      </c>
      <c r="F500" s="244" t="s">
        <v>1493</v>
      </c>
    </row>
    <row r="501" ht="15.75" customHeight="1">
      <c r="A501" s="234" t="s">
        <v>122</v>
      </c>
      <c r="B501" s="229" t="s">
        <v>1494</v>
      </c>
      <c r="C501" s="241"/>
      <c r="D501" s="241"/>
      <c r="E501" s="241"/>
      <c r="F501" s="242"/>
    </row>
    <row r="502" ht="15.75" customHeight="1">
      <c r="A502" s="238" t="s">
        <v>122</v>
      </c>
      <c r="B502" s="230" t="s">
        <v>1495</v>
      </c>
      <c r="C502" s="239"/>
      <c r="D502" s="239"/>
      <c r="E502" s="239"/>
      <c r="F502" s="240"/>
    </row>
    <row r="503" ht="15.75" customHeight="1">
      <c r="A503" s="234" t="s">
        <v>122</v>
      </c>
      <c r="B503" s="229" t="s">
        <v>608</v>
      </c>
      <c r="C503" s="241"/>
      <c r="D503" s="245" t="s">
        <v>1496</v>
      </c>
      <c r="E503" s="245" t="s">
        <v>1497</v>
      </c>
      <c r="F503" s="246" t="s">
        <v>1498</v>
      </c>
    </row>
    <row r="504" ht="15.75" customHeight="1">
      <c r="A504" s="238" t="s">
        <v>122</v>
      </c>
      <c r="B504" s="230" t="s">
        <v>115</v>
      </c>
      <c r="C504" s="239"/>
      <c r="D504" s="243" t="s">
        <v>1499</v>
      </c>
      <c r="E504" s="243" t="s">
        <v>1500</v>
      </c>
      <c r="F504" s="244" t="s">
        <v>1501</v>
      </c>
    </row>
    <row r="505" ht="15.75" customHeight="1">
      <c r="A505" s="234" t="s">
        <v>122</v>
      </c>
      <c r="B505" s="229" t="s">
        <v>318</v>
      </c>
      <c r="C505" s="249"/>
      <c r="D505" s="245" t="s">
        <v>1502</v>
      </c>
      <c r="E505" s="245" t="s">
        <v>1503</v>
      </c>
      <c r="F505" s="246" t="s">
        <v>1498</v>
      </c>
    </row>
    <row r="506" ht="15.75" customHeight="1">
      <c r="A506" s="238" t="s">
        <v>122</v>
      </c>
      <c r="B506" s="230" t="s">
        <v>101</v>
      </c>
      <c r="C506" s="239"/>
      <c r="D506" s="243" t="s">
        <v>1504</v>
      </c>
      <c r="E506" s="243" t="s">
        <v>1505</v>
      </c>
      <c r="F506" s="244" t="s">
        <v>1506</v>
      </c>
    </row>
    <row r="507" ht="15.75" customHeight="1">
      <c r="A507" s="234" t="s">
        <v>122</v>
      </c>
      <c r="B507" s="229" t="s">
        <v>1507</v>
      </c>
      <c r="C507" s="241"/>
      <c r="D507" s="245" t="s">
        <v>1504</v>
      </c>
      <c r="E507" s="245" t="s">
        <v>1508</v>
      </c>
      <c r="F507" s="246" t="s">
        <v>1506</v>
      </c>
    </row>
    <row r="508" ht="15.75" customHeight="1">
      <c r="A508" s="238" t="s">
        <v>122</v>
      </c>
      <c r="B508" s="230" t="s">
        <v>319</v>
      </c>
      <c r="C508" s="239"/>
      <c r="D508" s="243" t="s">
        <v>1509</v>
      </c>
      <c r="E508" s="243" t="s">
        <v>1510</v>
      </c>
      <c r="F508" s="244" t="s">
        <v>1511</v>
      </c>
    </row>
    <row r="509" ht="15.75" customHeight="1">
      <c r="A509" s="234" t="s">
        <v>122</v>
      </c>
      <c r="B509" s="229" t="s">
        <v>320</v>
      </c>
      <c r="C509" s="241"/>
      <c r="D509" s="245" t="s">
        <v>1509</v>
      </c>
      <c r="E509" s="245" t="s">
        <v>1510</v>
      </c>
      <c r="F509" s="246" t="s">
        <v>1512</v>
      </c>
    </row>
    <row r="510" ht="15.75" customHeight="1">
      <c r="A510" s="238" t="s">
        <v>122</v>
      </c>
      <c r="B510" s="230" t="s">
        <v>1513</v>
      </c>
      <c r="C510" s="239"/>
      <c r="D510" s="239"/>
      <c r="E510" s="239"/>
      <c r="F510" s="240"/>
    </row>
    <row r="511" ht="15.75" customHeight="1">
      <c r="A511" s="234" t="s">
        <v>122</v>
      </c>
      <c r="B511" s="229" t="s">
        <v>123</v>
      </c>
      <c r="C511" s="241"/>
      <c r="D511" s="245" t="s">
        <v>1514</v>
      </c>
      <c r="E511" s="245" t="s">
        <v>1504</v>
      </c>
      <c r="F511" s="246" t="s">
        <v>1512</v>
      </c>
    </row>
    <row r="512" ht="15.75" customHeight="1">
      <c r="A512" s="238" t="s">
        <v>122</v>
      </c>
      <c r="B512" s="230" t="s">
        <v>197</v>
      </c>
      <c r="C512" s="239"/>
      <c r="D512" s="243" t="s">
        <v>1509</v>
      </c>
      <c r="E512" s="243" t="s">
        <v>1510</v>
      </c>
      <c r="F512" s="244" t="s">
        <v>1498</v>
      </c>
    </row>
    <row r="513" ht="15.75" customHeight="1">
      <c r="A513" s="234" t="s">
        <v>122</v>
      </c>
      <c r="B513" s="229" t="s">
        <v>141</v>
      </c>
      <c r="C513" s="241"/>
      <c r="D513" s="245" t="s">
        <v>1509</v>
      </c>
      <c r="E513" s="245" t="s">
        <v>1510</v>
      </c>
      <c r="F513" s="246" t="s">
        <v>1506</v>
      </c>
    </row>
    <row r="514" ht="15.75" customHeight="1">
      <c r="A514" s="238" t="s">
        <v>321</v>
      </c>
      <c r="B514" s="230" t="s">
        <v>265</v>
      </c>
      <c r="C514" s="239"/>
      <c r="D514" s="243" t="s">
        <v>1515</v>
      </c>
      <c r="E514" s="243" t="s">
        <v>1516</v>
      </c>
      <c r="F514" s="244" t="s">
        <v>1517</v>
      </c>
    </row>
    <row r="515" ht="15.75" customHeight="1">
      <c r="A515" s="234" t="s">
        <v>322</v>
      </c>
      <c r="B515" s="229" t="s">
        <v>149</v>
      </c>
      <c r="C515" s="241"/>
      <c r="D515" s="245" t="s">
        <v>1518</v>
      </c>
      <c r="E515" s="245" t="s">
        <v>1519</v>
      </c>
      <c r="F515" s="246" t="s">
        <v>1520</v>
      </c>
    </row>
    <row r="516" ht="15.75" customHeight="1">
      <c r="A516" s="238" t="s">
        <v>322</v>
      </c>
      <c r="B516" s="230" t="s">
        <v>469</v>
      </c>
      <c r="C516" s="239"/>
      <c r="D516" s="243" t="s">
        <v>1521</v>
      </c>
      <c r="E516" s="243" t="s">
        <v>1522</v>
      </c>
      <c r="F516" s="244" t="s">
        <v>1523</v>
      </c>
    </row>
    <row r="517" ht="15.75" customHeight="1">
      <c r="A517" s="234" t="s">
        <v>1524</v>
      </c>
      <c r="B517" s="229" t="s">
        <v>151</v>
      </c>
      <c r="C517" s="241"/>
      <c r="D517" s="245" t="s">
        <v>1525</v>
      </c>
      <c r="E517" s="245" t="s">
        <v>1526</v>
      </c>
      <c r="F517" s="246" t="s">
        <v>1527</v>
      </c>
    </row>
    <row r="518" ht="15.75" customHeight="1">
      <c r="A518" s="238" t="s">
        <v>326</v>
      </c>
      <c r="B518" s="230" t="s">
        <v>327</v>
      </c>
      <c r="C518" s="239"/>
      <c r="D518" s="243" t="s">
        <v>1528</v>
      </c>
      <c r="E518" s="243" t="s">
        <v>1529</v>
      </c>
      <c r="F518" s="244" t="s">
        <v>1530</v>
      </c>
    </row>
    <row r="519" ht="15.75" customHeight="1">
      <c r="A519" s="234" t="s">
        <v>326</v>
      </c>
      <c r="B519" s="229" t="s">
        <v>66</v>
      </c>
      <c r="C519" s="249"/>
      <c r="D519" s="245" t="s">
        <v>1531</v>
      </c>
      <c r="E519" s="245" t="s">
        <v>1532</v>
      </c>
      <c r="F519" s="246" t="s">
        <v>1533</v>
      </c>
    </row>
    <row r="520" ht="15.75" customHeight="1">
      <c r="A520" s="238" t="s">
        <v>326</v>
      </c>
      <c r="B520" s="230" t="s">
        <v>235</v>
      </c>
      <c r="C520" s="239"/>
      <c r="D520" s="243" t="s">
        <v>1534</v>
      </c>
      <c r="E520" s="243" t="s">
        <v>1535</v>
      </c>
      <c r="F520" s="244" t="s">
        <v>1536</v>
      </c>
    </row>
    <row r="521" ht="15.75" customHeight="1">
      <c r="A521" s="234" t="s">
        <v>326</v>
      </c>
      <c r="B521" s="229" t="s">
        <v>141</v>
      </c>
      <c r="C521" s="241"/>
      <c r="D521" s="245" t="s">
        <v>1537</v>
      </c>
      <c r="E521" s="245" t="s">
        <v>1538</v>
      </c>
      <c r="F521" s="246" t="s">
        <v>1539</v>
      </c>
    </row>
    <row r="522" ht="15.75" customHeight="1">
      <c r="A522" s="238" t="s">
        <v>326</v>
      </c>
      <c r="B522" s="230" t="s">
        <v>151</v>
      </c>
      <c r="C522" s="239"/>
      <c r="D522" s="243" t="s">
        <v>1537</v>
      </c>
      <c r="E522" s="243" t="s">
        <v>1538</v>
      </c>
      <c r="F522" s="244" t="s">
        <v>1540</v>
      </c>
    </row>
    <row r="523" ht="15.75" customHeight="1">
      <c r="A523" s="234" t="s">
        <v>326</v>
      </c>
      <c r="B523" s="229" t="s">
        <v>1541</v>
      </c>
      <c r="C523" s="241"/>
      <c r="D523" s="245" t="s">
        <v>1542</v>
      </c>
      <c r="E523" s="245" t="s">
        <v>1543</v>
      </c>
      <c r="F523" s="246" t="s">
        <v>1544</v>
      </c>
    </row>
    <row r="524" ht="15.75" customHeight="1">
      <c r="A524" s="238" t="s">
        <v>126</v>
      </c>
      <c r="B524" s="230" t="s">
        <v>127</v>
      </c>
      <c r="C524" s="250"/>
      <c r="D524" s="253" t="s">
        <v>1545</v>
      </c>
      <c r="E524" s="243" t="s">
        <v>1546</v>
      </c>
      <c r="F524" s="254" t="s">
        <v>382</v>
      </c>
    </row>
    <row r="525" ht="15.75" customHeight="1">
      <c r="A525" s="234" t="s">
        <v>126</v>
      </c>
      <c r="B525" s="229" t="s">
        <v>679</v>
      </c>
      <c r="C525" s="241"/>
      <c r="D525" s="245" t="s">
        <v>1547</v>
      </c>
      <c r="E525" s="245" t="s">
        <v>1548</v>
      </c>
      <c r="F525" s="246" t="s">
        <v>1549</v>
      </c>
    </row>
    <row r="526" ht="15.75" customHeight="1">
      <c r="A526" s="238" t="s">
        <v>126</v>
      </c>
      <c r="B526" s="230" t="s">
        <v>1550</v>
      </c>
      <c r="C526" s="239"/>
      <c r="D526" s="243" t="s">
        <v>1547</v>
      </c>
      <c r="E526" s="243" t="s">
        <v>1546</v>
      </c>
      <c r="F526" s="244" t="s">
        <v>1551</v>
      </c>
    </row>
    <row r="527" ht="15.75" customHeight="1">
      <c r="A527" s="234" t="s">
        <v>1552</v>
      </c>
      <c r="B527" s="229" t="s">
        <v>101</v>
      </c>
      <c r="C527" s="241"/>
      <c r="D527" s="241"/>
      <c r="E527" s="241"/>
      <c r="F527" s="242"/>
    </row>
    <row r="528" ht="15.75" customHeight="1">
      <c r="A528" s="238" t="s">
        <v>1552</v>
      </c>
      <c r="B528" s="230" t="s">
        <v>1553</v>
      </c>
      <c r="C528" s="239"/>
      <c r="D528" s="243" t="s">
        <v>1554</v>
      </c>
      <c r="E528" s="243" t="s">
        <v>1555</v>
      </c>
      <c r="F528" s="244" t="s">
        <v>1556</v>
      </c>
    </row>
    <row r="529" ht="15.75" customHeight="1">
      <c r="A529" s="234" t="s">
        <v>328</v>
      </c>
      <c r="B529" s="229" t="s">
        <v>1557</v>
      </c>
      <c r="C529" s="241"/>
      <c r="D529" s="245" t="s">
        <v>1554</v>
      </c>
      <c r="E529" s="245" t="s">
        <v>1558</v>
      </c>
      <c r="F529" s="246" t="s">
        <v>1559</v>
      </c>
    </row>
    <row r="530" ht="15.75" customHeight="1">
      <c r="A530" s="238" t="s">
        <v>328</v>
      </c>
      <c r="B530" s="248" t="s">
        <v>154</v>
      </c>
      <c r="C530" s="239"/>
      <c r="D530" s="239"/>
      <c r="E530" s="239"/>
      <c r="F530" s="240"/>
    </row>
    <row r="531" ht="15.75" customHeight="1">
      <c r="A531" s="234" t="s">
        <v>328</v>
      </c>
      <c r="B531" s="229" t="s">
        <v>73</v>
      </c>
      <c r="C531" s="241"/>
      <c r="D531" s="245" t="s">
        <v>1560</v>
      </c>
      <c r="E531" s="245" t="s">
        <v>1561</v>
      </c>
      <c r="F531" s="246" t="s">
        <v>1562</v>
      </c>
    </row>
    <row r="532" ht="15.75" customHeight="1">
      <c r="A532" s="238" t="s">
        <v>1563</v>
      </c>
      <c r="B532" s="230" t="s">
        <v>1564</v>
      </c>
      <c r="C532" s="250"/>
      <c r="D532" s="243" t="s">
        <v>1565</v>
      </c>
      <c r="E532" s="243" t="s">
        <v>1566</v>
      </c>
      <c r="F532" s="244" t="s">
        <v>1567</v>
      </c>
    </row>
    <row r="533" ht="15.75" customHeight="1">
      <c r="A533" s="234" t="s">
        <v>1563</v>
      </c>
      <c r="B533" s="229" t="s">
        <v>1568</v>
      </c>
      <c r="C533" s="249"/>
      <c r="D533" s="245" t="s">
        <v>1565</v>
      </c>
      <c r="E533" s="245" t="s">
        <v>1567</v>
      </c>
      <c r="F533" s="242"/>
    </row>
    <row r="534" ht="15.75" customHeight="1">
      <c r="A534" s="238" t="s">
        <v>1563</v>
      </c>
      <c r="B534" s="230" t="s">
        <v>66</v>
      </c>
      <c r="C534" s="239"/>
      <c r="D534" s="243" t="s">
        <v>1569</v>
      </c>
      <c r="E534" s="239"/>
      <c r="F534" s="240"/>
    </row>
    <row r="535" ht="15.75" customHeight="1">
      <c r="A535" s="234" t="s">
        <v>1563</v>
      </c>
      <c r="B535" s="229" t="s">
        <v>1570</v>
      </c>
      <c r="C535" s="241"/>
      <c r="D535" s="245" t="s">
        <v>1571</v>
      </c>
      <c r="E535" s="245" t="s">
        <v>1572</v>
      </c>
      <c r="F535" s="242"/>
    </row>
    <row r="536" ht="15.75" customHeight="1">
      <c r="A536" s="238" t="s">
        <v>1563</v>
      </c>
      <c r="B536" s="230" t="s">
        <v>1573</v>
      </c>
      <c r="C536" s="239"/>
      <c r="D536" s="243" t="s">
        <v>1565</v>
      </c>
      <c r="E536" s="243" t="s">
        <v>1566</v>
      </c>
      <c r="F536" s="244" t="s">
        <v>1574</v>
      </c>
    </row>
    <row r="537" ht="15.75" customHeight="1">
      <c r="A537" s="234" t="s">
        <v>1563</v>
      </c>
      <c r="B537" s="229" t="s">
        <v>115</v>
      </c>
      <c r="C537" s="241"/>
      <c r="D537" s="241"/>
      <c r="E537" s="241"/>
      <c r="F537" s="242"/>
    </row>
    <row r="538" ht="15.75" customHeight="1">
      <c r="A538" s="238" t="s">
        <v>329</v>
      </c>
      <c r="B538" s="230" t="s">
        <v>1575</v>
      </c>
      <c r="C538" s="239"/>
      <c r="D538" s="243" t="s">
        <v>1576</v>
      </c>
      <c r="E538" s="243" t="s">
        <v>1577</v>
      </c>
      <c r="F538" s="244" t="s">
        <v>1578</v>
      </c>
    </row>
    <row r="539" ht="15.75" customHeight="1">
      <c r="A539" s="234" t="s">
        <v>329</v>
      </c>
      <c r="B539" s="229" t="s">
        <v>331</v>
      </c>
      <c r="C539" s="249"/>
      <c r="D539" s="245" t="s">
        <v>1579</v>
      </c>
      <c r="E539" s="245" t="s">
        <v>1580</v>
      </c>
      <c r="F539" s="246" t="s">
        <v>1581</v>
      </c>
    </row>
    <row r="540" ht="15.75" customHeight="1">
      <c r="A540" s="238" t="s">
        <v>329</v>
      </c>
      <c r="B540" s="230" t="s">
        <v>219</v>
      </c>
      <c r="C540" s="239"/>
      <c r="D540" s="243" t="s">
        <v>1582</v>
      </c>
      <c r="E540" s="243" t="s">
        <v>1583</v>
      </c>
      <c r="F540" s="244" t="s">
        <v>1584</v>
      </c>
    </row>
    <row r="541" ht="15.75" customHeight="1">
      <c r="A541" s="234" t="s">
        <v>329</v>
      </c>
      <c r="B541" s="229" t="s">
        <v>303</v>
      </c>
      <c r="C541" s="241"/>
      <c r="D541" s="245" t="s">
        <v>1585</v>
      </c>
      <c r="E541" s="245" t="s">
        <v>1586</v>
      </c>
      <c r="F541" s="246" t="s">
        <v>1584</v>
      </c>
    </row>
    <row r="542" ht="15.75" customHeight="1">
      <c r="A542" s="238" t="s">
        <v>329</v>
      </c>
      <c r="B542" s="230" t="s">
        <v>330</v>
      </c>
      <c r="C542" s="250"/>
      <c r="D542" s="243" t="s">
        <v>1585</v>
      </c>
      <c r="E542" s="243" t="s">
        <v>1580</v>
      </c>
      <c r="F542" s="244" t="s">
        <v>1584</v>
      </c>
    </row>
    <row r="543" ht="15.75" customHeight="1">
      <c r="A543" s="234" t="s">
        <v>329</v>
      </c>
      <c r="B543" s="229" t="s">
        <v>101</v>
      </c>
      <c r="C543" s="241"/>
      <c r="D543" s="245" t="s">
        <v>1587</v>
      </c>
      <c r="E543" s="245" t="s">
        <v>1588</v>
      </c>
      <c r="F543" s="246" t="s">
        <v>1589</v>
      </c>
    </row>
    <row r="544" ht="15.75" customHeight="1">
      <c r="A544" s="238" t="s">
        <v>332</v>
      </c>
      <c r="B544" s="230" t="s">
        <v>86</v>
      </c>
      <c r="C544" s="239"/>
      <c r="D544" s="239"/>
      <c r="E544" s="239"/>
      <c r="F544" s="240"/>
    </row>
    <row r="545" ht="15.75" customHeight="1">
      <c r="A545" s="234" t="s">
        <v>332</v>
      </c>
      <c r="B545" s="229" t="s">
        <v>1590</v>
      </c>
      <c r="C545" s="241"/>
      <c r="D545" s="245" t="s">
        <v>1591</v>
      </c>
      <c r="E545" s="245" t="s">
        <v>1592</v>
      </c>
      <c r="F545" s="246" t="s">
        <v>1593</v>
      </c>
    </row>
    <row r="546" ht="15.75" customHeight="1">
      <c r="A546" s="238" t="s">
        <v>332</v>
      </c>
      <c r="B546" s="230" t="s">
        <v>1594</v>
      </c>
      <c r="C546" s="250"/>
      <c r="D546" s="243" t="s">
        <v>1595</v>
      </c>
      <c r="E546" s="243" t="s">
        <v>1596</v>
      </c>
      <c r="F546" s="244" t="s">
        <v>1597</v>
      </c>
    </row>
    <row r="547" ht="15.75" customHeight="1">
      <c r="A547" s="234" t="s">
        <v>332</v>
      </c>
      <c r="B547" s="229" t="s">
        <v>1598</v>
      </c>
      <c r="C547" s="241"/>
      <c r="D547" s="245" t="s">
        <v>1599</v>
      </c>
      <c r="E547" s="245" t="s">
        <v>1592</v>
      </c>
      <c r="F547" s="246" t="s">
        <v>1600</v>
      </c>
    </row>
    <row r="548" ht="15.75" customHeight="1">
      <c r="A548" s="238" t="s">
        <v>332</v>
      </c>
      <c r="B548" s="230" t="s">
        <v>1601</v>
      </c>
      <c r="C548" s="250"/>
      <c r="D548" s="243" t="s">
        <v>1602</v>
      </c>
      <c r="E548" s="243" t="s">
        <v>1597</v>
      </c>
      <c r="F548" s="244" t="s">
        <v>1600</v>
      </c>
    </row>
    <row r="549" ht="15.75" customHeight="1">
      <c r="A549" s="234" t="s">
        <v>332</v>
      </c>
      <c r="B549" s="229" t="s">
        <v>197</v>
      </c>
      <c r="C549" s="241"/>
      <c r="D549" s="245" t="s">
        <v>1603</v>
      </c>
      <c r="E549" s="245" t="s">
        <v>1604</v>
      </c>
      <c r="F549" s="246" t="s">
        <v>1605</v>
      </c>
    </row>
    <row r="550" ht="15.75" customHeight="1">
      <c r="A550" s="238" t="s">
        <v>332</v>
      </c>
      <c r="B550" s="230" t="s">
        <v>1606</v>
      </c>
      <c r="C550" s="239"/>
      <c r="D550" s="239"/>
      <c r="E550" s="239"/>
      <c r="F550" s="240"/>
    </row>
    <row r="551" ht="15.75" customHeight="1">
      <c r="A551" s="234" t="s">
        <v>332</v>
      </c>
      <c r="B551" s="229" t="s">
        <v>1607</v>
      </c>
      <c r="C551" s="249"/>
      <c r="D551" s="245" t="s">
        <v>1595</v>
      </c>
      <c r="E551" s="245" t="s">
        <v>1596</v>
      </c>
      <c r="F551" s="246" t="s">
        <v>1597</v>
      </c>
    </row>
    <row r="552" ht="15.75" customHeight="1">
      <c r="A552" s="238" t="s">
        <v>332</v>
      </c>
      <c r="B552" s="230" t="s">
        <v>1608</v>
      </c>
      <c r="C552" s="250"/>
      <c r="D552" s="243" t="s">
        <v>1609</v>
      </c>
      <c r="E552" s="243" t="s">
        <v>1596</v>
      </c>
      <c r="F552" s="244" t="s">
        <v>1597</v>
      </c>
    </row>
    <row r="553" ht="15.75" customHeight="1">
      <c r="A553" s="234" t="s">
        <v>332</v>
      </c>
      <c r="B553" s="229" t="s">
        <v>1610</v>
      </c>
      <c r="C553" s="249"/>
      <c r="D553" s="245" t="s">
        <v>1611</v>
      </c>
      <c r="E553" s="245" t="s">
        <v>1596</v>
      </c>
      <c r="F553" s="246" t="s">
        <v>1597</v>
      </c>
    </row>
    <row r="554" ht="15.75" customHeight="1">
      <c r="A554" s="238" t="s">
        <v>332</v>
      </c>
      <c r="B554" s="230" t="s">
        <v>469</v>
      </c>
      <c r="C554" s="239"/>
      <c r="D554" s="243" t="s">
        <v>1612</v>
      </c>
      <c r="E554" s="243" t="s">
        <v>1613</v>
      </c>
      <c r="F554" s="244" t="s">
        <v>1614</v>
      </c>
    </row>
    <row r="555" ht="15.75" customHeight="1">
      <c r="A555" s="234" t="s">
        <v>332</v>
      </c>
      <c r="B555" s="229" t="s">
        <v>333</v>
      </c>
      <c r="C555" s="249"/>
      <c r="D555" s="245" t="s">
        <v>1609</v>
      </c>
      <c r="E555" s="245" t="s">
        <v>1597</v>
      </c>
      <c r="F555" s="246" t="s">
        <v>1615</v>
      </c>
    </row>
    <row r="556" ht="15.75" customHeight="1">
      <c r="A556" s="238" t="s">
        <v>332</v>
      </c>
      <c r="B556" s="230" t="s">
        <v>144</v>
      </c>
      <c r="C556" s="239"/>
      <c r="D556" s="239"/>
      <c r="E556" s="239"/>
      <c r="F556" s="240"/>
    </row>
    <row r="557" ht="15.75" customHeight="1">
      <c r="A557" s="234" t="s">
        <v>332</v>
      </c>
      <c r="B557" s="229" t="s">
        <v>1616</v>
      </c>
      <c r="C557" s="241"/>
      <c r="D557" s="245" t="s">
        <v>1617</v>
      </c>
      <c r="E557" s="245" t="s">
        <v>1604</v>
      </c>
      <c r="F557" s="246" t="s">
        <v>1605</v>
      </c>
    </row>
    <row r="558" ht="15.75" customHeight="1">
      <c r="A558" s="238" t="s">
        <v>332</v>
      </c>
      <c r="B558" s="230" t="s">
        <v>1097</v>
      </c>
      <c r="C558" s="250"/>
      <c r="D558" s="243" t="s">
        <v>1618</v>
      </c>
      <c r="E558" s="243" t="s">
        <v>1617</v>
      </c>
      <c r="F558" s="244" t="s">
        <v>1619</v>
      </c>
    </row>
    <row r="559" ht="15.75" customHeight="1">
      <c r="A559" s="234" t="s">
        <v>334</v>
      </c>
      <c r="B559" s="229" t="s">
        <v>219</v>
      </c>
      <c r="C559" s="241"/>
      <c r="D559" s="245" t="s">
        <v>1620</v>
      </c>
      <c r="E559" s="245" t="s">
        <v>1621</v>
      </c>
      <c r="F559" s="246" t="s">
        <v>1622</v>
      </c>
    </row>
    <row r="560" ht="15.75" customHeight="1">
      <c r="A560" s="238" t="s">
        <v>334</v>
      </c>
      <c r="B560" s="230" t="s">
        <v>73</v>
      </c>
      <c r="C560" s="239"/>
      <c r="D560" s="239"/>
      <c r="E560" s="239"/>
      <c r="F560" s="240"/>
    </row>
    <row r="561" ht="15.75" customHeight="1">
      <c r="A561" s="234" t="s">
        <v>334</v>
      </c>
      <c r="B561" s="247" t="s">
        <v>1623</v>
      </c>
      <c r="C561" s="241"/>
      <c r="D561" s="245" t="s">
        <v>1624</v>
      </c>
      <c r="E561" s="245" t="s">
        <v>1625</v>
      </c>
      <c r="F561" s="246" t="s">
        <v>1626</v>
      </c>
    </row>
    <row r="562" ht="15.75" customHeight="1">
      <c r="A562" s="238" t="s">
        <v>334</v>
      </c>
      <c r="B562" s="248" t="s">
        <v>131</v>
      </c>
      <c r="C562" s="239"/>
      <c r="D562" s="243" t="s">
        <v>1624</v>
      </c>
      <c r="E562" s="243" t="s">
        <v>1627</v>
      </c>
      <c r="F562" s="244" t="s">
        <v>1628</v>
      </c>
    </row>
    <row r="563" ht="15.75" customHeight="1">
      <c r="A563" s="234" t="s">
        <v>334</v>
      </c>
      <c r="B563" s="247" t="s">
        <v>154</v>
      </c>
      <c r="C563" s="249"/>
      <c r="D563" s="245" t="s">
        <v>1624</v>
      </c>
      <c r="E563" s="245" t="s">
        <v>1629</v>
      </c>
      <c r="F563" s="246" t="s">
        <v>1626</v>
      </c>
    </row>
    <row r="564" ht="15.75" customHeight="1">
      <c r="A564" s="238" t="s">
        <v>334</v>
      </c>
      <c r="B564" s="230" t="s">
        <v>149</v>
      </c>
      <c r="C564" s="239"/>
      <c r="D564" s="243" t="s">
        <v>1630</v>
      </c>
      <c r="E564" s="243" t="s">
        <v>1631</v>
      </c>
      <c r="F564" s="244" t="s">
        <v>1632</v>
      </c>
    </row>
    <row r="565" ht="15.75" customHeight="1">
      <c r="A565" s="234" t="s">
        <v>1633</v>
      </c>
      <c r="B565" s="229" t="s">
        <v>73</v>
      </c>
      <c r="C565" s="241"/>
      <c r="D565" s="245" t="s">
        <v>1634</v>
      </c>
      <c r="E565" s="245" t="s">
        <v>1635</v>
      </c>
      <c r="F565" s="246" t="s">
        <v>1636</v>
      </c>
    </row>
    <row r="566" ht="15.75" customHeight="1">
      <c r="A566" s="238" t="s">
        <v>336</v>
      </c>
      <c r="B566" s="230" t="s">
        <v>1637</v>
      </c>
      <c r="C566" s="239"/>
      <c r="D566" s="243" t="s">
        <v>1638</v>
      </c>
      <c r="E566" s="243" t="s">
        <v>1639</v>
      </c>
      <c r="F566" s="244" t="s">
        <v>1640</v>
      </c>
    </row>
    <row r="567" ht="15.75" customHeight="1">
      <c r="A567" s="234" t="s">
        <v>336</v>
      </c>
      <c r="B567" s="229" t="s">
        <v>337</v>
      </c>
      <c r="C567" s="241"/>
      <c r="D567" s="245" t="s">
        <v>1638</v>
      </c>
      <c r="E567" s="245" t="s">
        <v>1639</v>
      </c>
      <c r="F567" s="246" t="s">
        <v>1640</v>
      </c>
    </row>
    <row r="568" ht="15.75" customHeight="1">
      <c r="A568" s="238" t="s">
        <v>336</v>
      </c>
      <c r="B568" s="230" t="s">
        <v>66</v>
      </c>
      <c r="C568" s="239"/>
      <c r="D568" s="243" t="s">
        <v>1641</v>
      </c>
      <c r="E568" s="243" t="s">
        <v>1642</v>
      </c>
      <c r="F568" s="244" t="s">
        <v>1640</v>
      </c>
    </row>
    <row r="569" ht="15.75" customHeight="1">
      <c r="A569" s="234" t="s">
        <v>336</v>
      </c>
      <c r="B569" s="229" t="s">
        <v>576</v>
      </c>
      <c r="C569" s="249"/>
      <c r="D569" s="245" t="s">
        <v>1643</v>
      </c>
      <c r="E569" s="245" t="s">
        <v>1638</v>
      </c>
      <c r="F569" s="246" t="s">
        <v>1644</v>
      </c>
    </row>
    <row r="570" ht="15.75" customHeight="1">
      <c r="A570" s="238" t="s">
        <v>336</v>
      </c>
      <c r="B570" s="230" t="s">
        <v>149</v>
      </c>
      <c r="C570" s="250"/>
      <c r="D570" s="243" t="s">
        <v>1643</v>
      </c>
      <c r="E570" s="243" t="s">
        <v>1638</v>
      </c>
      <c r="F570" s="244" t="s">
        <v>1644</v>
      </c>
    </row>
    <row r="571" ht="15.75" customHeight="1">
      <c r="A571" s="234" t="s">
        <v>336</v>
      </c>
      <c r="B571" s="229" t="s">
        <v>338</v>
      </c>
      <c r="C571" s="241"/>
      <c r="D571" s="245" t="s">
        <v>1645</v>
      </c>
      <c r="E571" s="245" t="s">
        <v>1646</v>
      </c>
      <c r="F571" s="246" t="s">
        <v>1647</v>
      </c>
    </row>
    <row r="572" ht="15.75" customHeight="1">
      <c r="A572" s="238" t="s">
        <v>1648</v>
      </c>
      <c r="B572" s="230" t="s">
        <v>151</v>
      </c>
      <c r="C572" s="239"/>
      <c r="D572" s="243" t="s">
        <v>1649</v>
      </c>
      <c r="E572" s="243" t="s">
        <v>1650</v>
      </c>
      <c r="F572" s="244" t="s">
        <v>1651</v>
      </c>
    </row>
    <row r="573" ht="15.75" customHeight="1">
      <c r="A573" s="234" t="s">
        <v>1648</v>
      </c>
      <c r="B573" s="229" t="s">
        <v>1652</v>
      </c>
      <c r="C573" s="241"/>
      <c r="D573" s="245" t="s">
        <v>1653</v>
      </c>
      <c r="E573" s="245" t="s">
        <v>1650</v>
      </c>
      <c r="F573" s="246" t="s">
        <v>1651</v>
      </c>
    </row>
    <row r="574" ht="15.75" customHeight="1">
      <c r="A574" s="255" t="s">
        <v>81</v>
      </c>
      <c r="B574" s="256" t="s">
        <v>81</v>
      </c>
      <c r="C574" s="256"/>
      <c r="D574" s="257" t="s">
        <v>1654</v>
      </c>
      <c r="E574" s="257" t="s">
        <v>1654</v>
      </c>
      <c r="F574" s="258" t="s">
        <v>1654</v>
      </c>
    </row>
    <row r="575" ht="15.75" customHeight="1">
      <c r="A575" s="259"/>
      <c r="B575" s="241"/>
      <c r="C575" s="241"/>
      <c r="D575" s="241"/>
      <c r="E575" s="241"/>
      <c r="F575" s="242"/>
    </row>
    <row r="576" ht="15.75" customHeight="1">
      <c r="A576" s="260"/>
      <c r="B576" s="239"/>
      <c r="C576" s="239"/>
      <c r="D576" s="239"/>
      <c r="E576" s="239"/>
      <c r="F576" s="240"/>
    </row>
    <row r="577" ht="15.75" customHeight="1">
      <c r="A577" s="259"/>
      <c r="B577" s="241"/>
      <c r="C577" s="241"/>
      <c r="D577" s="241"/>
      <c r="E577" s="241"/>
      <c r="F577" s="242"/>
    </row>
    <row r="578" ht="15.75" customHeight="1">
      <c r="A578" s="260"/>
      <c r="B578" s="239"/>
      <c r="C578" s="239"/>
      <c r="D578" s="239"/>
      <c r="E578" s="239"/>
      <c r="F578" s="240"/>
    </row>
    <row r="579" ht="15.75" customHeight="1">
      <c r="A579" s="259"/>
      <c r="B579" s="241"/>
      <c r="C579" s="241"/>
      <c r="D579" s="241"/>
      <c r="E579" s="241"/>
      <c r="F579" s="242"/>
    </row>
    <row r="580" ht="15.75" customHeight="1">
      <c r="A580" s="260"/>
      <c r="B580" s="239"/>
      <c r="C580" s="239"/>
      <c r="D580" s="239"/>
      <c r="E580" s="239"/>
      <c r="F580" s="240"/>
    </row>
    <row r="581" ht="15.75" customHeight="1">
      <c r="A581" s="259"/>
      <c r="B581" s="241"/>
      <c r="C581" s="241"/>
      <c r="D581" s="241"/>
      <c r="E581" s="241"/>
      <c r="F581" s="242"/>
    </row>
    <row r="582" ht="15.75" customHeight="1">
      <c r="A582" s="260"/>
      <c r="B582" s="239"/>
      <c r="C582" s="239"/>
      <c r="D582" s="239"/>
      <c r="E582" s="239"/>
      <c r="F582" s="240"/>
    </row>
    <row r="583" ht="15.75" customHeight="1">
      <c r="A583" s="259"/>
      <c r="B583" s="241"/>
      <c r="C583" s="241"/>
      <c r="D583" s="241"/>
      <c r="E583" s="241"/>
      <c r="F583" s="242"/>
    </row>
    <row r="584" ht="15.75" customHeight="1">
      <c r="A584" s="260"/>
      <c r="B584" s="239"/>
      <c r="C584" s="239"/>
      <c r="D584" s="239"/>
      <c r="E584" s="239"/>
      <c r="F584" s="240"/>
    </row>
    <row r="585" ht="15.75" customHeight="1">
      <c r="A585" s="259"/>
      <c r="B585" s="241"/>
      <c r="C585" s="241"/>
      <c r="D585" s="241"/>
      <c r="E585" s="241"/>
      <c r="F585" s="242"/>
    </row>
    <row r="586" ht="15.75" customHeight="1">
      <c r="A586" s="260"/>
      <c r="B586" s="239"/>
      <c r="C586" s="239"/>
      <c r="D586" s="239"/>
      <c r="E586" s="239"/>
      <c r="F586" s="240"/>
    </row>
    <row r="587" ht="15.75" customHeight="1">
      <c r="A587" s="259"/>
      <c r="B587" s="241"/>
      <c r="C587" s="241"/>
      <c r="D587" s="241"/>
      <c r="E587" s="241"/>
      <c r="F587" s="242"/>
    </row>
    <row r="588" ht="15.75" customHeight="1">
      <c r="A588" s="260"/>
      <c r="B588" s="239"/>
      <c r="C588" s="239"/>
      <c r="D588" s="239"/>
      <c r="E588" s="239"/>
      <c r="F588" s="240"/>
    </row>
    <row r="589" ht="15.75" customHeight="1">
      <c r="A589" s="259"/>
      <c r="B589" s="241"/>
      <c r="C589" s="241"/>
      <c r="D589" s="241"/>
      <c r="E589" s="241"/>
      <c r="F589" s="242"/>
    </row>
    <row r="590" ht="15.75" customHeight="1">
      <c r="A590" s="260"/>
      <c r="B590" s="239"/>
      <c r="C590" s="239"/>
      <c r="D590" s="239"/>
      <c r="E590" s="239"/>
      <c r="F590" s="240"/>
    </row>
    <row r="591" ht="15.75" customHeight="1">
      <c r="A591" s="259"/>
      <c r="B591" s="241"/>
      <c r="C591" s="241"/>
      <c r="D591" s="241"/>
      <c r="E591" s="241"/>
      <c r="F591" s="242"/>
    </row>
    <row r="592" ht="15.75" customHeight="1">
      <c r="A592" s="260"/>
      <c r="B592" s="239"/>
      <c r="C592" s="239"/>
      <c r="D592" s="239"/>
      <c r="E592" s="239"/>
      <c r="F592" s="240"/>
    </row>
    <row r="593" ht="15.75" customHeight="1">
      <c r="A593" s="259"/>
      <c r="B593" s="241"/>
      <c r="C593" s="241"/>
      <c r="D593" s="241"/>
      <c r="E593" s="241"/>
      <c r="F593" s="242"/>
    </row>
    <row r="594" ht="15.75" customHeight="1">
      <c r="A594" s="260"/>
      <c r="B594" s="239"/>
      <c r="C594" s="239"/>
      <c r="D594" s="239"/>
      <c r="E594" s="239"/>
      <c r="F594" s="240"/>
    </row>
    <row r="595" ht="15.75" customHeight="1">
      <c r="A595" s="259"/>
      <c r="B595" s="241"/>
      <c r="C595" s="241"/>
      <c r="D595" s="241"/>
      <c r="E595" s="241"/>
      <c r="F595" s="242"/>
    </row>
    <row r="596" ht="15.75" customHeight="1">
      <c r="A596" s="260"/>
      <c r="B596" s="239"/>
      <c r="C596" s="239"/>
      <c r="D596" s="239"/>
      <c r="E596" s="239"/>
      <c r="F596" s="240"/>
    </row>
    <row r="597" ht="15.75" customHeight="1">
      <c r="A597" s="259"/>
      <c r="B597" s="241"/>
      <c r="C597" s="241"/>
      <c r="D597" s="241"/>
      <c r="E597" s="241"/>
      <c r="F597" s="242"/>
    </row>
    <row r="598" ht="15.75" customHeight="1">
      <c r="A598" s="259"/>
      <c r="B598" s="241"/>
      <c r="C598" s="241"/>
      <c r="D598" s="241"/>
      <c r="E598" s="241"/>
      <c r="F598" s="242"/>
    </row>
    <row r="599" ht="15.75" customHeight="1">
      <c r="A599" s="260"/>
      <c r="B599" s="239"/>
      <c r="C599" s="239"/>
      <c r="D599" s="239"/>
      <c r="E599" s="239"/>
      <c r="F599" s="240"/>
    </row>
    <row r="600" ht="15.75" customHeight="1">
      <c r="A600" s="259"/>
      <c r="B600" s="241"/>
      <c r="C600" s="241"/>
      <c r="D600" s="241"/>
      <c r="E600" s="241"/>
      <c r="F600" s="242"/>
    </row>
    <row r="601" ht="15.75" customHeight="1">
      <c r="A601" s="260"/>
      <c r="B601" s="239"/>
      <c r="C601" s="239"/>
      <c r="D601" s="239"/>
      <c r="E601" s="239"/>
      <c r="F601" s="240"/>
    </row>
    <row r="602" ht="15.75" customHeight="1">
      <c r="A602" s="259"/>
      <c r="B602" s="241"/>
      <c r="C602" s="241"/>
      <c r="D602" s="241"/>
      <c r="E602" s="241"/>
      <c r="F602" s="242"/>
    </row>
    <row r="603" ht="15.75" customHeight="1">
      <c r="A603" s="260"/>
      <c r="B603" s="239"/>
      <c r="C603" s="239"/>
      <c r="D603" s="239"/>
      <c r="E603" s="239"/>
      <c r="F603" s="240"/>
    </row>
    <row r="604" ht="15.75" customHeight="1">
      <c r="A604" s="259"/>
      <c r="B604" s="241"/>
      <c r="C604" s="241"/>
      <c r="D604" s="241"/>
      <c r="E604" s="241"/>
      <c r="F604" s="242"/>
    </row>
    <row r="605" ht="15.75" customHeight="1">
      <c r="A605" s="260"/>
      <c r="B605" s="239"/>
      <c r="C605" s="239"/>
      <c r="D605" s="239"/>
      <c r="E605" s="239"/>
      <c r="F605" s="240"/>
    </row>
    <row r="606" ht="15.75" customHeight="1">
      <c r="A606" s="259"/>
      <c r="B606" s="241"/>
      <c r="C606" s="241"/>
      <c r="D606" s="241"/>
      <c r="E606" s="241"/>
      <c r="F606" s="242"/>
    </row>
    <row r="607" ht="15.75" customHeight="1">
      <c r="A607" s="260"/>
      <c r="B607" s="239"/>
      <c r="C607" s="239"/>
      <c r="D607" s="239"/>
      <c r="E607" s="239"/>
      <c r="F607" s="240"/>
    </row>
    <row r="608" ht="15.75" customHeight="1">
      <c r="A608" s="259"/>
      <c r="B608" s="241"/>
      <c r="C608" s="241"/>
      <c r="D608" s="241"/>
      <c r="E608" s="241"/>
      <c r="F608" s="242"/>
    </row>
    <row r="609" ht="15.75" customHeight="1">
      <c r="A609" s="260"/>
      <c r="B609" s="239"/>
      <c r="C609" s="239"/>
      <c r="D609" s="239"/>
      <c r="E609" s="239"/>
      <c r="F609" s="240"/>
    </row>
    <row r="610" ht="15.75" customHeight="1">
      <c r="A610" s="259"/>
      <c r="B610" s="241"/>
      <c r="C610" s="241"/>
      <c r="D610" s="241"/>
      <c r="E610" s="241"/>
      <c r="F610" s="242"/>
    </row>
    <row r="611" ht="15.75" customHeight="1">
      <c r="A611" s="260"/>
      <c r="B611" s="239"/>
      <c r="C611" s="239"/>
      <c r="D611" s="239"/>
      <c r="E611" s="239"/>
      <c r="F611" s="240"/>
    </row>
    <row r="612" ht="15.75" customHeight="1">
      <c r="A612" s="259"/>
      <c r="B612" s="241"/>
      <c r="C612" s="241"/>
      <c r="D612" s="241"/>
      <c r="E612" s="241"/>
      <c r="F612" s="242"/>
    </row>
    <row r="613" ht="15.75" customHeight="1">
      <c r="A613" s="260"/>
      <c r="B613" s="239"/>
      <c r="C613" s="239"/>
      <c r="D613" s="239"/>
      <c r="E613" s="239"/>
      <c r="F613" s="240"/>
    </row>
    <row r="614" ht="15.75" customHeight="1">
      <c r="A614" s="259"/>
      <c r="B614" s="241"/>
      <c r="C614" s="241"/>
      <c r="D614" s="241"/>
      <c r="E614" s="241"/>
      <c r="F614" s="242"/>
    </row>
    <row r="615" ht="15.75" customHeight="1">
      <c r="A615" s="260"/>
      <c r="B615" s="239"/>
      <c r="C615" s="239"/>
      <c r="D615" s="239"/>
      <c r="E615" s="239"/>
      <c r="F615" s="240"/>
    </row>
    <row r="616" ht="15.75" customHeight="1">
      <c r="A616" s="259"/>
      <c r="B616" s="241"/>
      <c r="C616" s="241"/>
      <c r="D616" s="241"/>
      <c r="E616" s="241"/>
      <c r="F616" s="242"/>
    </row>
    <row r="617" ht="15.75" customHeight="1">
      <c r="A617" s="260"/>
      <c r="B617" s="239"/>
      <c r="C617" s="239"/>
      <c r="D617" s="239"/>
      <c r="E617" s="239"/>
      <c r="F617" s="240"/>
    </row>
    <row r="618" ht="15.75" customHeight="1">
      <c r="A618" s="259"/>
      <c r="B618" s="241"/>
      <c r="C618" s="241"/>
      <c r="D618" s="241"/>
      <c r="E618" s="241"/>
      <c r="F618" s="242"/>
    </row>
    <row r="619" ht="15.75" customHeight="1">
      <c r="A619" s="260"/>
      <c r="B619" s="239"/>
      <c r="C619" s="239"/>
      <c r="D619" s="239"/>
      <c r="E619" s="239"/>
      <c r="F619" s="240"/>
    </row>
    <row r="620" ht="15.75" customHeight="1">
      <c r="A620" s="259"/>
      <c r="B620" s="241"/>
      <c r="C620" s="241"/>
      <c r="D620" s="241"/>
      <c r="E620" s="241"/>
      <c r="F620" s="242"/>
    </row>
    <row r="621" ht="15.75" customHeight="1">
      <c r="A621" s="260"/>
      <c r="B621" s="239"/>
      <c r="C621" s="239"/>
      <c r="D621" s="239"/>
      <c r="E621" s="239"/>
      <c r="F621" s="240"/>
    </row>
    <row r="622" ht="15.75" customHeight="1">
      <c r="A622" s="259"/>
      <c r="B622" s="241"/>
      <c r="C622" s="241"/>
      <c r="D622" s="241"/>
      <c r="E622" s="241"/>
      <c r="F622" s="242"/>
    </row>
    <row r="623" ht="15.75" customHeight="1">
      <c r="A623" s="260"/>
      <c r="B623" s="239"/>
      <c r="C623" s="239"/>
      <c r="D623" s="239"/>
      <c r="E623" s="239"/>
      <c r="F623" s="240"/>
    </row>
    <row r="624" ht="15.75" customHeight="1">
      <c r="A624" s="259"/>
      <c r="B624" s="241"/>
      <c r="C624" s="241"/>
      <c r="D624" s="241"/>
      <c r="E624" s="241"/>
      <c r="F624" s="242"/>
    </row>
    <row r="625" ht="15.75" customHeight="1">
      <c r="A625" s="260"/>
      <c r="B625" s="239"/>
      <c r="C625" s="239"/>
      <c r="D625" s="239"/>
      <c r="E625" s="239"/>
      <c r="F625" s="240"/>
    </row>
    <row r="626" ht="15.75" customHeight="1">
      <c r="A626" s="259"/>
      <c r="B626" s="241"/>
      <c r="C626" s="241"/>
      <c r="D626" s="241"/>
      <c r="E626" s="241"/>
      <c r="F626" s="242"/>
    </row>
    <row r="627" ht="15.75" customHeight="1">
      <c r="A627" s="260"/>
      <c r="B627" s="239"/>
      <c r="C627" s="239"/>
      <c r="D627" s="239"/>
      <c r="E627" s="239"/>
      <c r="F627" s="240"/>
    </row>
    <row r="628" ht="15.75" customHeight="1">
      <c r="A628" s="259"/>
      <c r="B628" s="241"/>
      <c r="C628" s="241"/>
      <c r="D628" s="241"/>
      <c r="E628" s="241"/>
      <c r="F628" s="242"/>
    </row>
    <row r="629" ht="15.75" customHeight="1">
      <c r="A629" s="260"/>
      <c r="B629" s="239"/>
      <c r="C629" s="239"/>
      <c r="D629" s="239"/>
      <c r="E629" s="239"/>
      <c r="F629" s="240"/>
    </row>
    <row r="630" ht="15.75" customHeight="1">
      <c r="A630" s="259"/>
      <c r="B630" s="241"/>
      <c r="C630" s="241"/>
      <c r="D630" s="241"/>
      <c r="E630" s="241"/>
      <c r="F630" s="242"/>
    </row>
    <row r="631" ht="15.75" customHeight="1">
      <c r="A631" s="260"/>
      <c r="B631" s="239"/>
      <c r="C631" s="239"/>
      <c r="D631" s="239"/>
      <c r="E631" s="239"/>
      <c r="F631" s="240"/>
    </row>
    <row r="632" ht="15.75" customHeight="1">
      <c r="A632" s="259"/>
      <c r="B632" s="241"/>
      <c r="C632" s="241"/>
      <c r="D632" s="241"/>
      <c r="E632" s="241"/>
      <c r="F632" s="242"/>
    </row>
    <row r="633" ht="15.75" customHeight="1">
      <c r="A633" s="260"/>
      <c r="B633" s="239"/>
      <c r="C633" s="239"/>
      <c r="D633" s="239"/>
      <c r="E633" s="239"/>
      <c r="F633" s="240"/>
    </row>
    <row r="634" ht="15.75" customHeight="1">
      <c r="A634" s="259"/>
      <c r="B634" s="241"/>
      <c r="C634" s="241"/>
      <c r="D634" s="241"/>
      <c r="E634" s="241"/>
      <c r="F634" s="242"/>
    </row>
    <row r="635" ht="15.75" customHeight="1">
      <c r="A635" s="260"/>
      <c r="B635" s="239"/>
      <c r="C635" s="239"/>
      <c r="D635" s="239"/>
      <c r="E635" s="239"/>
      <c r="F635" s="240"/>
    </row>
    <row r="636" ht="15.75" customHeight="1">
      <c r="A636" s="259"/>
      <c r="B636" s="241"/>
      <c r="C636" s="241"/>
      <c r="D636" s="241"/>
      <c r="E636" s="241"/>
      <c r="F636" s="242"/>
    </row>
    <row r="637" ht="15.75" customHeight="1">
      <c r="A637" s="260"/>
      <c r="B637" s="239"/>
      <c r="C637" s="239"/>
      <c r="D637" s="239"/>
      <c r="E637" s="239"/>
      <c r="F637" s="240"/>
    </row>
    <row r="638" ht="15.75" customHeight="1">
      <c r="A638" s="259"/>
      <c r="B638" s="241"/>
      <c r="C638" s="241"/>
      <c r="D638" s="241"/>
      <c r="E638" s="241"/>
      <c r="F638" s="242"/>
    </row>
    <row r="639" ht="15.75" customHeight="1">
      <c r="A639" s="260"/>
      <c r="B639" s="239"/>
      <c r="C639" s="239"/>
      <c r="D639" s="239"/>
      <c r="E639" s="239"/>
      <c r="F639" s="240"/>
    </row>
    <row r="640" ht="15.75" customHeight="1">
      <c r="A640" s="259"/>
      <c r="B640" s="241"/>
      <c r="C640" s="241"/>
      <c r="D640" s="241"/>
      <c r="E640" s="241"/>
      <c r="F640" s="242"/>
    </row>
    <row r="641" ht="15.75" customHeight="1">
      <c r="A641" s="260"/>
      <c r="B641" s="239"/>
      <c r="C641" s="239"/>
      <c r="D641" s="239"/>
      <c r="E641" s="239"/>
      <c r="F641" s="240"/>
    </row>
    <row r="642" ht="15.75" customHeight="1">
      <c r="A642" s="259"/>
      <c r="B642" s="241"/>
      <c r="C642" s="241"/>
      <c r="D642" s="241"/>
      <c r="E642" s="241"/>
      <c r="F642" s="242"/>
    </row>
    <row r="643" ht="15.75" customHeight="1">
      <c r="A643" s="260"/>
      <c r="B643" s="239"/>
      <c r="C643" s="239"/>
      <c r="D643" s="239"/>
      <c r="E643" s="239"/>
      <c r="F643" s="240"/>
    </row>
    <row r="644" ht="15.75" customHeight="1">
      <c r="A644" s="259"/>
      <c r="B644" s="241"/>
      <c r="C644" s="241"/>
      <c r="D644" s="241"/>
      <c r="E644" s="241"/>
      <c r="F644" s="242"/>
    </row>
    <row r="645" ht="15.75" customHeight="1">
      <c r="A645" s="260"/>
      <c r="B645" s="239"/>
      <c r="C645" s="239"/>
      <c r="D645" s="239"/>
      <c r="E645" s="239"/>
      <c r="F645" s="240"/>
    </row>
    <row r="646" ht="15.75" customHeight="1">
      <c r="A646" s="259"/>
      <c r="B646" s="241"/>
      <c r="C646" s="241"/>
      <c r="D646" s="241"/>
      <c r="E646" s="241"/>
      <c r="F646" s="242"/>
    </row>
    <row r="647" ht="15.75" customHeight="1">
      <c r="A647" s="260"/>
      <c r="B647" s="239"/>
      <c r="C647" s="239"/>
      <c r="D647" s="239"/>
      <c r="E647" s="239"/>
      <c r="F647" s="240"/>
    </row>
    <row r="648" ht="15.75" customHeight="1">
      <c r="A648" s="259"/>
      <c r="B648" s="241"/>
      <c r="C648" s="241"/>
      <c r="D648" s="241"/>
      <c r="E648" s="241"/>
      <c r="F648" s="242"/>
    </row>
    <row r="649" ht="15.75" customHeight="1">
      <c r="A649" s="260"/>
      <c r="B649" s="239"/>
      <c r="C649" s="239"/>
      <c r="D649" s="239"/>
      <c r="E649" s="239"/>
      <c r="F649" s="240"/>
    </row>
    <row r="650" ht="15.75" customHeight="1">
      <c r="A650" s="259"/>
      <c r="B650" s="241"/>
      <c r="C650" s="241"/>
      <c r="D650" s="241"/>
      <c r="E650" s="241"/>
      <c r="F650" s="242"/>
    </row>
    <row r="651" ht="15.75" customHeight="1">
      <c r="A651" s="260"/>
      <c r="B651" s="239"/>
      <c r="C651" s="239"/>
      <c r="D651" s="239"/>
      <c r="E651" s="239"/>
      <c r="F651" s="240"/>
    </row>
    <row r="652" ht="15.75" customHeight="1">
      <c r="A652" s="259"/>
      <c r="B652" s="241"/>
      <c r="C652" s="241"/>
      <c r="D652" s="241"/>
      <c r="E652" s="241"/>
      <c r="F652" s="242"/>
    </row>
    <row r="653" ht="15.75" customHeight="1">
      <c r="A653" s="260"/>
      <c r="B653" s="239"/>
      <c r="C653" s="239"/>
      <c r="D653" s="239"/>
      <c r="E653" s="239"/>
      <c r="F653" s="240"/>
    </row>
    <row r="654" ht="15.75" customHeight="1">
      <c r="A654" s="259"/>
      <c r="B654" s="241"/>
      <c r="C654" s="241"/>
      <c r="D654" s="241"/>
      <c r="E654" s="241"/>
      <c r="F654" s="242"/>
    </row>
    <row r="655" ht="15.75" customHeight="1">
      <c r="A655" s="260"/>
      <c r="B655" s="239"/>
      <c r="C655" s="239"/>
      <c r="D655" s="239"/>
      <c r="E655" s="239"/>
      <c r="F655" s="240"/>
    </row>
    <row r="656" ht="15.75" customHeight="1">
      <c r="A656" s="259"/>
      <c r="B656" s="241"/>
      <c r="C656" s="241"/>
      <c r="D656" s="241"/>
      <c r="E656" s="241"/>
      <c r="F656" s="242"/>
    </row>
    <row r="657" ht="15.75" customHeight="1">
      <c r="A657" s="260"/>
      <c r="B657" s="239"/>
      <c r="C657" s="239"/>
      <c r="D657" s="239"/>
      <c r="E657" s="239"/>
      <c r="F657" s="240"/>
    </row>
    <row r="658" ht="15.75" customHeight="1">
      <c r="A658" s="259"/>
      <c r="B658" s="241"/>
      <c r="C658" s="241"/>
      <c r="D658" s="241"/>
      <c r="E658" s="241"/>
      <c r="F658" s="242"/>
    </row>
    <row r="659" ht="15.75" customHeight="1">
      <c r="A659" s="260"/>
      <c r="B659" s="239"/>
      <c r="C659" s="239"/>
      <c r="D659" s="239"/>
      <c r="E659" s="239"/>
      <c r="F659" s="240"/>
    </row>
    <row r="660" ht="15.75" customHeight="1">
      <c r="A660" s="259"/>
      <c r="B660" s="241"/>
      <c r="C660" s="241"/>
      <c r="D660" s="241"/>
      <c r="E660" s="241"/>
      <c r="F660" s="242"/>
    </row>
    <row r="661" ht="15.75" customHeight="1">
      <c r="A661" s="260"/>
      <c r="B661" s="239"/>
      <c r="C661" s="239"/>
      <c r="D661" s="239"/>
      <c r="E661" s="239"/>
      <c r="F661" s="240"/>
    </row>
    <row r="662" ht="15.75" customHeight="1">
      <c r="A662" s="259"/>
      <c r="B662" s="241"/>
      <c r="C662" s="241"/>
      <c r="D662" s="241"/>
      <c r="E662" s="241"/>
      <c r="F662" s="242"/>
    </row>
    <row r="663" ht="15.75" customHeight="1">
      <c r="A663" s="260"/>
      <c r="B663" s="239"/>
      <c r="C663" s="239"/>
      <c r="D663" s="239"/>
      <c r="E663" s="239"/>
      <c r="F663" s="240"/>
    </row>
    <row r="664" ht="15.75" customHeight="1">
      <c r="A664" s="259"/>
      <c r="B664" s="241"/>
      <c r="C664" s="241"/>
      <c r="D664" s="241"/>
      <c r="E664" s="241"/>
      <c r="F664" s="242"/>
    </row>
    <row r="665" ht="15.75" customHeight="1">
      <c r="A665" s="260"/>
      <c r="B665" s="239"/>
      <c r="C665" s="239"/>
      <c r="D665" s="239"/>
      <c r="E665" s="239"/>
      <c r="F665" s="240"/>
    </row>
    <row r="666" ht="15.75" customHeight="1">
      <c r="A666" s="259"/>
      <c r="B666" s="241"/>
      <c r="C666" s="241"/>
      <c r="D666" s="241"/>
      <c r="E666" s="241"/>
      <c r="F666" s="242"/>
    </row>
    <row r="667" ht="15.75" customHeight="1">
      <c r="A667" s="260"/>
      <c r="B667" s="239"/>
      <c r="C667" s="239"/>
      <c r="D667" s="239"/>
      <c r="E667" s="239"/>
      <c r="F667" s="240"/>
    </row>
    <row r="668" ht="15.75" customHeight="1">
      <c r="A668" s="259"/>
      <c r="B668" s="241"/>
      <c r="C668" s="241"/>
      <c r="D668" s="241"/>
      <c r="E668" s="241"/>
      <c r="F668" s="242"/>
    </row>
    <row r="669" ht="15.75" customHeight="1">
      <c r="A669" s="260"/>
      <c r="B669" s="239"/>
      <c r="C669" s="239"/>
      <c r="D669" s="239"/>
      <c r="E669" s="239"/>
      <c r="F669" s="240"/>
    </row>
    <row r="670" ht="15.75" customHeight="1">
      <c r="A670" s="259"/>
      <c r="B670" s="241"/>
      <c r="C670" s="241"/>
      <c r="D670" s="241"/>
      <c r="E670" s="241"/>
      <c r="F670" s="242"/>
    </row>
    <row r="671" ht="15.75" customHeight="1">
      <c r="A671" s="260"/>
      <c r="B671" s="239"/>
      <c r="C671" s="239"/>
      <c r="D671" s="239"/>
      <c r="E671" s="239"/>
      <c r="F671" s="240"/>
    </row>
    <row r="672" ht="15.75" customHeight="1">
      <c r="A672" s="259"/>
      <c r="B672" s="241"/>
      <c r="C672" s="241"/>
      <c r="D672" s="241"/>
      <c r="E672" s="241"/>
      <c r="F672" s="242"/>
    </row>
    <row r="673" ht="15.75" customHeight="1">
      <c r="A673" s="260"/>
      <c r="B673" s="239"/>
      <c r="C673" s="239"/>
      <c r="D673" s="239"/>
      <c r="E673" s="239"/>
      <c r="F673" s="240"/>
    </row>
    <row r="674" ht="15.75" customHeight="1">
      <c r="A674" s="259"/>
      <c r="B674" s="241"/>
      <c r="C674" s="241"/>
      <c r="D674" s="241"/>
      <c r="E674" s="241"/>
      <c r="F674" s="242"/>
    </row>
    <row r="675" ht="15.75" customHeight="1">
      <c r="A675" s="260"/>
      <c r="B675" s="239"/>
      <c r="C675" s="239"/>
      <c r="D675" s="239"/>
      <c r="E675" s="239"/>
      <c r="F675" s="240"/>
    </row>
    <row r="676" ht="15.75" customHeight="1">
      <c r="A676" s="259"/>
      <c r="B676" s="241"/>
      <c r="C676" s="241"/>
      <c r="D676" s="241"/>
      <c r="E676" s="241"/>
      <c r="F676" s="242"/>
    </row>
    <row r="677" ht="15.75" customHeight="1">
      <c r="A677" s="260"/>
      <c r="B677" s="239"/>
      <c r="C677" s="239"/>
      <c r="D677" s="239"/>
      <c r="E677" s="239"/>
      <c r="F677" s="240"/>
    </row>
    <row r="678" ht="15.75" customHeight="1">
      <c r="A678" s="259"/>
      <c r="B678" s="241"/>
      <c r="C678" s="241"/>
      <c r="D678" s="241"/>
      <c r="E678" s="241"/>
      <c r="F678" s="242"/>
    </row>
    <row r="679" ht="15.75" customHeight="1">
      <c r="A679" s="260"/>
      <c r="B679" s="239"/>
      <c r="C679" s="239"/>
      <c r="D679" s="239"/>
      <c r="E679" s="239"/>
      <c r="F679" s="240"/>
    </row>
    <row r="680" ht="15.75" customHeight="1">
      <c r="A680" s="259"/>
      <c r="B680" s="241"/>
      <c r="C680" s="241"/>
      <c r="D680" s="241"/>
      <c r="E680" s="241"/>
      <c r="F680" s="242"/>
    </row>
    <row r="681" ht="15.75" customHeight="1">
      <c r="A681" s="260"/>
      <c r="B681" s="239"/>
      <c r="C681" s="239"/>
      <c r="D681" s="239"/>
      <c r="E681" s="239"/>
      <c r="F681" s="240"/>
    </row>
    <row r="682" ht="15.75" customHeight="1">
      <c r="A682" s="259"/>
      <c r="B682" s="241"/>
      <c r="C682" s="241"/>
      <c r="D682" s="241"/>
      <c r="E682" s="241"/>
      <c r="F682" s="242"/>
    </row>
    <row r="683" ht="15.75" customHeight="1">
      <c r="A683" s="260"/>
      <c r="B683" s="239"/>
      <c r="C683" s="239"/>
      <c r="D683" s="239"/>
      <c r="E683" s="239"/>
      <c r="F683" s="240"/>
    </row>
    <row r="684" ht="15.75" customHeight="1">
      <c r="A684" s="259"/>
      <c r="B684" s="241"/>
      <c r="C684" s="241"/>
      <c r="D684" s="241"/>
      <c r="E684" s="241"/>
      <c r="F684" s="242"/>
    </row>
    <row r="685" ht="15.75" customHeight="1">
      <c r="A685" s="260"/>
      <c r="B685" s="239"/>
      <c r="C685" s="239"/>
      <c r="D685" s="239"/>
      <c r="E685" s="239"/>
      <c r="F685" s="240"/>
    </row>
    <row r="686" ht="15.75" customHeight="1">
      <c r="A686" s="259"/>
      <c r="B686" s="241"/>
      <c r="C686" s="241"/>
      <c r="D686" s="241"/>
      <c r="E686" s="241"/>
      <c r="F686" s="242"/>
    </row>
    <row r="687" ht="15.75" customHeight="1">
      <c r="A687" s="260"/>
      <c r="B687" s="239"/>
      <c r="C687" s="239"/>
      <c r="D687" s="239"/>
      <c r="E687" s="239"/>
      <c r="F687" s="240"/>
    </row>
    <row r="688" ht="15.75" customHeight="1">
      <c r="A688" s="259"/>
      <c r="B688" s="241"/>
      <c r="C688" s="241"/>
      <c r="D688" s="241"/>
      <c r="E688" s="241"/>
      <c r="F688" s="242"/>
    </row>
    <row r="689" ht="15.75" customHeight="1">
      <c r="A689" s="260"/>
      <c r="B689" s="239"/>
      <c r="C689" s="239"/>
      <c r="D689" s="239"/>
      <c r="E689" s="239"/>
      <c r="F689" s="240"/>
    </row>
    <row r="690" ht="15.75" customHeight="1">
      <c r="A690" s="259"/>
      <c r="B690" s="241"/>
      <c r="C690" s="241"/>
      <c r="D690" s="241"/>
      <c r="E690" s="241"/>
      <c r="F690" s="242"/>
    </row>
    <row r="691" ht="15.75" customHeight="1">
      <c r="A691" s="260"/>
      <c r="B691" s="239"/>
      <c r="C691" s="239"/>
      <c r="D691" s="239"/>
      <c r="E691" s="239"/>
      <c r="F691" s="240"/>
    </row>
    <row r="692" ht="15.75" customHeight="1">
      <c r="A692" s="259"/>
      <c r="B692" s="241"/>
      <c r="C692" s="241"/>
      <c r="D692" s="241"/>
      <c r="E692" s="241"/>
      <c r="F692" s="242"/>
    </row>
    <row r="693" ht="15.75" customHeight="1">
      <c r="A693" s="260"/>
      <c r="B693" s="239"/>
      <c r="C693" s="239"/>
      <c r="D693" s="239"/>
      <c r="E693" s="239"/>
      <c r="F693" s="240"/>
    </row>
    <row r="694" ht="15.75" customHeight="1">
      <c r="A694" s="259"/>
      <c r="B694" s="241"/>
      <c r="C694" s="241"/>
      <c r="D694" s="241"/>
      <c r="E694" s="241"/>
      <c r="F694" s="242"/>
    </row>
    <row r="695" ht="15.75" customHeight="1">
      <c r="A695" s="260"/>
      <c r="B695" s="239"/>
      <c r="C695" s="239"/>
      <c r="D695" s="239"/>
      <c r="E695" s="239"/>
      <c r="F695" s="240"/>
    </row>
    <row r="696" ht="15.75" customHeight="1">
      <c r="A696" s="259"/>
      <c r="B696" s="241"/>
      <c r="C696" s="241"/>
      <c r="D696" s="241"/>
      <c r="E696" s="241"/>
      <c r="F696" s="242"/>
    </row>
    <row r="697" ht="15.75" customHeight="1">
      <c r="A697" s="260"/>
      <c r="B697" s="239"/>
      <c r="C697" s="239"/>
      <c r="D697" s="239"/>
      <c r="E697" s="239"/>
      <c r="F697" s="240"/>
    </row>
    <row r="698" ht="15.75" customHeight="1">
      <c r="A698" s="259"/>
      <c r="B698" s="241"/>
      <c r="C698" s="241"/>
      <c r="D698" s="241"/>
      <c r="E698" s="241"/>
      <c r="F698" s="242"/>
    </row>
    <row r="699" ht="15.75" customHeight="1">
      <c r="A699" s="260"/>
      <c r="B699" s="239"/>
      <c r="C699" s="239"/>
      <c r="D699" s="239"/>
      <c r="E699" s="239"/>
      <c r="F699" s="240"/>
    </row>
    <row r="700" ht="15.75" customHeight="1">
      <c r="A700" s="259"/>
      <c r="B700" s="241"/>
      <c r="C700" s="241"/>
      <c r="D700" s="241"/>
      <c r="E700" s="241"/>
      <c r="F700" s="242"/>
    </row>
    <row r="701" ht="15.75" customHeight="1">
      <c r="A701" s="260"/>
      <c r="B701" s="239"/>
      <c r="C701" s="239"/>
      <c r="D701" s="239"/>
      <c r="E701" s="239"/>
      <c r="F701" s="240"/>
    </row>
    <row r="702" ht="15.75" customHeight="1">
      <c r="A702" s="259"/>
      <c r="B702" s="241"/>
      <c r="C702" s="241"/>
      <c r="D702" s="241"/>
      <c r="E702" s="241"/>
      <c r="F702" s="242"/>
    </row>
    <row r="703" ht="15.75" customHeight="1">
      <c r="A703" s="260"/>
      <c r="B703" s="239"/>
      <c r="C703" s="239"/>
      <c r="D703" s="239"/>
      <c r="E703" s="239"/>
      <c r="F703" s="240"/>
    </row>
    <row r="704" ht="15.75" customHeight="1">
      <c r="A704" s="259"/>
      <c r="B704" s="241"/>
      <c r="C704" s="241"/>
      <c r="D704" s="241"/>
      <c r="E704" s="241"/>
      <c r="F704" s="242"/>
    </row>
    <row r="705" ht="15.75" customHeight="1">
      <c r="A705" s="260"/>
      <c r="B705" s="239"/>
      <c r="C705" s="239"/>
      <c r="D705" s="239"/>
      <c r="E705" s="239"/>
      <c r="F705" s="240"/>
    </row>
    <row r="706" ht="15.75" customHeight="1">
      <c r="A706" s="259"/>
      <c r="B706" s="241"/>
      <c r="C706" s="241"/>
      <c r="D706" s="241"/>
      <c r="E706" s="241"/>
      <c r="F706" s="242"/>
    </row>
    <row r="707" ht="15.75" customHeight="1">
      <c r="A707" s="260"/>
      <c r="B707" s="239"/>
      <c r="C707" s="239"/>
      <c r="D707" s="239"/>
      <c r="E707" s="239"/>
      <c r="F707" s="240"/>
    </row>
    <row r="708" ht="15.75" customHeight="1">
      <c r="A708" s="259"/>
      <c r="B708" s="241"/>
      <c r="C708" s="241"/>
      <c r="D708" s="241"/>
      <c r="E708" s="241"/>
      <c r="F708" s="242"/>
    </row>
    <row r="709" ht="15.75" customHeight="1">
      <c r="A709" s="260"/>
      <c r="B709" s="239"/>
      <c r="C709" s="239"/>
      <c r="D709" s="239"/>
      <c r="E709" s="239"/>
      <c r="F709" s="240"/>
    </row>
    <row r="710" ht="15.75" customHeight="1">
      <c r="A710" s="259"/>
      <c r="B710" s="241"/>
      <c r="C710" s="241"/>
      <c r="D710" s="241"/>
      <c r="E710" s="241"/>
      <c r="F710" s="242"/>
    </row>
    <row r="711" ht="15.75" customHeight="1">
      <c r="A711" s="260"/>
      <c r="B711" s="239"/>
      <c r="C711" s="239"/>
      <c r="D711" s="239"/>
      <c r="E711" s="239"/>
      <c r="F711" s="240"/>
    </row>
    <row r="712" ht="15.75" customHeight="1">
      <c r="A712" s="259"/>
      <c r="B712" s="241"/>
      <c r="C712" s="241"/>
      <c r="D712" s="241"/>
      <c r="E712" s="241"/>
      <c r="F712" s="242"/>
    </row>
    <row r="713" ht="15.75" customHeight="1">
      <c r="A713" s="260"/>
      <c r="B713" s="239"/>
      <c r="C713" s="239"/>
      <c r="D713" s="239"/>
      <c r="E713" s="239"/>
      <c r="F713" s="240"/>
    </row>
    <row r="714" ht="15.75" customHeight="1">
      <c r="A714" s="259"/>
      <c r="B714" s="241"/>
      <c r="C714" s="241"/>
      <c r="D714" s="241"/>
      <c r="E714" s="241"/>
      <c r="F714" s="242"/>
    </row>
    <row r="715" ht="15.75" customHeight="1">
      <c r="A715" s="260"/>
      <c r="B715" s="239"/>
      <c r="C715" s="239"/>
      <c r="D715" s="239"/>
      <c r="E715" s="239"/>
      <c r="F715" s="240"/>
    </row>
    <row r="716" ht="15.75" customHeight="1">
      <c r="A716" s="259"/>
      <c r="B716" s="241"/>
      <c r="C716" s="241"/>
      <c r="D716" s="241"/>
      <c r="E716" s="241"/>
      <c r="F716" s="242"/>
    </row>
    <row r="717" ht="15.75" customHeight="1">
      <c r="A717" s="260"/>
      <c r="B717" s="239"/>
      <c r="C717" s="239"/>
      <c r="D717" s="239"/>
      <c r="E717" s="239"/>
      <c r="F717" s="240"/>
    </row>
    <row r="718" ht="15.75" customHeight="1">
      <c r="A718" s="259"/>
      <c r="B718" s="241"/>
      <c r="C718" s="241"/>
      <c r="D718" s="241"/>
      <c r="E718" s="241"/>
      <c r="F718" s="242"/>
    </row>
    <row r="719" ht="15.75" customHeight="1">
      <c r="A719" s="260"/>
      <c r="B719" s="239"/>
      <c r="C719" s="239"/>
      <c r="D719" s="239"/>
      <c r="E719" s="239"/>
      <c r="F719" s="240"/>
    </row>
    <row r="720" ht="15.75" customHeight="1">
      <c r="A720" s="259"/>
      <c r="B720" s="241"/>
      <c r="C720" s="241"/>
      <c r="D720" s="241"/>
      <c r="E720" s="241"/>
      <c r="F720" s="242"/>
    </row>
    <row r="721" ht="15.75" customHeight="1">
      <c r="A721" s="260"/>
      <c r="B721" s="239"/>
      <c r="C721" s="239"/>
      <c r="D721" s="239"/>
      <c r="E721" s="239"/>
      <c r="F721" s="240"/>
    </row>
    <row r="722" ht="15.75" customHeight="1">
      <c r="A722" s="259"/>
      <c r="B722" s="241"/>
      <c r="C722" s="241"/>
      <c r="D722" s="241"/>
      <c r="E722" s="241"/>
      <c r="F722" s="242"/>
    </row>
    <row r="723" ht="15.75" customHeight="1">
      <c r="A723" s="260"/>
      <c r="B723" s="239"/>
      <c r="C723" s="239"/>
      <c r="D723" s="239"/>
      <c r="E723" s="239"/>
      <c r="F723" s="240"/>
    </row>
    <row r="724" ht="15.75" customHeight="1">
      <c r="A724" s="259"/>
      <c r="B724" s="241"/>
      <c r="C724" s="241"/>
      <c r="D724" s="241"/>
      <c r="E724" s="241"/>
      <c r="F724" s="242"/>
    </row>
    <row r="725" ht="15.75" customHeight="1">
      <c r="A725" s="260"/>
      <c r="B725" s="239"/>
      <c r="C725" s="239"/>
      <c r="D725" s="239"/>
      <c r="E725" s="239"/>
      <c r="F725" s="240"/>
    </row>
    <row r="726" ht="15.75" customHeight="1">
      <c r="A726" s="259"/>
      <c r="B726" s="241"/>
      <c r="C726" s="241"/>
      <c r="D726" s="241"/>
      <c r="E726" s="241"/>
      <c r="F726" s="242"/>
    </row>
    <row r="727" ht="15.75" customHeight="1">
      <c r="A727" s="260"/>
      <c r="B727" s="239"/>
      <c r="C727" s="239"/>
      <c r="D727" s="239"/>
      <c r="E727" s="239"/>
      <c r="F727" s="240"/>
    </row>
    <row r="728" ht="15.75" customHeight="1">
      <c r="A728" s="259"/>
      <c r="B728" s="241"/>
      <c r="C728" s="241"/>
      <c r="D728" s="241"/>
      <c r="E728" s="241"/>
      <c r="F728" s="242"/>
    </row>
    <row r="729" ht="15.75" customHeight="1">
      <c r="A729" s="260"/>
      <c r="B729" s="239"/>
      <c r="C729" s="239"/>
      <c r="D729" s="239"/>
      <c r="E729" s="239"/>
      <c r="F729" s="240"/>
    </row>
    <row r="730" ht="15.75" customHeight="1">
      <c r="A730" s="259"/>
      <c r="B730" s="241"/>
      <c r="C730" s="241"/>
      <c r="D730" s="241"/>
      <c r="E730" s="241"/>
      <c r="F730" s="242"/>
    </row>
    <row r="731" ht="15.75" customHeight="1">
      <c r="A731" s="260"/>
      <c r="B731" s="239"/>
      <c r="C731" s="239"/>
      <c r="D731" s="239"/>
      <c r="E731" s="239"/>
      <c r="F731" s="240"/>
    </row>
    <row r="732" ht="15.75" customHeight="1">
      <c r="A732" s="259"/>
      <c r="B732" s="241"/>
      <c r="C732" s="241"/>
      <c r="D732" s="241"/>
      <c r="E732" s="241"/>
      <c r="F732" s="242"/>
    </row>
    <row r="733" ht="15.75" customHeight="1">
      <c r="A733" s="260"/>
      <c r="B733" s="239"/>
      <c r="C733" s="239"/>
      <c r="D733" s="239"/>
      <c r="E733" s="239"/>
      <c r="F733" s="240"/>
    </row>
    <row r="734" ht="15.75" customHeight="1">
      <c r="A734" s="259"/>
      <c r="B734" s="241"/>
      <c r="C734" s="241"/>
      <c r="D734" s="241"/>
      <c r="E734" s="241"/>
      <c r="F734" s="242"/>
    </row>
    <row r="735" ht="15.75" customHeight="1">
      <c r="A735" s="260"/>
      <c r="B735" s="239"/>
      <c r="C735" s="239"/>
      <c r="D735" s="239"/>
      <c r="E735" s="239"/>
      <c r="F735" s="240"/>
    </row>
    <row r="736" ht="15.75" customHeight="1">
      <c r="A736" s="259"/>
      <c r="B736" s="241"/>
      <c r="C736" s="241"/>
      <c r="D736" s="241"/>
      <c r="E736" s="241"/>
      <c r="F736" s="242"/>
    </row>
    <row r="737" ht="15.75" customHeight="1">
      <c r="A737" s="260"/>
      <c r="B737" s="239"/>
      <c r="C737" s="239"/>
      <c r="D737" s="239"/>
      <c r="E737" s="239"/>
      <c r="F737" s="240"/>
    </row>
    <row r="738" ht="15.75" customHeight="1">
      <c r="A738" s="259"/>
      <c r="B738" s="241"/>
      <c r="C738" s="241"/>
      <c r="D738" s="241"/>
      <c r="E738" s="241"/>
      <c r="F738" s="242"/>
    </row>
    <row r="739" ht="15.75" customHeight="1">
      <c r="A739" s="260"/>
      <c r="B739" s="239"/>
      <c r="C739" s="239"/>
      <c r="D739" s="239"/>
      <c r="E739" s="239"/>
      <c r="F739" s="240"/>
    </row>
    <row r="740" ht="15.75" customHeight="1">
      <c r="A740" s="259"/>
      <c r="B740" s="241"/>
      <c r="C740" s="241"/>
      <c r="D740" s="241"/>
      <c r="E740" s="241"/>
      <c r="F740" s="242"/>
    </row>
    <row r="741" ht="15.75" customHeight="1">
      <c r="A741" s="260"/>
      <c r="B741" s="239"/>
      <c r="C741" s="239"/>
      <c r="D741" s="239"/>
      <c r="E741" s="239"/>
      <c r="F741" s="240"/>
    </row>
    <row r="742" ht="15.75" customHeight="1">
      <c r="A742" s="259"/>
      <c r="B742" s="241"/>
      <c r="C742" s="241"/>
      <c r="D742" s="241"/>
      <c r="E742" s="241"/>
      <c r="F742" s="242"/>
    </row>
    <row r="743" ht="15.75" customHeight="1">
      <c r="A743" s="260"/>
      <c r="B743" s="239"/>
      <c r="C743" s="239"/>
      <c r="D743" s="239"/>
      <c r="E743" s="239"/>
      <c r="F743" s="240"/>
    </row>
    <row r="744" ht="15.75" customHeight="1">
      <c r="A744" s="259"/>
      <c r="B744" s="241"/>
      <c r="C744" s="241"/>
      <c r="D744" s="241"/>
      <c r="E744" s="241"/>
      <c r="F744" s="242"/>
    </row>
    <row r="745" ht="15.75" customHeight="1">
      <c r="A745" s="260"/>
      <c r="B745" s="239"/>
      <c r="C745" s="239"/>
      <c r="D745" s="239"/>
      <c r="E745" s="239"/>
      <c r="F745" s="240"/>
    </row>
    <row r="746" ht="15.75" customHeight="1">
      <c r="A746" s="259"/>
      <c r="B746" s="241"/>
      <c r="C746" s="241"/>
      <c r="D746" s="241"/>
      <c r="E746" s="241"/>
      <c r="F746" s="242"/>
    </row>
    <row r="747" ht="15.75" customHeight="1">
      <c r="A747" s="260"/>
      <c r="B747" s="239"/>
      <c r="C747" s="239"/>
      <c r="D747" s="239"/>
      <c r="E747" s="239"/>
      <c r="F747" s="240"/>
    </row>
    <row r="748" ht="15.75" customHeight="1">
      <c r="A748" s="259"/>
      <c r="B748" s="241"/>
      <c r="C748" s="241"/>
      <c r="D748" s="241"/>
      <c r="E748" s="241"/>
      <c r="F748" s="242"/>
    </row>
    <row r="749" ht="15.75" customHeight="1">
      <c r="A749" s="260"/>
      <c r="B749" s="239"/>
      <c r="C749" s="239"/>
      <c r="D749" s="239"/>
      <c r="E749" s="239"/>
      <c r="F749" s="240"/>
    </row>
    <row r="750" ht="15.75" customHeight="1">
      <c r="A750" s="259"/>
      <c r="B750" s="241"/>
      <c r="C750" s="241"/>
      <c r="D750" s="241"/>
      <c r="E750" s="241"/>
      <c r="F750" s="242"/>
    </row>
    <row r="751" ht="15.75" customHeight="1">
      <c r="A751" s="260"/>
      <c r="B751" s="239"/>
      <c r="C751" s="239"/>
      <c r="D751" s="239"/>
      <c r="E751" s="239"/>
      <c r="F751" s="240"/>
    </row>
    <row r="752" ht="15.75" customHeight="1">
      <c r="A752" s="259"/>
      <c r="B752" s="241"/>
      <c r="C752" s="241"/>
      <c r="D752" s="241"/>
      <c r="E752" s="241"/>
      <c r="F752" s="242"/>
    </row>
    <row r="753" ht="15.75" customHeight="1">
      <c r="A753" s="260"/>
      <c r="B753" s="239"/>
      <c r="C753" s="239"/>
      <c r="D753" s="239"/>
      <c r="E753" s="239"/>
      <c r="F753" s="240"/>
    </row>
    <row r="754" ht="15.75" customHeight="1">
      <c r="A754" s="259"/>
      <c r="B754" s="241"/>
      <c r="C754" s="241"/>
      <c r="D754" s="241"/>
      <c r="E754" s="241"/>
      <c r="F754" s="242"/>
    </row>
    <row r="755" ht="15.75" customHeight="1">
      <c r="A755" s="260"/>
      <c r="B755" s="239"/>
      <c r="C755" s="239"/>
      <c r="D755" s="239"/>
      <c r="E755" s="239"/>
      <c r="F755" s="240"/>
    </row>
    <row r="756" ht="15.75" customHeight="1">
      <c r="A756" s="259"/>
      <c r="B756" s="241"/>
      <c r="C756" s="241"/>
      <c r="D756" s="241"/>
      <c r="E756" s="241"/>
      <c r="F756" s="242"/>
    </row>
    <row r="757" ht="15.75" customHeight="1">
      <c r="A757" s="260"/>
      <c r="B757" s="239"/>
      <c r="C757" s="239"/>
      <c r="D757" s="239"/>
      <c r="E757" s="239"/>
      <c r="F757" s="240"/>
    </row>
    <row r="758" ht="15.75" customHeight="1">
      <c r="A758" s="259"/>
      <c r="B758" s="241"/>
      <c r="C758" s="241"/>
      <c r="D758" s="241"/>
      <c r="E758" s="241"/>
      <c r="F758" s="242"/>
    </row>
    <row r="759" ht="15.75" customHeight="1">
      <c r="A759" s="260"/>
      <c r="B759" s="239"/>
      <c r="C759" s="239"/>
      <c r="D759" s="239"/>
      <c r="E759" s="239"/>
      <c r="F759" s="240"/>
    </row>
    <row r="760" ht="15.75" customHeight="1">
      <c r="A760" s="259"/>
      <c r="B760" s="241"/>
      <c r="C760" s="241"/>
      <c r="D760" s="241"/>
      <c r="E760" s="241"/>
      <c r="F760" s="242"/>
    </row>
    <row r="761" ht="15.75" customHeight="1">
      <c r="A761" s="260"/>
      <c r="B761" s="239"/>
      <c r="C761" s="239"/>
      <c r="D761" s="239"/>
      <c r="E761" s="239"/>
      <c r="F761" s="240"/>
    </row>
    <row r="762" ht="15.75" customHeight="1">
      <c r="A762" s="259"/>
      <c r="B762" s="241"/>
      <c r="C762" s="241"/>
      <c r="D762" s="241"/>
      <c r="E762" s="241"/>
      <c r="F762" s="242"/>
    </row>
    <row r="763" ht="15.75" customHeight="1">
      <c r="A763" s="260"/>
      <c r="B763" s="239"/>
      <c r="C763" s="239"/>
      <c r="D763" s="239"/>
      <c r="E763" s="239"/>
      <c r="F763" s="240"/>
    </row>
    <row r="764" ht="15.75" customHeight="1">
      <c r="A764" s="259"/>
      <c r="B764" s="241"/>
      <c r="C764" s="241"/>
      <c r="D764" s="241"/>
      <c r="E764" s="241"/>
      <c r="F764" s="242"/>
    </row>
    <row r="765" ht="15.75" customHeight="1">
      <c r="A765" s="260"/>
      <c r="B765" s="239"/>
      <c r="C765" s="239"/>
      <c r="D765" s="239"/>
      <c r="E765" s="239"/>
      <c r="F765" s="240"/>
    </row>
    <row r="766" ht="15.75" customHeight="1">
      <c r="A766" s="259"/>
      <c r="B766" s="241"/>
      <c r="C766" s="241"/>
      <c r="D766" s="241"/>
      <c r="E766" s="241"/>
      <c r="F766" s="242"/>
    </row>
    <row r="767" ht="15.75" customHeight="1">
      <c r="A767" s="260"/>
      <c r="B767" s="239"/>
      <c r="C767" s="239"/>
      <c r="D767" s="239"/>
      <c r="E767" s="239"/>
      <c r="F767" s="240"/>
    </row>
    <row r="768" ht="15.75" customHeight="1">
      <c r="A768" s="259"/>
      <c r="B768" s="241"/>
      <c r="C768" s="241"/>
      <c r="D768" s="241"/>
      <c r="E768" s="241"/>
      <c r="F768" s="242"/>
    </row>
    <row r="769" ht="15.75" customHeight="1">
      <c r="A769" s="260"/>
      <c r="B769" s="239"/>
      <c r="C769" s="239"/>
      <c r="D769" s="239"/>
      <c r="E769" s="239"/>
      <c r="F769" s="240"/>
    </row>
    <row r="770" ht="15.75" customHeight="1">
      <c r="A770" s="259"/>
      <c r="B770" s="241"/>
      <c r="C770" s="241"/>
      <c r="D770" s="241"/>
      <c r="E770" s="241"/>
      <c r="F770" s="242"/>
    </row>
    <row r="771" ht="15.75" customHeight="1">
      <c r="A771" s="260"/>
      <c r="B771" s="239"/>
      <c r="C771" s="239"/>
      <c r="D771" s="239"/>
      <c r="E771" s="239"/>
      <c r="F771" s="240"/>
    </row>
    <row r="772" ht="15.75" customHeight="1">
      <c r="A772" s="259"/>
      <c r="B772" s="241"/>
      <c r="C772" s="241"/>
      <c r="D772" s="241"/>
      <c r="E772" s="241"/>
      <c r="F772" s="242"/>
    </row>
    <row r="773" ht="15.75" customHeight="1">
      <c r="A773" s="260"/>
      <c r="B773" s="239"/>
      <c r="C773" s="239"/>
      <c r="D773" s="239"/>
      <c r="E773" s="239"/>
      <c r="F773" s="240"/>
    </row>
    <row r="774" ht="15.75" customHeight="1">
      <c r="A774" s="259"/>
      <c r="B774" s="241"/>
      <c r="C774" s="241"/>
      <c r="D774" s="241"/>
      <c r="E774" s="241"/>
      <c r="F774" s="242"/>
    </row>
    <row r="775" ht="15.75" customHeight="1">
      <c r="A775" s="260"/>
      <c r="B775" s="239"/>
      <c r="C775" s="239"/>
      <c r="D775" s="239"/>
      <c r="E775" s="239"/>
      <c r="F775" s="240"/>
    </row>
    <row r="776" ht="15.75" customHeight="1">
      <c r="A776" s="259"/>
      <c r="B776" s="241"/>
      <c r="C776" s="241"/>
      <c r="D776" s="241"/>
      <c r="E776" s="241"/>
      <c r="F776" s="242"/>
    </row>
    <row r="777" ht="15.75" customHeight="1">
      <c r="A777" s="260"/>
      <c r="B777" s="239"/>
      <c r="C777" s="239"/>
      <c r="D777" s="239"/>
      <c r="E777" s="239"/>
      <c r="F777" s="240"/>
    </row>
    <row r="778" ht="15.75" customHeight="1">
      <c r="A778" s="259"/>
      <c r="B778" s="241"/>
      <c r="C778" s="241"/>
      <c r="D778" s="241"/>
      <c r="E778" s="241"/>
      <c r="F778" s="242"/>
    </row>
    <row r="779" ht="15.75" customHeight="1">
      <c r="A779" s="260"/>
      <c r="B779" s="239"/>
      <c r="C779" s="239"/>
      <c r="D779" s="239"/>
      <c r="E779" s="239"/>
      <c r="F779" s="240"/>
    </row>
    <row r="780" ht="15.75" customHeight="1">
      <c r="A780" s="259"/>
      <c r="B780" s="241"/>
      <c r="C780" s="241"/>
      <c r="D780" s="241"/>
      <c r="E780" s="241"/>
      <c r="F780" s="242"/>
    </row>
    <row r="781" ht="15.75" customHeight="1">
      <c r="A781" s="260"/>
      <c r="B781" s="239"/>
      <c r="C781" s="239"/>
      <c r="D781" s="239"/>
      <c r="E781" s="239"/>
      <c r="F781" s="240"/>
    </row>
    <row r="782" ht="15.75" customHeight="1">
      <c r="A782" s="259"/>
      <c r="B782" s="241"/>
      <c r="C782" s="241"/>
      <c r="D782" s="241"/>
      <c r="E782" s="241"/>
      <c r="F782" s="242"/>
    </row>
    <row r="783" ht="15.75" customHeight="1">
      <c r="A783" s="260"/>
      <c r="B783" s="239"/>
      <c r="C783" s="239"/>
      <c r="D783" s="239"/>
      <c r="E783" s="239"/>
      <c r="F783" s="240"/>
    </row>
    <row r="784" ht="15.75" customHeight="1">
      <c r="A784" s="259"/>
      <c r="B784" s="241"/>
      <c r="C784" s="241"/>
      <c r="D784" s="241"/>
      <c r="E784" s="241"/>
      <c r="F784" s="242"/>
    </row>
    <row r="785" ht="15.75" customHeight="1">
      <c r="A785" s="260"/>
      <c r="B785" s="239"/>
      <c r="C785" s="239"/>
      <c r="D785" s="239"/>
      <c r="E785" s="239"/>
      <c r="F785" s="240"/>
    </row>
    <row r="786" ht="15.75" customHeight="1">
      <c r="A786" s="259"/>
      <c r="B786" s="241"/>
      <c r="C786" s="241"/>
      <c r="D786" s="241"/>
      <c r="E786" s="241"/>
      <c r="F786" s="242"/>
    </row>
    <row r="787" ht="15.75" customHeight="1">
      <c r="A787" s="260"/>
      <c r="B787" s="239"/>
      <c r="C787" s="239"/>
      <c r="D787" s="239"/>
      <c r="E787" s="239"/>
      <c r="F787" s="240"/>
    </row>
    <row r="788" ht="15.75" customHeight="1">
      <c r="A788" s="259"/>
      <c r="B788" s="241"/>
      <c r="C788" s="241"/>
      <c r="D788" s="241"/>
      <c r="E788" s="241"/>
      <c r="F788" s="242"/>
    </row>
    <row r="789" ht="15.75" customHeight="1">
      <c r="A789" s="260"/>
      <c r="B789" s="239"/>
      <c r="C789" s="239"/>
      <c r="D789" s="239"/>
      <c r="E789" s="239"/>
      <c r="F789" s="240"/>
    </row>
    <row r="790" ht="15.75" customHeight="1">
      <c r="A790" s="259"/>
      <c r="B790" s="241"/>
      <c r="C790" s="241"/>
      <c r="D790" s="241"/>
      <c r="E790" s="241"/>
      <c r="F790" s="242"/>
    </row>
    <row r="791" ht="15.75" customHeight="1">
      <c r="A791" s="260"/>
      <c r="B791" s="239"/>
      <c r="C791" s="239"/>
      <c r="D791" s="239"/>
      <c r="E791" s="239"/>
      <c r="F791" s="240"/>
    </row>
    <row r="792" ht="15.75" customHeight="1">
      <c r="A792" s="259"/>
      <c r="B792" s="241"/>
      <c r="C792" s="241"/>
      <c r="D792" s="241"/>
      <c r="E792" s="241"/>
      <c r="F792" s="242"/>
    </row>
    <row r="793" ht="15.75" customHeight="1">
      <c r="A793" s="260"/>
      <c r="B793" s="239"/>
      <c r="C793" s="239"/>
      <c r="D793" s="239"/>
      <c r="E793" s="239"/>
      <c r="F793" s="240"/>
    </row>
    <row r="794" ht="15.75" customHeight="1">
      <c r="A794" s="259"/>
      <c r="B794" s="241"/>
      <c r="C794" s="241"/>
      <c r="D794" s="241"/>
      <c r="E794" s="241"/>
      <c r="F794" s="242"/>
    </row>
    <row r="795" ht="15.75" customHeight="1">
      <c r="A795" s="260"/>
      <c r="B795" s="239"/>
      <c r="C795" s="239"/>
      <c r="D795" s="239"/>
      <c r="E795" s="239"/>
      <c r="F795" s="240"/>
    </row>
    <row r="796" ht="15.75" customHeight="1">
      <c r="A796" s="259"/>
      <c r="B796" s="241"/>
      <c r="C796" s="241"/>
      <c r="D796" s="241"/>
      <c r="E796" s="241"/>
      <c r="F796" s="242"/>
    </row>
    <row r="797" ht="15.75" customHeight="1">
      <c r="A797" s="260"/>
      <c r="B797" s="239"/>
      <c r="C797" s="239"/>
      <c r="D797" s="239"/>
      <c r="E797" s="239"/>
      <c r="F797" s="240"/>
    </row>
    <row r="798" ht="15.75" customHeight="1">
      <c r="A798" s="259"/>
      <c r="B798" s="241"/>
      <c r="C798" s="241"/>
      <c r="D798" s="241"/>
      <c r="E798" s="241"/>
      <c r="F798" s="242"/>
    </row>
    <row r="799" ht="15.75" customHeight="1">
      <c r="A799" s="260"/>
      <c r="B799" s="239"/>
      <c r="C799" s="239"/>
      <c r="D799" s="239"/>
      <c r="E799" s="239"/>
      <c r="F799" s="240"/>
    </row>
    <row r="800" ht="15.75" customHeight="1">
      <c r="A800" s="259"/>
      <c r="B800" s="241"/>
      <c r="C800" s="241"/>
      <c r="D800" s="241"/>
      <c r="E800" s="241"/>
      <c r="F800" s="242"/>
    </row>
    <row r="801" ht="15.75" customHeight="1">
      <c r="A801" s="260"/>
      <c r="B801" s="239"/>
      <c r="C801" s="239"/>
      <c r="D801" s="239"/>
      <c r="E801" s="239"/>
      <c r="F801" s="240"/>
    </row>
    <row r="802" ht="15.75" customHeight="1">
      <c r="A802" s="259"/>
      <c r="B802" s="241"/>
      <c r="C802" s="241"/>
      <c r="D802" s="241"/>
      <c r="E802" s="241"/>
      <c r="F802" s="242"/>
    </row>
    <row r="803" ht="15.75" customHeight="1">
      <c r="A803" s="260"/>
      <c r="B803" s="239"/>
      <c r="C803" s="239"/>
      <c r="D803" s="239"/>
      <c r="E803" s="239"/>
      <c r="F803" s="240"/>
    </row>
    <row r="804" ht="15.75" customHeight="1">
      <c r="A804" s="259"/>
      <c r="B804" s="241"/>
      <c r="C804" s="241"/>
      <c r="D804" s="241"/>
      <c r="E804" s="241"/>
      <c r="F804" s="242"/>
    </row>
    <row r="805" ht="15.75" customHeight="1">
      <c r="A805" s="260"/>
      <c r="B805" s="239"/>
      <c r="C805" s="239"/>
      <c r="D805" s="239"/>
      <c r="E805" s="239"/>
      <c r="F805" s="240"/>
    </row>
    <row r="806" ht="15.75" customHeight="1">
      <c r="A806" s="259"/>
      <c r="B806" s="241"/>
      <c r="C806" s="241"/>
      <c r="D806" s="241"/>
      <c r="E806" s="241"/>
      <c r="F806" s="242"/>
    </row>
    <row r="807" ht="15.75" customHeight="1">
      <c r="A807" s="260"/>
      <c r="B807" s="239"/>
      <c r="C807" s="239"/>
      <c r="D807" s="239"/>
      <c r="E807" s="239"/>
      <c r="F807" s="240"/>
    </row>
    <row r="808" ht="15.75" customHeight="1">
      <c r="A808" s="259"/>
      <c r="B808" s="241"/>
      <c r="C808" s="241"/>
      <c r="D808" s="241"/>
      <c r="E808" s="241"/>
      <c r="F808" s="242"/>
    </row>
    <row r="809" ht="15.75" customHeight="1">
      <c r="A809" s="260"/>
      <c r="B809" s="239"/>
      <c r="C809" s="239"/>
      <c r="D809" s="239"/>
      <c r="E809" s="239"/>
      <c r="F809" s="240"/>
    </row>
    <row r="810" ht="15.75" customHeight="1">
      <c r="A810" s="259"/>
      <c r="B810" s="241"/>
      <c r="C810" s="241"/>
      <c r="D810" s="241"/>
      <c r="E810" s="241"/>
      <c r="F810" s="242"/>
    </row>
    <row r="811" ht="15.75" customHeight="1">
      <c r="A811" s="260"/>
      <c r="B811" s="239"/>
      <c r="C811" s="239"/>
      <c r="D811" s="239"/>
      <c r="E811" s="239"/>
      <c r="F811" s="240"/>
    </row>
    <row r="812" ht="15.75" customHeight="1">
      <c r="A812" s="259"/>
      <c r="B812" s="241"/>
      <c r="C812" s="241"/>
      <c r="D812" s="241"/>
      <c r="E812" s="241"/>
      <c r="F812" s="242"/>
    </row>
    <row r="813" ht="15.75" customHeight="1">
      <c r="A813" s="260"/>
      <c r="B813" s="239"/>
      <c r="C813" s="239"/>
      <c r="D813" s="239"/>
      <c r="E813" s="239"/>
      <c r="F813" s="240"/>
    </row>
    <row r="814" ht="15.75" customHeight="1">
      <c r="A814" s="259"/>
      <c r="B814" s="241"/>
      <c r="C814" s="241"/>
      <c r="D814" s="241"/>
      <c r="E814" s="241"/>
      <c r="F814" s="242"/>
    </row>
    <row r="815" ht="15.75" customHeight="1">
      <c r="A815" s="260"/>
      <c r="B815" s="239"/>
      <c r="C815" s="239"/>
      <c r="D815" s="239"/>
      <c r="E815" s="239"/>
      <c r="F815" s="240"/>
    </row>
    <row r="816" ht="15.75" customHeight="1">
      <c r="A816" s="259"/>
      <c r="B816" s="241"/>
      <c r="C816" s="241"/>
      <c r="D816" s="241"/>
      <c r="E816" s="241"/>
      <c r="F816" s="242"/>
    </row>
    <row r="817" ht="15.75" customHeight="1">
      <c r="A817" s="260"/>
      <c r="B817" s="239"/>
      <c r="C817" s="239"/>
      <c r="D817" s="239"/>
      <c r="E817" s="239"/>
      <c r="F817" s="240"/>
    </row>
    <row r="818" ht="15.75" customHeight="1">
      <c r="A818" s="259"/>
      <c r="B818" s="241"/>
      <c r="C818" s="241"/>
      <c r="D818" s="241"/>
      <c r="E818" s="241"/>
      <c r="F818" s="242"/>
    </row>
    <row r="819" ht="15.75" customHeight="1">
      <c r="A819" s="260"/>
      <c r="B819" s="239"/>
      <c r="C819" s="239"/>
      <c r="D819" s="239"/>
      <c r="E819" s="239"/>
      <c r="F819" s="240"/>
    </row>
    <row r="820" ht="15.75" customHeight="1">
      <c r="A820" s="259"/>
      <c r="B820" s="241"/>
      <c r="C820" s="241"/>
      <c r="D820" s="241"/>
      <c r="E820" s="241"/>
      <c r="F820" s="242"/>
    </row>
    <row r="821" ht="15.75" customHeight="1">
      <c r="A821" s="260"/>
      <c r="B821" s="239"/>
      <c r="C821" s="239"/>
      <c r="D821" s="239"/>
      <c r="E821" s="239"/>
      <c r="F821" s="240"/>
    </row>
    <row r="822" ht="15.75" customHeight="1">
      <c r="A822" s="259"/>
      <c r="B822" s="241"/>
      <c r="C822" s="241"/>
      <c r="D822" s="241"/>
      <c r="E822" s="241"/>
      <c r="F822" s="242"/>
    </row>
    <row r="823" ht="15.75" customHeight="1">
      <c r="A823" s="260"/>
      <c r="B823" s="239"/>
      <c r="C823" s="239"/>
      <c r="D823" s="239"/>
      <c r="E823" s="239"/>
      <c r="F823" s="240"/>
    </row>
    <row r="824" ht="15.75" customHeight="1">
      <c r="A824" s="259"/>
      <c r="B824" s="241"/>
      <c r="C824" s="241"/>
      <c r="D824" s="241"/>
      <c r="E824" s="241"/>
      <c r="F824" s="242"/>
    </row>
    <row r="825" ht="15.75" customHeight="1">
      <c r="A825" s="260"/>
      <c r="B825" s="239"/>
      <c r="C825" s="239"/>
      <c r="D825" s="239"/>
      <c r="E825" s="239"/>
      <c r="F825" s="240"/>
    </row>
    <row r="826" ht="15.75" customHeight="1">
      <c r="A826" s="259"/>
      <c r="B826" s="241"/>
      <c r="C826" s="241"/>
      <c r="D826" s="241"/>
      <c r="E826" s="241"/>
      <c r="F826" s="242"/>
    </row>
    <row r="827" ht="15.75" customHeight="1">
      <c r="A827" s="260"/>
      <c r="B827" s="239"/>
      <c r="C827" s="239"/>
      <c r="D827" s="239"/>
      <c r="E827" s="239"/>
      <c r="F827" s="240"/>
    </row>
    <row r="828" ht="15.75" customHeight="1">
      <c r="A828" s="259"/>
      <c r="B828" s="241"/>
      <c r="C828" s="241"/>
      <c r="D828" s="241"/>
      <c r="E828" s="241"/>
      <c r="F828" s="242"/>
    </row>
    <row r="829" ht="15.75" customHeight="1">
      <c r="A829" s="260"/>
      <c r="B829" s="239"/>
      <c r="C829" s="239"/>
      <c r="D829" s="239"/>
      <c r="E829" s="239"/>
      <c r="F829" s="240"/>
    </row>
    <row r="830" ht="15.75" customHeight="1">
      <c r="A830" s="259"/>
      <c r="B830" s="241"/>
      <c r="C830" s="241"/>
      <c r="D830" s="241"/>
      <c r="E830" s="241"/>
      <c r="F830" s="242"/>
    </row>
    <row r="831" ht="15.75" customHeight="1">
      <c r="A831" s="260"/>
      <c r="B831" s="239"/>
      <c r="C831" s="239"/>
      <c r="D831" s="239"/>
      <c r="E831" s="239"/>
      <c r="F831" s="240"/>
    </row>
    <row r="832" ht="15.75" customHeight="1">
      <c r="A832" s="259"/>
      <c r="B832" s="241"/>
      <c r="C832" s="241"/>
      <c r="D832" s="241"/>
      <c r="E832" s="241"/>
      <c r="F832" s="242"/>
    </row>
    <row r="833" ht="15.75" customHeight="1">
      <c r="A833" s="260"/>
      <c r="B833" s="239"/>
      <c r="C833" s="239"/>
      <c r="D833" s="239"/>
      <c r="E833" s="239"/>
      <c r="F833" s="240"/>
    </row>
    <row r="834" ht="15.75" customHeight="1">
      <c r="A834" s="259"/>
      <c r="B834" s="241"/>
      <c r="C834" s="241"/>
      <c r="D834" s="241"/>
      <c r="E834" s="241"/>
      <c r="F834" s="242"/>
    </row>
    <row r="835" ht="15.75" customHeight="1">
      <c r="A835" s="260"/>
      <c r="B835" s="239"/>
      <c r="C835" s="239"/>
      <c r="D835" s="239"/>
      <c r="E835" s="239"/>
      <c r="F835" s="240"/>
    </row>
    <row r="836" ht="15.75" customHeight="1">
      <c r="A836" s="259"/>
      <c r="B836" s="241"/>
      <c r="C836" s="241"/>
      <c r="D836" s="241"/>
      <c r="E836" s="241"/>
      <c r="F836" s="242"/>
    </row>
    <row r="837" ht="15.75" customHeight="1">
      <c r="A837" s="260"/>
      <c r="B837" s="239"/>
      <c r="C837" s="239"/>
      <c r="D837" s="239"/>
      <c r="E837" s="239"/>
      <c r="F837" s="240"/>
    </row>
    <row r="838" ht="15.75" customHeight="1">
      <c r="A838" s="259"/>
      <c r="B838" s="241"/>
      <c r="C838" s="241"/>
      <c r="D838" s="241"/>
      <c r="E838" s="241"/>
      <c r="F838" s="242"/>
    </row>
    <row r="839" ht="15.75" customHeight="1">
      <c r="A839" s="260"/>
      <c r="B839" s="239"/>
      <c r="C839" s="239"/>
      <c r="D839" s="239"/>
      <c r="E839" s="239"/>
      <c r="F839" s="240"/>
    </row>
    <row r="840" ht="15.75" customHeight="1">
      <c r="A840" s="259"/>
      <c r="B840" s="241"/>
      <c r="C840" s="241"/>
      <c r="D840" s="241"/>
      <c r="E840" s="241"/>
      <c r="F840" s="242"/>
    </row>
    <row r="841" ht="15.75" customHeight="1">
      <c r="A841" s="260"/>
      <c r="B841" s="239"/>
      <c r="C841" s="239"/>
      <c r="D841" s="239"/>
      <c r="E841" s="239"/>
      <c r="F841" s="240"/>
    </row>
    <row r="842" ht="15.75" customHeight="1">
      <c r="A842" s="259"/>
      <c r="B842" s="241"/>
      <c r="C842" s="241"/>
      <c r="D842" s="241"/>
      <c r="E842" s="241"/>
      <c r="F842" s="242"/>
    </row>
    <row r="843" ht="15.75" customHeight="1">
      <c r="A843" s="260"/>
      <c r="B843" s="239"/>
      <c r="C843" s="239"/>
      <c r="D843" s="239"/>
      <c r="E843" s="239"/>
      <c r="F843" s="240"/>
    </row>
    <row r="844" ht="15.75" customHeight="1">
      <c r="A844" s="259"/>
      <c r="B844" s="241"/>
      <c r="C844" s="241"/>
      <c r="D844" s="241"/>
      <c r="E844" s="241"/>
      <c r="F844" s="242"/>
    </row>
    <row r="845" ht="15.75" customHeight="1">
      <c r="A845" s="260"/>
      <c r="B845" s="239"/>
      <c r="C845" s="239"/>
      <c r="D845" s="239"/>
      <c r="E845" s="239"/>
      <c r="F845" s="240"/>
    </row>
    <row r="846" ht="15.75" customHeight="1">
      <c r="A846" s="259"/>
      <c r="B846" s="241"/>
      <c r="C846" s="241"/>
      <c r="D846" s="241"/>
      <c r="E846" s="241"/>
      <c r="F846" s="242"/>
    </row>
    <row r="847" ht="15.75" customHeight="1">
      <c r="A847" s="260"/>
      <c r="B847" s="239"/>
      <c r="C847" s="239"/>
      <c r="D847" s="239"/>
      <c r="E847" s="239"/>
      <c r="F847" s="240"/>
    </row>
    <row r="848" ht="15.75" customHeight="1">
      <c r="A848" s="259"/>
      <c r="B848" s="241"/>
      <c r="C848" s="241"/>
      <c r="D848" s="241"/>
      <c r="E848" s="241"/>
      <c r="F848" s="242"/>
    </row>
    <row r="849" ht="15.75" customHeight="1">
      <c r="A849" s="260"/>
      <c r="B849" s="239"/>
      <c r="C849" s="239"/>
      <c r="D849" s="239"/>
      <c r="E849" s="239"/>
      <c r="F849" s="240"/>
    </row>
    <row r="850" ht="15.75" customHeight="1">
      <c r="A850" s="259"/>
      <c r="B850" s="241"/>
      <c r="C850" s="241"/>
      <c r="D850" s="241"/>
      <c r="E850" s="241"/>
      <c r="F850" s="242"/>
    </row>
    <row r="851" ht="15.75" customHeight="1">
      <c r="A851" s="260"/>
      <c r="B851" s="239"/>
      <c r="C851" s="239"/>
      <c r="D851" s="239"/>
      <c r="E851" s="239"/>
      <c r="F851" s="240"/>
    </row>
    <row r="852" ht="15.75" customHeight="1">
      <c r="A852" s="259"/>
      <c r="B852" s="241"/>
      <c r="C852" s="241"/>
      <c r="D852" s="241"/>
      <c r="E852" s="241"/>
      <c r="F852" s="242"/>
    </row>
    <row r="853" ht="15.75" customHeight="1">
      <c r="A853" s="260"/>
      <c r="B853" s="239"/>
      <c r="C853" s="239"/>
      <c r="D853" s="239"/>
      <c r="E853" s="239"/>
      <c r="F853" s="240"/>
    </row>
    <row r="854" ht="15.75" customHeight="1">
      <c r="A854" s="259"/>
      <c r="B854" s="241"/>
      <c r="C854" s="241"/>
      <c r="D854" s="241"/>
      <c r="E854" s="241"/>
      <c r="F854" s="242"/>
    </row>
    <row r="855" ht="15.75" customHeight="1">
      <c r="A855" s="260"/>
      <c r="B855" s="239"/>
      <c r="C855" s="239"/>
      <c r="D855" s="239"/>
      <c r="E855" s="239"/>
      <c r="F855" s="240"/>
    </row>
    <row r="856" ht="15.75" customHeight="1">
      <c r="A856" s="259"/>
      <c r="B856" s="241"/>
      <c r="C856" s="241"/>
      <c r="D856" s="241"/>
      <c r="E856" s="241"/>
      <c r="F856" s="242"/>
    </row>
    <row r="857" ht="15.75" customHeight="1">
      <c r="A857" s="260"/>
      <c r="B857" s="239"/>
      <c r="C857" s="239"/>
      <c r="D857" s="239"/>
      <c r="E857" s="239"/>
      <c r="F857" s="240"/>
    </row>
    <row r="858" ht="15.75" customHeight="1">
      <c r="A858" s="259"/>
      <c r="B858" s="241"/>
      <c r="C858" s="241"/>
      <c r="D858" s="241"/>
      <c r="E858" s="241"/>
      <c r="F858" s="242"/>
    </row>
    <row r="859" ht="15.75" customHeight="1">
      <c r="A859" s="260"/>
      <c r="B859" s="239"/>
      <c r="C859" s="239"/>
      <c r="D859" s="239"/>
      <c r="E859" s="239"/>
      <c r="F859" s="240"/>
    </row>
    <row r="860" ht="15.75" customHeight="1">
      <c r="A860" s="259"/>
      <c r="B860" s="241"/>
      <c r="C860" s="241"/>
      <c r="D860" s="241"/>
      <c r="E860" s="241"/>
      <c r="F860" s="242"/>
    </row>
    <row r="861" ht="15.75" customHeight="1">
      <c r="A861" s="260"/>
      <c r="B861" s="239"/>
      <c r="C861" s="239"/>
      <c r="D861" s="239"/>
      <c r="E861" s="239"/>
      <c r="F861" s="240"/>
    </row>
    <row r="862" ht="15.75" customHeight="1">
      <c r="A862" s="259"/>
      <c r="B862" s="241"/>
      <c r="C862" s="241"/>
      <c r="D862" s="241"/>
      <c r="E862" s="241"/>
      <c r="F862" s="242"/>
    </row>
    <row r="863" ht="15.75" customHeight="1">
      <c r="A863" s="260"/>
      <c r="B863" s="239"/>
      <c r="C863" s="239"/>
      <c r="D863" s="239"/>
      <c r="E863" s="239"/>
      <c r="F863" s="240"/>
    </row>
    <row r="864" ht="15.75" customHeight="1">
      <c r="A864" s="259"/>
      <c r="B864" s="241"/>
      <c r="C864" s="241"/>
      <c r="D864" s="241"/>
      <c r="E864" s="241"/>
      <c r="F864" s="242"/>
    </row>
    <row r="865" ht="15.75" customHeight="1">
      <c r="A865" s="260"/>
      <c r="B865" s="239"/>
      <c r="C865" s="239"/>
      <c r="D865" s="239"/>
      <c r="E865" s="239"/>
      <c r="F865" s="240"/>
    </row>
    <row r="866" ht="15.75" customHeight="1">
      <c r="A866" s="259"/>
      <c r="B866" s="241"/>
      <c r="C866" s="241"/>
      <c r="D866" s="241"/>
      <c r="E866" s="241"/>
      <c r="F866" s="242"/>
    </row>
    <row r="867" ht="15.75" customHeight="1">
      <c r="A867" s="260"/>
      <c r="B867" s="239"/>
      <c r="C867" s="239"/>
      <c r="D867" s="239"/>
      <c r="E867" s="239"/>
      <c r="F867" s="240"/>
    </row>
    <row r="868" ht="15.75" customHeight="1">
      <c r="A868" s="259"/>
      <c r="B868" s="241"/>
      <c r="C868" s="241"/>
      <c r="D868" s="241"/>
      <c r="E868" s="241"/>
      <c r="F868" s="242"/>
    </row>
    <row r="869" ht="15.75" customHeight="1">
      <c r="A869" s="260"/>
      <c r="B869" s="239"/>
      <c r="C869" s="239"/>
      <c r="D869" s="239"/>
      <c r="E869" s="239"/>
      <c r="F869" s="240"/>
    </row>
    <row r="870" ht="15.75" customHeight="1">
      <c r="A870" s="259"/>
      <c r="B870" s="241"/>
      <c r="C870" s="241"/>
      <c r="D870" s="241"/>
      <c r="E870" s="241"/>
      <c r="F870" s="242"/>
    </row>
    <row r="871" ht="15.75" customHeight="1">
      <c r="A871" s="260"/>
      <c r="B871" s="239"/>
      <c r="C871" s="239"/>
      <c r="D871" s="239"/>
      <c r="E871" s="239"/>
      <c r="F871" s="240"/>
    </row>
    <row r="872" ht="15.75" customHeight="1">
      <c r="A872" s="259"/>
      <c r="B872" s="241"/>
      <c r="C872" s="241"/>
      <c r="D872" s="241"/>
      <c r="E872" s="241"/>
      <c r="F872" s="242"/>
    </row>
    <row r="873" ht="15.75" customHeight="1">
      <c r="A873" s="260"/>
      <c r="B873" s="239"/>
      <c r="C873" s="239"/>
      <c r="D873" s="239"/>
      <c r="E873" s="239"/>
      <c r="F873" s="240"/>
    </row>
    <row r="874" ht="15.75" customHeight="1">
      <c r="A874" s="259"/>
      <c r="B874" s="241"/>
      <c r="C874" s="241"/>
      <c r="D874" s="241"/>
      <c r="E874" s="241"/>
      <c r="F874" s="242"/>
    </row>
    <row r="875" ht="15.75" customHeight="1">
      <c r="A875" s="260"/>
      <c r="B875" s="239"/>
      <c r="C875" s="239"/>
      <c r="D875" s="239"/>
      <c r="E875" s="239"/>
      <c r="F875" s="240"/>
    </row>
    <row r="876" ht="15.75" customHeight="1">
      <c r="A876" s="259"/>
      <c r="B876" s="241"/>
      <c r="C876" s="241"/>
      <c r="D876" s="241"/>
      <c r="E876" s="241"/>
      <c r="F876" s="242"/>
    </row>
    <row r="877" ht="15.75" customHeight="1">
      <c r="A877" s="260"/>
      <c r="B877" s="239"/>
      <c r="C877" s="239"/>
      <c r="D877" s="239"/>
      <c r="E877" s="239"/>
      <c r="F877" s="240"/>
    </row>
    <row r="878" ht="15.75" customHeight="1">
      <c r="A878" s="259"/>
      <c r="B878" s="241"/>
      <c r="C878" s="241"/>
      <c r="D878" s="241"/>
      <c r="E878" s="241"/>
      <c r="F878" s="242"/>
    </row>
    <row r="879" ht="15.75" customHeight="1">
      <c r="A879" s="260"/>
      <c r="B879" s="239"/>
      <c r="C879" s="239"/>
      <c r="D879" s="239"/>
      <c r="E879" s="239"/>
      <c r="F879" s="240"/>
    </row>
    <row r="880" ht="15.75" customHeight="1">
      <c r="A880" s="259"/>
      <c r="B880" s="241"/>
      <c r="C880" s="241"/>
      <c r="D880" s="241"/>
      <c r="E880" s="241"/>
      <c r="F880" s="242"/>
    </row>
    <row r="881" ht="15.75" customHeight="1">
      <c r="A881" s="260"/>
      <c r="B881" s="239"/>
      <c r="C881" s="239"/>
      <c r="D881" s="239"/>
      <c r="E881" s="239"/>
      <c r="F881" s="240"/>
    </row>
    <row r="882" ht="15.75" customHeight="1">
      <c r="A882" s="259"/>
      <c r="B882" s="241"/>
      <c r="C882" s="241"/>
      <c r="D882" s="241"/>
      <c r="E882" s="241"/>
      <c r="F882" s="242"/>
    </row>
    <row r="883" ht="15.75" customHeight="1">
      <c r="A883" s="260"/>
      <c r="B883" s="239"/>
      <c r="C883" s="239"/>
      <c r="D883" s="239"/>
      <c r="E883" s="239"/>
      <c r="F883" s="240"/>
    </row>
    <row r="884" ht="15.75" customHeight="1">
      <c r="A884" s="259"/>
      <c r="B884" s="241"/>
      <c r="C884" s="241"/>
      <c r="D884" s="241"/>
      <c r="E884" s="241"/>
      <c r="F884" s="242"/>
    </row>
    <row r="885" ht="15.75" customHeight="1">
      <c r="A885" s="260"/>
      <c r="B885" s="239"/>
      <c r="C885" s="239"/>
      <c r="D885" s="239"/>
      <c r="E885" s="239"/>
      <c r="F885" s="240"/>
    </row>
    <row r="886" ht="15.75" customHeight="1">
      <c r="A886" s="259"/>
      <c r="B886" s="241"/>
      <c r="C886" s="241"/>
      <c r="D886" s="241"/>
      <c r="E886" s="241"/>
      <c r="F886" s="242"/>
    </row>
    <row r="887" ht="15.75" customHeight="1">
      <c r="A887" s="260"/>
      <c r="B887" s="239"/>
      <c r="C887" s="239"/>
      <c r="D887" s="239"/>
      <c r="E887" s="239"/>
      <c r="F887" s="240"/>
    </row>
    <row r="888" ht="15.75" customHeight="1">
      <c r="A888" s="259"/>
      <c r="B888" s="241"/>
      <c r="C888" s="241"/>
      <c r="D888" s="241"/>
      <c r="E888" s="241"/>
      <c r="F888" s="242"/>
    </row>
    <row r="889" ht="15.75" customHeight="1">
      <c r="A889" s="260"/>
      <c r="B889" s="239"/>
      <c r="C889" s="239"/>
      <c r="D889" s="239"/>
      <c r="E889" s="239"/>
      <c r="F889" s="240"/>
    </row>
    <row r="890" ht="15.75" customHeight="1">
      <c r="A890" s="259"/>
      <c r="B890" s="241"/>
      <c r="C890" s="241"/>
      <c r="D890" s="241"/>
      <c r="E890" s="241"/>
      <c r="F890" s="242"/>
    </row>
    <row r="891" ht="15.75" customHeight="1">
      <c r="A891" s="260"/>
      <c r="B891" s="239"/>
      <c r="C891" s="239"/>
      <c r="D891" s="239"/>
      <c r="E891" s="239"/>
      <c r="F891" s="240"/>
    </row>
    <row r="892" ht="15.75" customHeight="1">
      <c r="A892" s="259"/>
      <c r="B892" s="241"/>
      <c r="C892" s="241"/>
      <c r="D892" s="241"/>
      <c r="E892" s="241"/>
      <c r="F892" s="242"/>
    </row>
    <row r="893" ht="15.75" customHeight="1">
      <c r="A893" s="260"/>
      <c r="B893" s="239"/>
      <c r="C893" s="239"/>
      <c r="D893" s="239"/>
      <c r="E893" s="239"/>
      <c r="F893" s="240"/>
    </row>
    <row r="894" ht="15.75" customHeight="1">
      <c r="A894" s="259"/>
      <c r="B894" s="241"/>
      <c r="C894" s="241"/>
      <c r="D894" s="241"/>
      <c r="E894" s="241"/>
      <c r="F894" s="242"/>
    </row>
    <row r="895" ht="15.75" customHeight="1">
      <c r="A895" s="260"/>
      <c r="B895" s="239"/>
      <c r="C895" s="239"/>
      <c r="D895" s="239"/>
      <c r="E895" s="239"/>
      <c r="F895" s="240"/>
    </row>
    <row r="896" ht="15.75" customHeight="1">
      <c r="A896" s="259"/>
      <c r="B896" s="241"/>
      <c r="C896" s="241"/>
      <c r="D896" s="241"/>
      <c r="E896" s="241"/>
      <c r="F896" s="242"/>
    </row>
    <row r="897" ht="15.75" customHeight="1">
      <c r="A897" s="260"/>
      <c r="B897" s="239"/>
      <c r="C897" s="239"/>
      <c r="D897" s="239"/>
      <c r="E897" s="239"/>
      <c r="F897" s="240"/>
    </row>
    <row r="898" ht="15.75" customHeight="1">
      <c r="A898" s="259"/>
      <c r="B898" s="241"/>
      <c r="C898" s="241"/>
      <c r="D898" s="241"/>
      <c r="E898" s="241"/>
      <c r="F898" s="242"/>
    </row>
    <row r="899" ht="15.75" customHeight="1">
      <c r="A899" s="260"/>
      <c r="B899" s="239"/>
      <c r="C899" s="239"/>
      <c r="D899" s="239"/>
      <c r="E899" s="239"/>
      <c r="F899" s="240"/>
    </row>
    <row r="900" ht="15.75" customHeight="1">
      <c r="A900" s="259"/>
      <c r="B900" s="241"/>
      <c r="C900" s="241"/>
      <c r="D900" s="241"/>
      <c r="E900" s="241"/>
      <c r="F900" s="242"/>
    </row>
    <row r="901" ht="15.75" customHeight="1">
      <c r="A901" s="260"/>
      <c r="B901" s="239"/>
      <c r="C901" s="239"/>
      <c r="D901" s="239"/>
      <c r="E901" s="239"/>
      <c r="F901" s="240"/>
    </row>
    <row r="902" ht="15.75" customHeight="1">
      <c r="A902" s="259"/>
      <c r="B902" s="241"/>
      <c r="C902" s="241"/>
      <c r="D902" s="241"/>
      <c r="E902" s="241"/>
      <c r="F902" s="242"/>
    </row>
    <row r="903" ht="15.75" customHeight="1">
      <c r="A903" s="260"/>
      <c r="B903" s="239"/>
      <c r="C903" s="239"/>
      <c r="D903" s="239"/>
      <c r="E903" s="239"/>
      <c r="F903" s="240"/>
    </row>
    <row r="904" ht="15.75" customHeight="1">
      <c r="A904" s="259"/>
      <c r="B904" s="241"/>
      <c r="C904" s="241"/>
      <c r="D904" s="241"/>
      <c r="E904" s="241"/>
      <c r="F904" s="242"/>
    </row>
    <row r="905" ht="15.75" customHeight="1">
      <c r="A905" s="260"/>
      <c r="B905" s="239"/>
      <c r="C905" s="239"/>
      <c r="D905" s="239"/>
      <c r="E905" s="239"/>
      <c r="F905" s="240"/>
    </row>
    <row r="906" ht="15.75" customHeight="1">
      <c r="A906" s="259"/>
      <c r="B906" s="241"/>
      <c r="C906" s="241"/>
      <c r="D906" s="241"/>
      <c r="E906" s="241"/>
      <c r="F906" s="242"/>
    </row>
    <row r="907" ht="15.75" customHeight="1">
      <c r="A907" s="260"/>
      <c r="B907" s="239"/>
      <c r="C907" s="239"/>
      <c r="D907" s="239"/>
      <c r="E907" s="239"/>
      <c r="F907" s="240"/>
    </row>
    <row r="908" ht="15.75" customHeight="1">
      <c r="A908" s="259"/>
      <c r="B908" s="241"/>
      <c r="C908" s="241"/>
      <c r="D908" s="241"/>
      <c r="E908" s="241"/>
      <c r="F908" s="242"/>
    </row>
    <row r="909" ht="15.75" customHeight="1">
      <c r="A909" s="260"/>
      <c r="B909" s="239"/>
      <c r="C909" s="239"/>
      <c r="D909" s="239"/>
      <c r="E909" s="239"/>
      <c r="F909" s="240"/>
    </row>
    <row r="910" ht="15.75" customHeight="1">
      <c r="A910" s="259"/>
      <c r="B910" s="241"/>
      <c r="C910" s="241"/>
      <c r="D910" s="241"/>
      <c r="E910" s="241"/>
      <c r="F910" s="242"/>
    </row>
    <row r="911" ht="15.75" customHeight="1">
      <c r="A911" s="260"/>
      <c r="B911" s="239"/>
      <c r="C911" s="239"/>
      <c r="D911" s="239"/>
      <c r="E911" s="239"/>
      <c r="F911" s="240"/>
    </row>
    <row r="912" ht="15.75" customHeight="1">
      <c r="A912" s="259"/>
      <c r="B912" s="241"/>
      <c r="C912" s="241"/>
      <c r="D912" s="241"/>
      <c r="E912" s="241"/>
      <c r="F912" s="242"/>
    </row>
    <row r="913" ht="15.75" customHeight="1">
      <c r="A913" s="260"/>
      <c r="B913" s="239"/>
      <c r="C913" s="239"/>
      <c r="D913" s="239"/>
      <c r="E913" s="239"/>
      <c r="F913" s="240"/>
    </row>
    <row r="914" ht="15.75" customHeight="1">
      <c r="A914" s="259"/>
      <c r="B914" s="241"/>
      <c r="C914" s="241"/>
      <c r="D914" s="241"/>
      <c r="E914" s="241"/>
      <c r="F914" s="242"/>
    </row>
    <row r="915" ht="15.75" customHeight="1">
      <c r="A915" s="260"/>
      <c r="B915" s="239"/>
      <c r="C915" s="239"/>
      <c r="D915" s="239"/>
      <c r="E915" s="239"/>
      <c r="F915" s="240"/>
    </row>
    <row r="916" ht="15.75" customHeight="1">
      <c r="A916" s="259"/>
      <c r="B916" s="241"/>
      <c r="C916" s="241"/>
      <c r="D916" s="241"/>
      <c r="E916" s="241"/>
      <c r="F916" s="242"/>
    </row>
    <row r="917" ht="15.75" customHeight="1">
      <c r="A917" s="260"/>
      <c r="B917" s="239"/>
      <c r="C917" s="239"/>
      <c r="D917" s="239"/>
      <c r="E917" s="239"/>
      <c r="F917" s="240"/>
    </row>
    <row r="918" ht="15.75" customHeight="1">
      <c r="A918" s="259"/>
      <c r="B918" s="241"/>
      <c r="C918" s="241"/>
      <c r="D918" s="241"/>
      <c r="E918" s="241"/>
      <c r="F918" s="242"/>
    </row>
    <row r="919" ht="15.75" customHeight="1">
      <c r="A919" s="260"/>
      <c r="B919" s="239"/>
      <c r="C919" s="239"/>
      <c r="D919" s="239"/>
      <c r="E919" s="239"/>
      <c r="F919" s="240"/>
    </row>
    <row r="920" ht="15.75" customHeight="1">
      <c r="A920" s="259"/>
      <c r="B920" s="241"/>
      <c r="C920" s="241"/>
      <c r="D920" s="241"/>
      <c r="E920" s="241"/>
      <c r="F920" s="242"/>
    </row>
    <row r="921" ht="15.75" customHeight="1">
      <c r="A921" s="260"/>
      <c r="B921" s="239"/>
      <c r="C921" s="239"/>
      <c r="D921" s="239"/>
      <c r="E921" s="239"/>
      <c r="F921" s="240"/>
    </row>
    <row r="922" ht="15.75" customHeight="1">
      <c r="A922" s="259"/>
      <c r="B922" s="241"/>
      <c r="C922" s="241"/>
      <c r="D922" s="241"/>
      <c r="E922" s="241"/>
      <c r="F922" s="242"/>
    </row>
    <row r="923" ht="15.75" customHeight="1">
      <c r="A923" s="260"/>
      <c r="B923" s="239"/>
      <c r="C923" s="239"/>
      <c r="D923" s="239"/>
      <c r="E923" s="239"/>
      <c r="F923" s="240"/>
    </row>
    <row r="924" ht="15.75" customHeight="1">
      <c r="A924" s="259"/>
      <c r="B924" s="241"/>
      <c r="C924" s="241"/>
      <c r="D924" s="241"/>
      <c r="E924" s="241"/>
      <c r="F924" s="242"/>
    </row>
    <row r="925" ht="15.75" customHeight="1">
      <c r="A925" s="260"/>
      <c r="B925" s="239"/>
      <c r="C925" s="239"/>
      <c r="D925" s="239"/>
      <c r="E925" s="239"/>
      <c r="F925" s="240"/>
    </row>
    <row r="926" ht="15.75" customHeight="1">
      <c r="A926" s="259"/>
      <c r="B926" s="241"/>
      <c r="C926" s="241"/>
      <c r="D926" s="241"/>
      <c r="E926" s="241"/>
      <c r="F926" s="242"/>
    </row>
    <row r="927" ht="15.75" customHeight="1">
      <c r="A927" s="260"/>
      <c r="B927" s="239"/>
      <c r="C927" s="239"/>
      <c r="D927" s="239"/>
      <c r="E927" s="239"/>
      <c r="F927" s="240"/>
    </row>
    <row r="928" ht="15.75" customHeight="1">
      <c r="A928" s="259"/>
      <c r="B928" s="241"/>
      <c r="C928" s="241"/>
      <c r="D928" s="241"/>
      <c r="E928" s="241"/>
      <c r="F928" s="242"/>
    </row>
    <row r="929" ht="15.75" customHeight="1">
      <c r="A929" s="260"/>
      <c r="B929" s="239"/>
      <c r="C929" s="239"/>
      <c r="D929" s="239"/>
      <c r="E929" s="239"/>
      <c r="F929" s="240"/>
    </row>
    <row r="930" ht="15.75" customHeight="1">
      <c r="A930" s="259"/>
      <c r="B930" s="241"/>
      <c r="C930" s="241"/>
      <c r="D930" s="241"/>
      <c r="E930" s="241"/>
      <c r="F930" s="242"/>
    </row>
    <row r="931" ht="15.75" customHeight="1">
      <c r="A931" s="260"/>
      <c r="B931" s="239"/>
      <c r="C931" s="239"/>
      <c r="D931" s="239"/>
      <c r="E931" s="239"/>
      <c r="F931" s="240"/>
    </row>
    <row r="932" ht="15.75" customHeight="1">
      <c r="A932" s="259"/>
      <c r="B932" s="241"/>
      <c r="C932" s="241"/>
      <c r="D932" s="241"/>
      <c r="E932" s="241"/>
      <c r="F932" s="242"/>
    </row>
    <row r="933" ht="15.75" customHeight="1">
      <c r="A933" s="260"/>
      <c r="B933" s="239"/>
      <c r="C933" s="239"/>
      <c r="D933" s="239"/>
      <c r="E933" s="239"/>
      <c r="F933" s="240"/>
    </row>
    <row r="934" ht="15.75" customHeight="1">
      <c r="A934" s="259"/>
      <c r="B934" s="241"/>
      <c r="C934" s="241"/>
      <c r="D934" s="241"/>
      <c r="E934" s="241"/>
      <c r="F934" s="242"/>
    </row>
    <row r="935" ht="15.75" customHeight="1">
      <c r="A935" s="260"/>
      <c r="B935" s="239"/>
      <c r="C935" s="239"/>
      <c r="D935" s="239"/>
      <c r="E935" s="239"/>
      <c r="F935" s="240"/>
    </row>
    <row r="936" ht="15.75" customHeight="1">
      <c r="A936" s="259"/>
      <c r="B936" s="241"/>
      <c r="C936" s="241"/>
      <c r="D936" s="241"/>
      <c r="E936" s="241"/>
      <c r="F936" s="242"/>
    </row>
    <row r="937" ht="15.75" customHeight="1">
      <c r="A937" s="260"/>
      <c r="B937" s="239"/>
      <c r="C937" s="239"/>
      <c r="D937" s="239"/>
      <c r="E937" s="239"/>
      <c r="F937" s="240"/>
    </row>
    <row r="938" ht="15.75" customHeight="1">
      <c r="A938" s="259"/>
      <c r="B938" s="241"/>
      <c r="C938" s="241"/>
      <c r="D938" s="241"/>
      <c r="E938" s="241"/>
      <c r="F938" s="242"/>
    </row>
    <row r="939" ht="15.75" customHeight="1">
      <c r="A939" s="260"/>
      <c r="B939" s="239"/>
      <c r="C939" s="239"/>
      <c r="D939" s="239"/>
      <c r="E939" s="239"/>
      <c r="F939" s="240"/>
    </row>
    <row r="940" ht="15.75" customHeight="1">
      <c r="A940" s="259"/>
      <c r="B940" s="241"/>
      <c r="C940" s="241"/>
      <c r="D940" s="241"/>
      <c r="E940" s="241"/>
      <c r="F940" s="242"/>
    </row>
    <row r="941" ht="15.75" customHeight="1">
      <c r="A941" s="260"/>
      <c r="B941" s="239"/>
      <c r="C941" s="239"/>
      <c r="D941" s="239"/>
      <c r="E941" s="239"/>
      <c r="F941" s="240"/>
    </row>
    <row r="942" ht="15.75" customHeight="1">
      <c r="A942" s="259"/>
      <c r="B942" s="241"/>
      <c r="C942" s="241"/>
      <c r="D942" s="241"/>
      <c r="E942" s="241"/>
      <c r="F942" s="242"/>
    </row>
    <row r="943" ht="15.75" customHeight="1">
      <c r="A943" s="260"/>
      <c r="B943" s="239"/>
      <c r="C943" s="239"/>
      <c r="D943" s="239"/>
      <c r="E943" s="239"/>
      <c r="F943" s="240"/>
    </row>
    <row r="944" ht="15.75" customHeight="1">
      <c r="A944" s="259"/>
      <c r="B944" s="241"/>
      <c r="C944" s="241"/>
      <c r="D944" s="241"/>
      <c r="E944" s="241"/>
      <c r="F944" s="242"/>
    </row>
    <row r="945" ht="15.75" customHeight="1">
      <c r="A945" s="260"/>
      <c r="B945" s="239"/>
      <c r="C945" s="239"/>
      <c r="D945" s="239"/>
      <c r="E945" s="239"/>
      <c r="F945" s="240"/>
    </row>
    <row r="946" ht="15.75" customHeight="1">
      <c r="A946" s="259"/>
      <c r="B946" s="241"/>
      <c r="C946" s="241"/>
      <c r="D946" s="241"/>
      <c r="E946" s="241"/>
      <c r="F946" s="242"/>
    </row>
    <row r="947" ht="15.75" customHeight="1">
      <c r="A947" s="260"/>
      <c r="B947" s="239"/>
      <c r="C947" s="239"/>
      <c r="D947" s="239"/>
      <c r="E947" s="239"/>
      <c r="F947" s="240"/>
    </row>
    <row r="948" ht="15.75" customHeight="1">
      <c r="A948" s="259"/>
      <c r="B948" s="241"/>
      <c r="C948" s="241"/>
      <c r="D948" s="241"/>
      <c r="E948" s="241"/>
      <c r="F948" s="242"/>
    </row>
    <row r="949" ht="15.75" customHeight="1">
      <c r="A949" s="260"/>
      <c r="B949" s="239"/>
      <c r="C949" s="239"/>
      <c r="D949" s="239"/>
      <c r="E949" s="239"/>
      <c r="F949" s="240"/>
    </row>
    <row r="950" ht="15.75" customHeight="1">
      <c r="A950" s="259"/>
      <c r="B950" s="241"/>
      <c r="C950" s="241"/>
      <c r="D950" s="241"/>
      <c r="E950" s="241"/>
      <c r="F950" s="242"/>
    </row>
    <row r="951" ht="15.75" customHeight="1">
      <c r="A951" s="260"/>
      <c r="B951" s="239"/>
      <c r="C951" s="239"/>
      <c r="D951" s="239"/>
      <c r="E951" s="239"/>
      <c r="F951" s="240"/>
    </row>
    <row r="952" ht="15.75" customHeight="1">
      <c r="A952" s="259"/>
      <c r="B952" s="241"/>
      <c r="C952" s="241"/>
      <c r="D952" s="241"/>
      <c r="E952" s="241"/>
      <c r="F952" s="242"/>
    </row>
    <row r="953" ht="15.75" customHeight="1">
      <c r="A953" s="260"/>
      <c r="B953" s="239"/>
      <c r="C953" s="239"/>
      <c r="D953" s="239"/>
      <c r="E953" s="239"/>
      <c r="F953" s="240"/>
    </row>
    <row r="954" ht="15.75" customHeight="1">
      <c r="A954" s="259"/>
      <c r="B954" s="241"/>
      <c r="C954" s="241"/>
      <c r="D954" s="241"/>
      <c r="E954" s="241"/>
      <c r="F954" s="242"/>
    </row>
    <row r="955" ht="15.75" customHeight="1">
      <c r="A955" s="260"/>
      <c r="B955" s="239"/>
      <c r="C955" s="239"/>
      <c r="D955" s="239"/>
      <c r="E955" s="239"/>
      <c r="F955" s="240"/>
    </row>
    <row r="956" ht="15.75" customHeight="1">
      <c r="A956" s="259"/>
      <c r="B956" s="241"/>
      <c r="C956" s="241"/>
      <c r="D956" s="241"/>
      <c r="E956" s="241"/>
      <c r="F956" s="242"/>
    </row>
    <row r="957" ht="15.75" customHeight="1">
      <c r="A957" s="260"/>
      <c r="B957" s="239"/>
      <c r="C957" s="239"/>
      <c r="D957" s="239"/>
      <c r="E957" s="239"/>
      <c r="F957" s="240"/>
    </row>
    <row r="958" ht="15.75" customHeight="1">
      <c r="A958" s="259"/>
      <c r="B958" s="241"/>
      <c r="C958" s="241"/>
      <c r="D958" s="241"/>
      <c r="E958" s="241"/>
      <c r="F958" s="242"/>
    </row>
    <row r="959" ht="15.75" customHeight="1">
      <c r="A959" s="260"/>
      <c r="B959" s="239"/>
      <c r="C959" s="239"/>
      <c r="D959" s="239"/>
      <c r="E959" s="239"/>
      <c r="F959" s="240"/>
    </row>
    <row r="960" ht="15.75" customHeight="1">
      <c r="A960" s="259"/>
      <c r="B960" s="241"/>
      <c r="C960" s="241"/>
      <c r="D960" s="241"/>
      <c r="E960" s="241"/>
      <c r="F960" s="242"/>
    </row>
    <row r="961" ht="15.75" customHeight="1">
      <c r="A961" s="260"/>
      <c r="B961" s="239"/>
      <c r="C961" s="239"/>
      <c r="D961" s="239"/>
      <c r="E961" s="239"/>
      <c r="F961" s="240"/>
    </row>
    <row r="962" ht="15.75" customHeight="1">
      <c r="A962" s="259"/>
      <c r="B962" s="241"/>
      <c r="C962" s="241"/>
      <c r="D962" s="241"/>
      <c r="E962" s="241"/>
      <c r="F962" s="242"/>
    </row>
    <row r="963" ht="15.75" customHeight="1">
      <c r="A963" s="260"/>
      <c r="B963" s="239"/>
      <c r="C963" s="239"/>
      <c r="D963" s="239"/>
      <c r="E963" s="239"/>
      <c r="F963" s="240"/>
    </row>
    <row r="964" ht="15.75" customHeight="1">
      <c r="A964" s="259"/>
      <c r="B964" s="241"/>
      <c r="C964" s="241"/>
      <c r="D964" s="241"/>
      <c r="E964" s="241"/>
      <c r="F964" s="242"/>
    </row>
    <row r="965" ht="15.75" customHeight="1">
      <c r="A965" s="260"/>
      <c r="B965" s="239"/>
      <c r="C965" s="239"/>
      <c r="D965" s="239"/>
      <c r="E965" s="239"/>
      <c r="F965" s="240"/>
    </row>
    <row r="966" ht="15.75" customHeight="1">
      <c r="A966" s="261"/>
      <c r="B966" s="262"/>
      <c r="C966" s="262"/>
      <c r="D966" s="262"/>
      <c r="E966" s="262"/>
      <c r="F966" s="263"/>
    </row>
  </sheetData>
  <hyperlinks>
    <hyperlink r:id="rId1" ref="D2"/>
    <hyperlink r:id="rId2" ref="E2"/>
    <hyperlink r:id="rId3" ref="F2"/>
    <hyperlink r:id="rId4" ref="D3"/>
    <hyperlink r:id="rId5" ref="E3"/>
    <hyperlink r:id="rId6" ref="F3"/>
    <hyperlink r:id="rId7" ref="D4"/>
    <hyperlink r:id="rId8" ref="E4"/>
    <hyperlink r:id="rId9" ref="F4"/>
    <hyperlink r:id="rId10" ref="D5"/>
    <hyperlink r:id="rId11" ref="E5"/>
    <hyperlink r:id="rId12" ref="F5"/>
    <hyperlink r:id="rId13" ref="D6"/>
    <hyperlink r:id="rId14" ref="E6"/>
    <hyperlink r:id="rId15" ref="F6"/>
    <hyperlink r:id="rId16" ref="D7"/>
    <hyperlink r:id="rId17" ref="E7"/>
    <hyperlink r:id="rId18" ref="F7"/>
    <hyperlink r:id="rId19" ref="D8"/>
    <hyperlink r:id="rId20" ref="E8"/>
    <hyperlink r:id="rId21" ref="F8"/>
    <hyperlink r:id="rId22" ref="D9"/>
    <hyperlink r:id="rId23" ref="E9"/>
    <hyperlink r:id="rId24" ref="F9"/>
    <hyperlink r:id="rId25" ref="D10"/>
    <hyperlink r:id="rId26" ref="E10"/>
    <hyperlink r:id="rId27" ref="F10"/>
    <hyperlink r:id="rId28" ref="D11"/>
    <hyperlink r:id="rId29" ref="E11"/>
    <hyperlink r:id="rId30" ref="F11"/>
    <hyperlink r:id="rId31" ref="D12"/>
    <hyperlink r:id="rId32" ref="E12"/>
    <hyperlink r:id="rId33" ref="F12"/>
    <hyperlink r:id="rId34" ref="D13"/>
    <hyperlink r:id="rId35" ref="E13"/>
    <hyperlink r:id="rId36" ref="F13"/>
    <hyperlink r:id="rId37" ref="D14"/>
    <hyperlink r:id="rId38" ref="E14"/>
    <hyperlink r:id="rId39" ref="F14"/>
    <hyperlink r:id="rId40" ref="D15"/>
    <hyperlink r:id="rId41" ref="E15"/>
    <hyperlink r:id="rId42" ref="F15"/>
    <hyperlink r:id="rId43" ref="D16"/>
    <hyperlink r:id="rId44" ref="E16"/>
    <hyperlink r:id="rId45" ref="F16"/>
    <hyperlink r:id="rId46" ref="D17"/>
    <hyperlink r:id="rId47" ref="E17"/>
    <hyperlink r:id="rId48" ref="F17"/>
    <hyperlink r:id="rId49" ref="D18"/>
    <hyperlink r:id="rId50" ref="E18"/>
    <hyperlink r:id="rId51" ref="F18"/>
    <hyperlink r:id="rId52" ref="D19"/>
    <hyperlink r:id="rId53" ref="E19"/>
    <hyperlink r:id="rId54" ref="F19"/>
    <hyperlink r:id="rId55" ref="D20"/>
    <hyperlink r:id="rId56" ref="E20"/>
    <hyperlink r:id="rId57" ref="F20"/>
    <hyperlink r:id="rId58" ref="D21"/>
    <hyperlink r:id="rId59" ref="E21"/>
    <hyperlink r:id="rId60" ref="F21"/>
    <hyperlink r:id="rId61" ref="D22"/>
    <hyperlink r:id="rId62" ref="E22"/>
    <hyperlink r:id="rId63" ref="F22"/>
    <hyperlink r:id="rId64" ref="D23"/>
    <hyperlink r:id="rId65" ref="E23"/>
    <hyperlink r:id="rId66" ref="F23"/>
    <hyperlink r:id="rId67" ref="D24"/>
    <hyperlink r:id="rId68" ref="E24"/>
    <hyperlink r:id="rId69" ref="F24"/>
    <hyperlink r:id="rId70" ref="D25"/>
    <hyperlink r:id="rId71" ref="E25"/>
    <hyperlink r:id="rId72" ref="F25"/>
    <hyperlink r:id="rId73" ref="D26"/>
    <hyperlink r:id="rId74" ref="E26"/>
    <hyperlink r:id="rId75" ref="F26"/>
    <hyperlink r:id="rId76" ref="D27"/>
    <hyperlink r:id="rId77" ref="E27"/>
    <hyperlink r:id="rId78" ref="F27"/>
    <hyperlink r:id="rId79" ref="D28"/>
    <hyperlink r:id="rId80" ref="E28"/>
    <hyperlink r:id="rId81" ref="D29"/>
    <hyperlink r:id="rId82" ref="E29"/>
    <hyperlink r:id="rId83" ref="D30"/>
    <hyperlink r:id="rId84" ref="E30"/>
    <hyperlink r:id="rId85" ref="F30"/>
    <hyperlink r:id="rId86" ref="D31"/>
    <hyperlink r:id="rId87" ref="E31"/>
    <hyperlink r:id="rId88" ref="F31"/>
    <hyperlink r:id="rId89" ref="D32"/>
    <hyperlink r:id="rId90" ref="E32"/>
    <hyperlink r:id="rId91" ref="F32"/>
    <hyperlink r:id="rId92" ref="D33"/>
    <hyperlink r:id="rId93" ref="E33"/>
    <hyperlink r:id="rId94" ref="F33"/>
    <hyperlink r:id="rId95" ref="E34"/>
    <hyperlink r:id="rId96" ref="F34"/>
    <hyperlink r:id="rId97" ref="D35"/>
    <hyperlink r:id="rId98" ref="E35"/>
    <hyperlink r:id="rId99" ref="F35"/>
    <hyperlink r:id="rId100" ref="D36"/>
    <hyperlink r:id="rId101" ref="E36"/>
    <hyperlink r:id="rId102" ref="F36"/>
    <hyperlink r:id="rId103" ref="D38"/>
    <hyperlink r:id="rId104" ref="E38"/>
    <hyperlink r:id="rId105" ref="F38"/>
    <hyperlink r:id="rId106" ref="D39"/>
    <hyperlink r:id="rId107" ref="E39"/>
    <hyperlink r:id="rId108" ref="F39"/>
    <hyperlink r:id="rId109" ref="D40"/>
    <hyperlink r:id="rId110" ref="E40"/>
    <hyperlink r:id="rId111" ref="F40"/>
    <hyperlink r:id="rId112" ref="D41"/>
    <hyperlink r:id="rId113" ref="E41"/>
    <hyperlink r:id="rId114" ref="F41"/>
    <hyperlink r:id="rId115" ref="D42"/>
    <hyperlink r:id="rId116" ref="E42"/>
    <hyperlink r:id="rId117" ref="F42"/>
    <hyperlink r:id="rId118" ref="D43"/>
    <hyperlink r:id="rId119" ref="E43"/>
    <hyperlink r:id="rId120" ref="F43"/>
    <hyperlink r:id="rId121" ref="D44"/>
    <hyperlink r:id="rId122" ref="E44"/>
    <hyperlink r:id="rId123" ref="F44"/>
    <hyperlink r:id="rId124" ref="D45"/>
    <hyperlink r:id="rId125" ref="E45"/>
    <hyperlink r:id="rId126" ref="F45"/>
    <hyperlink r:id="rId127" ref="D48"/>
    <hyperlink r:id="rId128" ref="E48"/>
    <hyperlink r:id="rId129" ref="F48"/>
    <hyperlink r:id="rId130" ref="D51"/>
    <hyperlink r:id="rId131" ref="E51"/>
    <hyperlink r:id="rId132" ref="F51"/>
    <hyperlink r:id="rId133" ref="D52"/>
    <hyperlink r:id="rId134" ref="E52"/>
    <hyperlink r:id="rId135" ref="F52"/>
    <hyperlink r:id="rId136" ref="D53"/>
    <hyperlink r:id="rId137" ref="E53"/>
    <hyperlink r:id="rId138" ref="F53"/>
    <hyperlink r:id="rId139" ref="D55"/>
    <hyperlink r:id="rId140" ref="E55"/>
    <hyperlink r:id="rId141" ref="F55"/>
    <hyperlink r:id="rId142" ref="D56"/>
    <hyperlink r:id="rId143" ref="E56"/>
    <hyperlink r:id="rId144" ref="F56"/>
    <hyperlink r:id="rId145" ref="D57"/>
    <hyperlink r:id="rId146" ref="E57"/>
    <hyperlink r:id="rId147" ref="F57"/>
    <hyperlink r:id="rId148" ref="D58"/>
    <hyperlink r:id="rId149" ref="E58"/>
    <hyperlink r:id="rId150" ref="F58"/>
    <hyperlink r:id="rId151" ref="E60"/>
    <hyperlink r:id="rId152" ref="F60"/>
    <hyperlink r:id="rId153" ref="D61"/>
    <hyperlink r:id="rId154" ref="E61"/>
    <hyperlink r:id="rId155" ref="F61"/>
    <hyperlink r:id="rId156" ref="D62"/>
    <hyperlink r:id="rId157" ref="E62"/>
    <hyperlink r:id="rId158" ref="F62"/>
    <hyperlink r:id="rId159" ref="D63"/>
    <hyperlink r:id="rId160" ref="E63"/>
    <hyperlink r:id="rId161" ref="F63"/>
    <hyperlink r:id="rId162" ref="D64"/>
    <hyperlink r:id="rId163" ref="E64"/>
    <hyperlink r:id="rId164" ref="D65"/>
    <hyperlink r:id="rId165" ref="E65"/>
    <hyperlink r:id="rId166" ref="F65"/>
    <hyperlink r:id="rId167" ref="D66"/>
    <hyperlink r:id="rId168" ref="E66"/>
    <hyperlink r:id="rId169" ref="F66"/>
    <hyperlink r:id="rId170" ref="D67"/>
    <hyperlink r:id="rId171" ref="E67"/>
    <hyperlink r:id="rId172" ref="F67"/>
    <hyperlink r:id="rId173" ref="D68"/>
    <hyperlink r:id="rId174" ref="E68"/>
    <hyperlink r:id="rId175" ref="F68"/>
    <hyperlink r:id="rId176" ref="D69"/>
    <hyperlink r:id="rId177" ref="E69"/>
    <hyperlink r:id="rId178" ref="F69"/>
    <hyperlink r:id="rId179" ref="D70"/>
    <hyperlink r:id="rId180" ref="E70"/>
    <hyperlink r:id="rId181" ref="F70"/>
    <hyperlink r:id="rId182" ref="D71"/>
    <hyperlink r:id="rId183" ref="E71"/>
    <hyperlink r:id="rId184" ref="F71"/>
    <hyperlink r:id="rId185" ref="D72"/>
    <hyperlink r:id="rId186" ref="E72"/>
    <hyperlink r:id="rId187" ref="F72"/>
    <hyperlink r:id="rId188" ref="D73"/>
    <hyperlink r:id="rId189" ref="E73"/>
    <hyperlink r:id="rId190" ref="F73"/>
    <hyperlink r:id="rId191" ref="D74"/>
    <hyperlink r:id="rId192" ref="E74"/>
    <hyperlink r:id="rId193" ref="F74"/>
    <hyperlink r:id="rId194" ref="D75"/>
    <hyperlink r:id="rId195" ref="E75"/>
    <hyperlink r:id="rId196" ref="F75"/>
    <hyperlink r:id="rId197" ref="D76"/>
    <hyperlink r:id="rId198" ref="E76"/>
    <hyperlink r:id="rId199" ref="F76"/>
    <hyperlink r:id="rId200" ref="D77"/>
    <hyperlink r:id="rId201" ref="E77"/>
    <hyperlink r:id="rId202" ref="F77"/>
    <hyperlink r:id="rId203" ref="D78"/>
    <hyperlink r:id="rId204" ref="E78"/>
    <hyperlink r:id="rId205" ref="F78"/>
    <hyperlink r:id="rId206" ref="D79"/>
    <hyperlink r:id="rId207" ref="F79"/>
    <hyperlink r:id="rId208" ref="D80"/>
    <hyperlink r:id="rId209" ref="E80"/>
    <hyperlink r:id="rId210" ref="F80"/>
    <hyperlink r:id="rId211" ref="D82"/>
    <hyperlink r:id="rId212" ref="E82"/>
    <hyperlink r:id="rId213" ref="F82"/>
    <hyperlink r:id="rId214" ref="D83"/>
    <hyperlink r:id="rId215" ref="E83"/>
    <hyperlink r:id="rId216" ref="F83"/>
    <hyperlink r:id="rId217" ref="D84"/>
    <hyperlink r:id="rId218" ref="E84"/>
    <hyperlink r:id="rId219" ref="F84"/>
    <hyperlink r:id="rId220" ref="D85"/>
    <hyperlink r:id="rId221" ref="E85"/>
    <hyperlink r:id="rId222" ref="F85"/>
    <hyperlink r:id="rId223" ref="D86"/>
    <hyperlink r:id="rId224" ref="E86"/>
    <hyperlink r:id="rId225" ref="F86"/>
    <hyperlink r:id="rId226" ref="D87"/>
    <hyperlink r:id="rId227" ref="E87"/>
    <hyperlink r:id="rId228" ref="F87"/>
    <hyperlink r:id="rId229" ref="D88"/>
    <hyperlink r:id="rId230" ref="E88"/>
    <hyperlink r:id="rId231" ref="F88"/>
    <hyperlink r:id="rId232" ref="D89"/>
    <hyperlink r:id="rId233" ref="E89"/>
    <hyperlink r:id="rId234" ref="F89"/>
    <hyperlink r:id="rId235" ref="D90"/>
    <hyperlink r:id="rId236" ref="E90"/>
    <hyperlink r:id="rId237" ref="F90"/>
    <hyperlink r:id="rId238" ref="D91"/>
    <hyperlink r:id="rId239" ref="E91"/>
    <hyperlink r:id="rId240" ref="F91"/>
    <hyperlink r:id="rId241" ref="D93"/>
    <hyperlink r:id="rId242" ref="E93"/>
    <hyperlink r:id="rId243" ref="F93"/>
    <hyperlink r:id="rId244" ref="D94"/>
    <hyperlink r:id="rId245" ref="E94"/>
    <hyperlink r:id="rId246" ref="F94"/>
    <hyperlink r:id="rId247" ref="D95"/>
    <hyperlink r:id="rId248" ref="E95"/>
    <hyperlink r:id="rId249" ref="F95"/>
    <hyperlink r:id="rId250" ref="D96"/>
    <hyperlink r:id="rId251" ref="E96"/>
    <hyperlink r:id="rId252" ref="F96"/>
    <hyperlink r:id="rId253" ref="D98"/>
    <hyperlink r:id="rId254" ref="E98"/>
    <hyperlink r:id="rId255" ref="F98"/>
    <hyperlink r:id="rId256" ref="D100"/>
    <hyperlink r:id="rId257" ref="E100"/>
    <hyperlink r:id="rId258" ref="F100"/>
    <hyperlink r:id="rId259" ref="D101"/>
    <hyperlink r:id="rId260" ref="E101"/>
    <hyperlink r:id="rId261" ref="F101"/>
    <hyperlink r:id="rId262" ref="D102"/>
    <hyperlink r:id="rId263" ref="E102"/>
    <hyperlink r:id="rId264" ref="F102"/>
    <hyperlink r:id="rId265" ref="D103"/>
    <hyperlink r:id="rId266" ref="E103"/>
    <hyperlink r:id="rId267" ref="F103"/>
    <hyperlink r:id="rId268" ref="D104"/>
    <hyperlink r:id="rId269" ref="E104"/>
    <hyperlink r:id="rId270" ref="F104"/>
    <hyperlink r:id="rId271" ref="D106"/>
    <hyperlink r:id="rId272" ref="E106"/>
    <hyperlink r:id="rId273" ref="F106"/>
    <hyperlink r:id="rId274" ref="D107"/>
    <hyperlink r:id="rId275" ref="E107"/>
    <hyperlink r:id="rId276" ref="F107"/>
    <hyperlink r:id="rId277" ref="D108"/>
    <hyperlink r:id="rId278" ref="E108"/>
    <hyperlink r:id="rId279" ref="F108"/>
    <hyperlink r:id="rId280" ref="D109"/>
    <hyperlink r:id="rId281" ref="E109"/>
    <hyperlink r:id="rId282" ref="F109"/>
    <hyperlink r:id="rId283" ref="D110"/>
    <hyperlink r:id="rId284" ref="E110"/>
    <hyperlink r:id="rId285" ref="D111"/>
    <hyperlink r:id="rId286" ref="E111"/>
    <hyperlink r:id="rId287" ref="F111"/>
    <hyperlink r:id="rId288" ref="D115"/>
    <hyperlink r:id="rId289" ref="E115"/>
    <hyperlink r:id="rId290" ref="F115"/>
    <hyperlink r:id="rId291" ref="D116"/>
    <hyperlink r:id="rId292" ref="E116"/>
    <hyperlink r:id="rId293" ref="F116"/>
    <hyperlink r:id="rId294" ref="D117"/>
    <hyperlink r:id="rId295" ref="E117"/>
    <hyperlink r:id="rId296" ref="F117"/>
    <hyperlink r:id="rId297" ref="D118"/>
    <hyperlink r:id="rId298" ref="E118"/>
    <hyperlink r:id="rId299" ref="F118"/>
    <hyperlink r:id="rId300" ref="D119"/>
    <hyperlink r:id="rId301" ref="E119"/>
    <hyperlink r:id="rId302" ref="F119"/>
    <hyperlink r:id="rId303" ref="D120"/>
    <hyperlink r:id="rId304" ref="E120"/>
    <hyperlink r:id="rId305" ref="F120"/>
    <hyperlink r:id="rId306" ref="D121"/>
    <hyperlink r:id="rId307" ref="E121"/>
    <hyperlink r:id="rId308" ref="F121"/>
    <hyperlink r:id="rId309" ref="D122"/>
    <hyperlink r:id="rId310" ref="E122"/>
    <hyperlink r:id="rId311" ref="F122"/>
    <hyperlink r:id="rId312" ref="D123"/>
    <hyperlink r:id="rId313" ref="E123"/>
    <hyperlink r:id="rId314" ref="F123"/>
    <hyperlink r:id="rId315" ref="D124"/>
    <hyperlink r:id="rId316" ref="E124"/>
    <hyperlink r:id="rId317" ref="F124"/>
    <hyperlink r:id="rId318" ref="D127"/>
    <hyperlink r:id="rId319" ref="E127"/>
    <hyperlink r:id="rId320" ref="F127"/>
    <hyperlink r:id="rId321" ref="D128"/>
    <hyperlink r:id="rId322" ref="E128"/>
    <hyperlink r:id="rId323" ref="F128"/>
    <hyperlink r:id="rId324" ref="D129"/>
    <hyperlink r:id="rId325" ref="E129"/>
    <hyperlink r:id="rId326" ref="F129"/>
    <hyperlink r:id="rId327" ref="D130"/>
    <hyperlink r:id="rId328" ref="E130"/>
    <hyperlink r:id="rId329" ref="F130"/>
    <hyperlink r:id="rId330" ref="D132"/>
    <hyperlink r:id="rId331" ref="E132"/>
    <hyperlink r:id="rId332" ref="F132"/>
    <hyperlink r:id="rId333" ref="D133"/>
    <hyperlink r:id="rId334" ref="E133"/>
    <hyperlink r:id="rId335" ref="F133"/>
    <hyperlink r:id="rId336" ref="D134"/>
    <hyperlink r:id="rId337" ref="E134"/>
    <hyperlink r:id="rId338" ref="F134"/>
    <hyperlink r:id="rId339" ref="D135"/>
    <hyperlink r:id="rId340" ref="D136"/>
    <hyperlink r:id="rId341" ref="F136"/>
    <hyperlink r:id="rId342" ref="D137"/>
    <hyperlink r:id="rId343" ref="E137"/>
    <hyperlink r:id="rId344" ref="F137"/>
    <hyperlink r:id="rId345" ref="D138"/>
    <hyperlink r:id="rId346" ref="E138"/>
    <hyperlink r:id="rId347" ref="F138"/>
    <hyperlink r:id="rId348" ref="D140"/>
    <hyperlink r:id="rId349" ref="F140"/>
    <hyperlink r:id="rId350" ref="D141"/>
    <hyperlink r:id="rId351" ref="E141"/>
    <hyperlink r:id="rId352" ref="F141"/>
    <hyperlink r:id="rId353" ref="D142"/>
    <hyperlink r:id="rId354" ref="E142"/>
    <hyperlink r:id="rId355" ref="F142"/>
    <hyperlink r:id="rId356" ref="D143"/>
    <hyperlink r:id="rId357" ref="E143"/>
    <hyperlink r:id="rId358" ref="F143"/>
    <hyperlink r:id="rId359" ref="D144"/>
    <hyperlink r:id="rId360" ref="E144"/>
    <hyperlink r:id="rId361" ref="F144"/>
    <hyperlink r:id="rId362" ref="D145"/>
    <hyperlink r:id="rId363" ref="E145"/>
    <hyperlink r:id="rId364" ref="F145"/>
    <hyperlink r:id="rId365" ref="D147"/>
    <hyperlink r:id="rId366" ref="E147"/>
    <hyperlink r:id="rId367" ref="F147"/>
    <hyperlink r:id="rId368" ref="D149"/>
    <hyperlink r:id="rId369" ref="E149"/>
    <hyperlink r:id="rId370" ref="F149"/>
    <hyperlink r:id="rId371" ref="D150"/>
    <hyperlink r:id="rId372" ref="E150"/>
    <hyperlink r:id="rId373" ref="D151"/>
    <hyperlink r:id="rId374" ref="E151"/>
    <hyperlink r:id="rId375" ref="F151"/>
    <hyperlink r:id="rId376" ref="D152"/>
    <hyperlink r:id="rId377" ref="E152"/>
    <hyperlink r:id="rId378" ref="F152"/>
    <hyperlink r:id="rId379" ref="D153"/>
    <hyperlink r:id="rId380" ref="E153"/>
    <hyperlink r:id="rId381" ref="D154"/>
    <hyperlink r:id="rId382" ref="E154"/>
    <hyperlink r:id="rId383" ref="D155"/>
    <hyperlink r:id="rId384" ref="E155"/>
    <hyperlink r:id="rId385" ref="D156"/>
    <hyperlink r:id="rId386" ref="E156"/>
    <hyperlink r:id="rId387" ref="F156"/>
    <hyperlink r:id="rId388" ref="D157"/>
    <hyperlink r:id="rId389" ref="E157"/>
    <hyperlink r:id="rId390" ref="F157"/>
    <hyperlink r:id="rId391" ref="D159"/>
    <hyperlink r:id="rId392" ref="E159"/>
    <hyperlink r:id="rId393" ref="F159"/>
    <hyperlink r:id="rId394" ref="D161"/>
    <hyperlink r:id="rId395" ref="E161"/>
    <hyperlink r:id="rId396" ref="F161"/>
    <hyperlink r:id="rId397" ref="D162"/>
    <hyperlink r:id="rId398" ref="F162"/>
    <hyperlink r:id="rId399" ref="D164"/>
    <hyperlink r:id="rId400" ref="D165"/>
    <hyperlink r:id="rId401" ref="F165"/>
    <hyperlink r:id="rId402" ref="D166"/>
    <hyperlink r:id="rId403" ref="E166"/>
    <hyperlink r:id="rId404" ref="F166"/>
    <hyperlink r:id="rId405" ref="D167"/>
    <hyperlink r:id="rId406" ref="E167"/>
    <hyperlink r:id="rId407" ref="F167"/>
    <hyperlink r:id="rId408" ref="D168"/>
    <hyperlink r:id="rId409" ref="F168"/>
    <hyperlink r:id="rId410" ref="D169"/>
    <hyperlink r:id="rId411" ref="E169"/>
    <hyperlink r:id="rId412" ref="F169"/>
    <hyperlink r:id="rId413" ref="D170"/>
    <hyperlink r:id="rId414" ref="E170"/>
    <hyperlink r:id="rId415" ref="F170"/>
    <hyperlink r:id="rId416" ref="D171"/>
    <hyperlink r:id="rId417" ref="D173"/>
    <hyperlink r:id="rId418" ref="D174"/>
    <hyperlink r:id="rId419" ref="E174"/>
    <hyperlink r:id="rId420" ref="F174"/>
    <hyperlink r:id="rId421" ref="D175"/>
    <hyperlink r:id="rId422" ref="E175"/>
    <hyperlink r:id="rId423" ref="F175"/>
    <hyperlink r:id="rId424" ref="D176"/>
    <hyperlink r:id="rId425" ref="E176"/>
    <hyperlink r:id="rId426" ref="F176"/>
    <hyperlink r:id="rId427" ref="D177"/>
    <hyperlink r:id="rId428" ref="E177"/>
    <hyperlink r:id="rId429" ref="F177"/>
    <hyperlink r:id="rId430" ref="D178"/>
    <hyperlink r:id="rId431" ref="E178"/>
    <hyperlink r:id="rId432" ref="F178"/>
    <hyperlink r:id="rId433" ref="D179"/>
    <hyperlink r:id="rId434" ref="E179"/>
    <hyperlink r:id="rId435" ref="F179"/>
    <hyperlink r:id="rId436" ref="D180"/>
    <hyperlink r:id="rId437" ref="D182"/>
    <hyperlink r:id="rId438" ref="E182"/>
    <hyperlink r:id="rId439" ref="F182"/>
    <hyperlink r:id="rId440" ref="D183"/>
    <hyperlink r:id="rId441" ref="E183"/>
    <hyperlink r:id="rId442" ref="F183"/>
    <hyperlink r:id="rId443" ref="D184"/>
    <hyperlink r:id="rId444" ref="E184"/>
    <hyperlink r:id="rId445" ref="F184"/>
    <hyperlink r:id="rId446" ref="D185"/>
    <hyperlink r:id="rId447" ref="E185"/>
    <hyperlink r:id="rId448" ref="F185"/>
    <hyperlink r:id="rId449" ref="D186"/>
    <hyperlink r:id="rId450" ref="E186"/>
    <hyperlink r:id="rId451" ref="F186"/>
    <hyperlink r:id="rId452" ref="D187"/>
    <hyperlink r:id="rId453" ref="E187"/>
    <hyperlink r:id="rId454" ref="F187"/>
    <hyperlink r:id="rId455" ref="D188"/>
    <hyperlink r:id="rId456" ref="E188"/>
    <hyperlink r:id="rId457" ref="F188"/>
    <hyperlink r:id="rId458" ref="D189"/>
    <hyperlink r:id="rId459" ref="E189"/>
    <hyperlink r:id="rId460" ref="F189"/>
    <hyperlink r:id="rId461" ref="D191"/>
    <hyperlink r:id="rId462" ref="E191"/>
    <hyperlink r:id="rId463" ref="F191"/>
    <hyperlink r:id="rId464" ref="D192"/>
    <hyperlink r:id="rId465" ref="E192"/>
    <hyperlink r:id="rId466" ref="F192"/>
    <hyperlink r:id="rId467" ref="D193"/>
    <hyperlink r:id="rId468" ref="E193"/>
    <hyperlink r:id="rId469" ref="F193"/>
    <hyperlink r:id="rId470" ref="D194"/>
    <hyperlink r:id="rId471" ref="E194"/>
    <hyperlink r:id="rId472" ref="F194"/>
    <hyperlink r:id="rId473" ref="D195"/>
    <hyperlink r:id="rId474" ref="E195"/>
    <hyperlink r:id="rId475" ref="F195"/>
    <hyperlink r:id="rId476" ref="D196"/>
    <hyperlink r:id="rId477" ref="E196"/>
    <hyperlink r:id="rId478" ref="F196"/>
    <hyperlink r:id="rId479" ref="D197"/>
    <hyperlink r:id="rId480" ref="E197"/>
    <hyperlink r:id="rId481" ref="F197"/>
    <hyperlink r:id="rId482" ref="D198"/>
    <hyperlink r:id="rId483" ref="E198"/>
    <hyperlink r:id="rId484" ref="F198"/>
    <hyperlink r:id="rId485" ref="D199"/>
    <hyperlink r:id="rId486" ref="E199"/>
    <hyperlink r:id="rId487" ref="F199"/>
    <hyperlink r:id="rId488" ref="D200"/>
    <hyperlink r:id="rId489" ref="E200"/>
    <hyperlink r:id="rId490" ref="F200"/>
    <hyperlink r:id="rId491" ref="D201"/>
    <hyperlink r:id="rId492" ref="E201"/>
    <hyperlink r:id="rId493" ref="F201"/>
    <hyperlink r:id="rId494" ref="D202"/>
    <hyperlink r:id="rId495" ref="E202"/>
    <hyperlink r:id="rId496" ref="F202"/>
    <hyperlink r:id="rId497" ref="D203"/>
    <hyperlink r:id="rId498" ref="E203"/>
    <hyperlink r:id="rId499" ref="F203"/>
    <hyperlink r:id="rId500" ref="D204"/>
    <hyperlink r:id="rId501" ref="E204"/>
    <hyperlink r:id="rId502" ref="F204"/>
    <hyperlink r:id="rId503" ref="D205"/>
    <hyperlink r:id="rId504" ref="E205"/>
    <hyperlink r:id="rId505" ref="F205"/>
    <hyperlink r:id="rId506" ref="D206"/>
    <hyperlink r:id="rId507" ref="E206"/>
    <hyperlink r:id="rId508" ref="F206"/>
    <hyperlink r:id="rId509" ref="D207"/>
    <hyperlink r:id="rId510" ref="E207"/>
    <hyperlink r:id="rId511" ref="F207"/>
    <hyperlink r:id="rId512" ref="D208"/>
    <hyperlink r:id="rId513" ref="E208"/>
    <hyperlink r:id="rId514" ref="F208"/>
    <hyperlink r:id="rId515" ref="D209"/>
    <hyperlink r:id="rId516" ref="E209"/>
    <hyperlink r:id="rId517" ref="F209"/>
    <hyperlink r:id="rId518" ref="D210"/>
    <hyperlink r:id="rId519" ref="E210"/>
    <hyperlink r:id="rId520" ref="F210"/>
    <hyperlink r:id="rId521" ref="D211"/>
    <hyperlink r:id="rId522" ref="E211"/>
    <hyperlink r:id="rId523" ref="F211"/>
    <hyperlink r:id="rId524" ref="D213"/>
    <hyperlink r:id="rId525" ref="E213"/>
    <hyperlink r:id="rId526" ref="F213"/>
    <hyperlink r:id="rId527" ref="D214"/>
    <hyperlink r:id="rId528" ref="E214"/>
    <hyperlink r:id="rId529" ref="F214"/>
    <hyperlink r:id="rId530" ref="D215"/>
    <hyperlink r:id="rId531" ref="E215"/>
    <hyperlink r:id="rId532" ref="F215"/>
    <hyperlink r:id="rId533" ref="D216"/>
    <hyperlink r:id="rId534" ref="E216"/>
    <hyperlink r:id="rId535" ref="F216"/>
    <hyperlink r:id="rId536" ref="D218"/>
    <hyperlink r:id="rId537" ref="F218"/>
    <hyperlink r:id="rId538" ref="D219"/>
    <hyperlink r:id="rId539" ref="E219"/>
    <hyperlink r:id="rId540" ref="F219"/>
    <hyperlink r:id="rId541" ref="D220"/>
    <hyperlink r:id="rId542" ref="E220"/>
    <hyperlink r:id="rId543" ref="F220"/>
    <hyperlink r:id="rId544" ref="D221"/>
    <hyperlink r:id="rId545" ref="E221"/>
    <hyperlink r:id="rId546" ref="F221"/>
    <hyperlink r:id="rId547" ref="D222"/>
    <hyperlink r:id="rId548" ref="E222"/>
    <hyperlink r:id="rId549" ref="F222"/>
    <hyperlink r:id="rId550" ref="D223"/>
    <hyperlink r:id="rId551" ref="E223"/>
    <hyperlink r:id="rId552" ref="F223"/>
    <hyperlink r:id="rId553" ref="D226"/>
    <hyperlink r:id="rId554" ref="E226"/>
    <hyperlink r:id="rId555" ref="F226"/>
    <hyperlink r:id="rId556" ref="D227"/>
    <hyperlink r:id="rId557" ref="E227"/>
    <hyperlink r:id="rId558" ref="F227"/>
    <hyperlink r:id="rId559" ref="D229"/>
    <hyperlink r:id="rId560" ref="E229"/>
    <hyperlink r:id="rId561" ref="F229"/>
    <hyperlink r:id="rId562" ref="D231"/>
    <hyperlink r:id="rId563" ref="E231"/>
    <hyperlink r:id="rId564" ref="F231"/>
    <hyperlink r:id="rId565" ref="D232"/>
    <hyperlink r:id="rId566" ref="E232"/>
    <hyperlink r:id="rId567" ref="F232"/>
    <hyperlink r:id="rId568" ref="D233"/>
    <hyperlink r:id="rId569" ref="E233"/>
    <hyperlink r:id="rId570" ref="F233"/>
    <hyperlink r:id="rId571" ref="D234"/>
    <hyperlink r:id="rId572" ref="E234"/>
    <hyperlink r:id="rId573" ref="F234"/>
    <hyperlink r:id="rId574" ref="D235"/>
    <hyperlink r:id="rId575" ref="E235"/>
    <hyperlink r:id="rId576" ref="F235"/>
    <hyperlink r:id="rId577" ref="D236"/>
    <hyperlink r:id="rId578" ref="E236"/>
    <hyperlink r:id="rId579" ref="F236"/>
    <hyperlink r:id="rId580" ref="D237"/>
    <hyperlink r:id="rId581" ref="E237"/>
    <hyperlink r:id="rId582" ref="F237"/>
    <hyperlink r:id="rId583" ref="D238"/>
    <hyperlink r:id="rId584" ref="E238"/>
    <hyperlink r:id="rId585" ref="F238"/>
    <hyperlink r:id="rId586" ref="D239"/>
    <hyperlink r:id="rId587" ref="E239"/>
    <hyperlink r:id="rId588" ref="F239"/>
    <hyperlink r:id="rId589" ref="D240"/>
    <hyperlink r:id="rId590" ref="E240"/>
    <hyperlink r:id="rId591" ref="F240"/>
    <hyperlink r:id="rId592" ref="D241"/>
    <hyperlink r:id="rId593" ref="E241"/>
    <hyperlink r:id="rId594" ref="F241"/>
    <hyperlink r:id="rId595" ref="D242"/>
    <hyperlink r:id="rId596" ref="E242"/>
    <hyperlink r:id="rId597" ref="F242"/>
    <hyperlink r:id="rId598" ref="D243"/>
    <hyperlink r:id="rId599" ref="E243"/>
    <hyperlink r:id="rId600" ref="F243"/>
    <hyperlink r:id="rId601" ref="D244"/>
    <hyperlink r:id="rId602" ref="E244"/>
    <hyperlink r:id="rId603" ref="F244"/>
    <hyperlink r:id="rId604" ref="D245"/>
    <hyperlink r:id="rId605" ref="E245"/>
    <hyperlink r:id="rId606" ref="F245"/>
    <hyperlink r:id="rId607" ref="D246"/>
    <hyperlink r:id="rId608" ref="E246"/>
    <hyperlink r:id="rId609" ref="F246"/>
    <hyperlink r:id="rId610" ref="D247"/>
    <hyperlink r:id="rId611" ref="E247"/>
    <hyperlink r:id="rId612" ref="F247"/>
    <hyperlink r:id="rId613" ref="D248"/>
    <hyperlink r:id="rId614" ref="E248"/>
    <hyperlink r:id="rId615" ref="F248"/>
    <hyperlink r:id="rId616" ref="D249"/>
    <hyperlink r:id="rId617" ref="E249"/>
    <hyperlink r:id="rId618" ref="F249"/>
    <hyperlink r:id="rId619" ref="D250"/>
    <hyperlink r:id="rId620" ref="E250"/>
    <hyperlink r:id="rId621" ref="F250"/>
    <hyperlink r:id="rId622" ref="D251"/>
    <hyperlink r:id="rId623" ref="E251"/>
    <hyperlink r:id="rId624" ref="F251"/>
    <hyperlink r:id="rId625" ref="D252"/>
    <hyperlink r:id="rId626" ref="E252"/>
    <hyperlink r:id="rId627" ref="F252"/>
    <hyperlink r:id="rId628" ref="D253"/>
    <hyperlink r:id="rId629" ref="E253"/>
    <hyperlink r:id="rId630" ref="F253"/>
    <hyperlink r:id="rId631" ref="D254"/>
    <hyperlink r:id="rId632" ref="E254"/>
    <hyperlink r:id="rId633" ref="F254"/>
    <hyperlink r:id="rId634" ref="D255"/>
    <hyperlink r:id="rId635" ref="E255"/>
    <hyperlink r:id="rId636" ref="F255"/>
    <hyperlink r:id="rId637" ref="D256"/>
    <hyperlink r:id="rId638" ref="E256"/>
    <hyperlink r:id="rId639" ref="F256"/>
    <hyperlink r:id="rId640" ref="D258"/>
    <hyperlink r:id="rId641" ref="E258"/>
    <hyperlink r:id="rId642" ref="F258"/>
    <hyperlink r:id="rId643" ref="D260"/>
    <hyperlink r:id="rId644" ref="E260"/>
    <hyperlink r:id="rId645" ref="F260"/>
    <hyperlink r:id="rId646" ref="D261"/>
    <hyperlink r:id="rId647" ref="E261"/>
    <hyperlink r:id="rId648" ref="F261"/>
    <hyperlink r:id="rId649" ref="D262"/>
    <hyperlink r:id="rId650" ref="E262"/>
    <hyperlink r:id="rId651" ref="F262"/>
    <hyperlink r:id="rId652" ref="D264"/>
    <hyperlink r:id="rId653" ref="E264"/>
    <hyperlink r:id="rId654" ref="F264"/>
    <hyperlink r:id="rId655" ref="D265"/>
    <hyperlink r:id="rId656" ref="E265"/>
    <hyperlink r:id="rId657" ref="F265"/>
    <hyperlink r:id="rId658" ref="D266"/>
    <hyperlink r:id="rId659" ref="E266"/>
    <hyperlink r:id="rId660" ref="F266"/>
    <hyperlink r:id="rId661" ref="D267"/>
    <hyperlink r:id="rId662" ref="E267"/>
    <hyperlink r:id="rId663" ref="F267"/>
    <hyperlink r:id="rId664" ref="D268"/>
    <hyperlink r:id="rId665" ref="E268"/>
    <hyperlink r:id="rId666" ref="F268"/>
    <hyperlink r:id="rId667" ref="D270"/>
    <hyperlink r:id="rId668" ref="E270"/>
    <hyperlink r:id="rId669" ref="F270"/>
    <hyperlink r:id="rId670" ref="D271"/>
    <hyperlink r:id="rId671" ref="E271"/>
    <hyperlink r:id="rId672" ref="F271"/>
    <hyperlink r:id="rId673" ref="D272"/>
    <hyperlink r:id="rId674" ref="E272"/>
    <hyperlink r:id="rId675" ref="F272"/>
    <hyperlink r:id="rId676" ref="D273"/>
    <hyperlink r:id="rId677" ref="E273"/>
    <hyperlink r:id="rId678" ref="F273"/>
    <hyperlink r:id="rId679" ref="D274"/>
    <hyperlink r:id="rId680" ref="E274"/>
    <hyperlink r:id="rId681" ref="F274"/>
    <hyperlink r:id="rId682" ref="D275"/>
    <hyperlink r:id="rId683" ref="E275"/>
    <hyperlink r:id="rId684" ref="F275"/>
    <hyperlink r:id="rId685" ref="D276"/>
    <hyperlink r:id="rId686" ref="E276"/>
    <hyperlink r:id="rId687" ref="F276"/>
    <hyperlink r:id="rId688" ref="D277"/>
    <hyperlink r:id="rId689" ref="E277"/>
    <hyperlink r:id="rId690" ref="F277"/>
    <hyperlink r:id="rId691" ref="D280"/>
    <hyperlink r:id="rId692" ref="E280"/>
    <hyperlink r:id="rId693" ref="F280"/>
    <hyperlink r:id="rId694" ref="D281"/>
    <hyperlink r:id="rId695" ref="E281"/>
    <hyperlink r:id="rId696" ref="F281"/>
    <hyperlink r:id="rId697" ref="D282"/>
    <hyperlink r:id="rId698" ref="E282"/>
    <hyperlink r:id="rId699" ref="F282"/>
    <hyperlink r:id="rId700" ref="D283"/>
    <hyperlink r:id="rId701" ref="E283"/>
    <hyperlink r:id="rId702" ref="F283"/>
    <hyperlink r:id="rId703" ref="D286"/>
    <hyperlink r:id="rId704" ref="E286"/>
    <hyperlink r:id="rId705" ref="F286"/>
    <hyperlink r:id="rId706" ref="D288"/>
    <hyperlink r:id="rId707" ref="E288"/>
    <hyperlink r:id="rId708" ref="F288"/>
    <hyperlink r:id="rId709" ref="D289"/>
    <hyperlink r:id="rId710" ref="E289"/>
    <hyperlink r:id="rId711" ref="F289"/>
    <hyperlink r:id="rId712" ref="D290"/>
    <hyperlink r:id="rId713" ref="E290"/>
    <hyperlink r:id="rId714" ref="F290"/>
    <hyperlink r:id="rId715" ref="D291"/>
    <hyperlink r:id="rId716" ref="E291"/>
    <hyperlink r:id="rId717" ref="F291"/>
    <hyperlink r:id="rId718" ref="D292"/>
    <hyperlink r:id="rId719" ref="E292"/>
    <hyperlink r:id="rId720" ref="F292"/>
    <hyperlink r:id="rId721" ref="D294"/>
    <hyperlink r:id="rId722" ref="E294"/>
    <hyperlink r:id="rId723" ref="F294"/>
    <hyperlink r:id="rId724" ref="D295"/>
    <hyperlink r:id="rId725" ref="E295"/>
    <hyperlink r:id="rId726" ref="F295"/>
    <hyperlink r:id="rId727" ref="D296"/>
    <hyperlink r:id="rId728" ref="E296"/>
    <hyperlink r:id="rId729" ref="F296"/>
    <hyperlink r:id="rId730" ref="D299"/>
    <hyperlink r:id="rId731" ref="E299"/>
    <hyperlink r:id="rId732" ref="F299"/>
    <hyperlink r:id="rId733" ref="D300"/>
    <hyperlink r:id="rId734" ref="E300"/>
    <hyperlink r:id="rId735" ref="F300"/>
    <hyperlink r:id="rId736" ref="D301"/>
    <hyperlink r:id="rId737" ref="E301"/>
    <hyperlink r:id="rId738" ref="F301"/>
    <hyperlink r:id="rId739" ref="D302"/>
    <hyperlink r:id="rId740" ref="E302"/>
    <hyperlink r:id="rId741" ref="F302"/>
    <hyperlink r:id="rId742" ref="D303"/>
    <hyperlink r:id="rId743" ref="E303"/>
    <hyperlink r:id="rId744" ref="F303"/>
    <hyperlink r:id="rId745" ref="D304"/>
    <hyperlink r:id="rId746" ref="E304"/>
    <hyperlink r:id="rId747" ref="F304"/>
    <hyperlink r:id="rId748" ref="D306"/>
    <hyperlink r:id="rId749" ref="E306"/>
    <hyperlink r:id="rId750" ref="F306"/>
    <hyperlink r:id="rId751" ref="D307"/>
    <hyperlink r:id="rId752" ref="E307"/>
    <hyperlink r:id="rId753" ref="F307"/>
    <hyperlink r:id="rId754" ref="D308"/>
    <hyperlink r:id="rId755" ref="E308"/>
    <hyperlink r:id="rId756" ref="F308"/>
    <hyperlink r:id="rId757" ref="D309"/>
    <hyperlink r:id="rId758" ref="E309"/>
    <hyperlink r:id="rId759" ref="F309"/>
    <hyperlink r:id="rId760" ref="D310"/>
    <hyperlink r:id="rId761" ref="E310"/>
    <hyperlink r:id="rId762" ref="F310"/>
    <hyperlink r:id="rId763" ref="D311"/>
    <hyperlink r:id="rId764" ref="E311"/>
    <hyperlink r:id="rId765" ref="F311"/>
    <hyperlink r:id="rId766" ref="D312"/>
    <hyperlink r:id="rId767" ref="E312"/>
    <hyperlink r:id="rId768" ref="F312"/>
    <hyperlink r:id="rId769" ref="D313"/>
    <hyperlink r:id="rId770" ref="E313"/>
    <hyperlink r:id="rId771" ref="F313"/>
    <hyperlink r:id="rId772" ref="D314"/>
    <hyperlink r:id="rId773" ref="E314"/>
    <hyperlink r:id="rId774" ref="F314"/>
    <hyperlink r:id="rId775" ref="D315"/>
    <hyperlink r:id="rId776" ref="E315"/>
    <hyperlink r:id="rId777" ref="F315"/>
    <hyperlink r:id="rId778" ref="D316"/>
    <hyperlink r:id="rId779" ref="E316"/>
    <hyperlink r:id="rId780" ref="F316"/>
    <hyperlink r:id="rId781" ref="D317"/>
    <hyperlink r:id="rId782" ref="E317"/>
    <hyperlink r:id="rId783" ref="F317"/>
    <hyperlink r:id="rId784" ref="D318"/>
    <hyperlink r:id="rId785" ref="E318"/>
    <hyperlink r:id="rId786" ref="F318"/>
    <hyperlink r:id="rId787" ref="D320"/>
    <hyperlink r:id="rId788" ref="E320"/>
    <hyperlink r:id="rId789" ref="F320"/>
    <hyperlink r:id="rId790" ref="D322"/>
    <hyperlink r:id="rId791" ref="E322"/>
    <hyperlink r:id="rId792" ref="F322"/>
    <hyperlink r:id="rId793" ref="D323"/>
    <hyperlink r:id="rId794" ref="E323"/>
    <hyperlink r:id="rId795" ref="F323"/>
    <hyperlink r:id="rId796" ref="D324"/>
    <hyperlink r:id="rId797" ref="E324"/>
    <hyperlink r:id="rId798" ref="F324"/>
    <hyperlink r:id="rId799" ref="D325"/>
    <hyperlink r:id="rId800" ref="E325"/>
    <hyperlink r:id="rId801" ref="F325"/>
    <hyperlink r:id="rId802" ref="D326"/>
    <hyperlink r:id="rId803" ref="F326"/>
    <hyperlink r:id="rId804" ref="D327"/>
    <hyperlink r:id="rId805" ref="E327"/>
    <hyperlink r:id="rId806" ref="F327"/>
    <hyperlink r:id="rId807" ref="D328"/>
    <hyperlink r:id="rId808" ref="E328"/>
    <hyperlink r:id="rId809" ref="F328"/>
    <hyperlink r:id="rId810" ref="D329"/>
    <hyperlink r:id="rId811" ref="E329"/>
    <hyperlink r:id="rId812" ref="F329"/>
    <hyperlink r:id="rId813" ref="D330"/>
    <hyperlink r:id="rId814" ref="E330"/>
    <hyperlink r:id="rId815" ref="F330"/>
    <hyperlink r:id="rId816" ref="D331"/>
    <hyperlink r:id="rId817" ref="E331"/>
    <hyperlink r:id="rId818" ref="F331"/>
    <hyperlink r:id="rId819" ref="D332"/>
    <hyperlink r:id="rId820" ref="E332"/>
    <hyperlink r:id="rId821" ref="F332"/>
    <hyperlink r:id="rId822" ref="D333"/>
    <hyperlink r:id="rId823" ref="E333"/>
    <hyperlink r:id="rId824" ref="F333"/>
    <hyperlink r:id="rId825" ref="D335"/>
    <hyperlink r:id="rId826" ref="E335"/>
    <hyperlink r:id="rId827" ref="F335"/>
    <hyperlink r:id="rId828" ref="D336"/>
    <hyperlink r:id="rId829" ref="E336"/>
    <hyperlink r:id="rId830" ref="F336"/>
    <hyperlink r:id="rId831" ref="D337"/>
    <hyperlink r:id="rId832" ref="E337"/>
    <hyperlink r:id="rId833" ref="F337"/>
    <hyperlink r:id="rId834" ref="D338"/>
    <hyperlink r:id="rId835" ref="E338"/>
    <hyperlink r:id="rId836" ref="F338"/>
    <hyperlink r:id="rId837" ref="D339"/>
    <hyperlink r:id="rId838" ref="E339"/>
    <hyperlink r:id="rId839" ref="F339"/>
    <hyperlink r:id="rId840" ref="D340"/>
    <hyperlink r:id="rId841" ref="E340"/>
    <hyperlink r:id="rId842" ref="F340"/>
    <hyperlink r:id="rId843" ref="D341"/>
    <hyperlink r:id="rId844" ref="E341"/>
    <hyperlink r:id="rId845" ref="F341"/>
    <hyperlink r:id="rId846" ref="D342"/>
    <hyperlink r:id="rId847" ref="E342"/>
    <hyperlink r:id="rId848" ref="F342"/>
    <hyperlink r:id="rId849" ref="D344"/>
    <hyperlink r:id="rId850" ref="E344"/>
    <hyperlink r:id="rId851" ref="F344"/>
    <hyperlink r:id="rId852" ref="D345"/>
    <hyperlink r:id="rId853" ref="E345"/>
    <hyperlink r:id="rId854" ref="F345"/>
    <hyperlink r:id="rId855" ref="D347"/>
    <hyperlink r:id="rId856" ref="E347"/>
    <hyperlink r:id="rId857" ref="F347"/>
    <hyperlink r:id="rId858" ref="D349"/>
    <hyperlink r:id="rId859" ref="E349"/>
    <hyperlink r:id="rId860" ref="F349"/>
    <hyperlink r:id="rId861" ref="D350"/>
    <hyperlink r:id="rId862" ref="E350"/>
    <hyperlink r:id="rId863" ref="F350"/>
    <hyperlink r:id="rId864" ref="D351"/>
    <hyperlink r:id="rId865" ref="F351"/>
    <hyperlink r:id="rId866" ref="D352"/>
    <hyperlink r:id="rId867" ref="E352"/>
    <hyperlink r:id="rId868" ref="F352"/>
    <hyperlink r:id="rId869" ref="D354"/>
    <hyperlink r:id="rId870" ref="E354"/>
    <hyperlink r:id="rId871" ref="F354"/>
    <hyperlink r:id="rId872" ref="D355"/>
    <hyperlink r:id="rId873" ref="E355"/>
    <hyperlink r:id="rId874" ref="F355"/>
    <hyperlink r:id="rId875" ref="D356"/>
    <hyperlink r:id="rId876" ref="E356"/>
    <hyperlink r:id="rId877" ref="F356"/>
    <hyperlink r:id="rId878" ref="D357"/>
    <hyperlink r:id="rId879" ref="E357"/>
    <hyperlink r:id="rId880" ref="F357"/>
    <hyperlink r:id="rId881" ref="D358"/>
    <hyperlink r:id="rId882" ref="E358"/>
    <hyperlink r:id="rId883" ref="F358"/>
    <hyperlink r:id="rId884" ref="D359"/>
    <hyperlink r:id="rId885" ref="E359"/>
    <hyperlink r:id="rId886" ref="F359"/>
    <hyperlink r:id="rId887" ref="D360"/>
    <hyperlink r:id="rId888" ref="E360"/>
    <hyperlink r:id="rId889" ref="F360"/>
    <hyperlink r:id="rId890" ref="D361"/>
    <hyperlink r:id="rId891" ref="E361"/>
    <hyperlink r:id="rId892" ref="F361"/>
    <hyperlink r:id="rId893" ref="D364"/>
    <hyperlink r:id="rId894" ref="E364"/>
    <hyperlink r:id="rId895" ref="F364"/>
    <hyperlink r:id="rId896" ref="D365"/>
    <hyperlink r:id="rId897" ref="E365"/>
    <hyperlink r:id="rId898" ref="F365"/>
    <hyperlink r:id="rId899" ref="D366"/>
    <hyperlink r:id="rId900" ref="E366"/>
    <hyperlink r:id="rId901" ref="F366"/>
    <hyperlink r:id="rId902" ref="D367"/>
    <hyperlink r:id="rId903" ref="E367"/>
    <hyperlink r:id="rId904" ref="F367"/>
    <hyperlink r:id="rId905" ref="D368"/>
    <hyperlink r:id="rId906" ref="E368"/>
    <hyperlink r:id="rId907" ref="F368"/>
    <hyperlink r:id="rId908" ref="D369"/>
    <hyperlink r:id="rId909" ref="E369"/>
    <hyperlink r:id="rId910" ref="F369"/>
    <hyperlink r:id="rId911" ref="D370"/>
    <hyperlink r:id="rId912" ref="E370"/>
    <hyperlink r:id="rId913" ref="F370"/>
    <hyperlink r:id="rId914" ref="D371"/>
    <hyperlink r:id="rId915" ref="E371"/>
    <hyperlink r:id="rId916" ref="F371"/>
    <hyperlink r:id="rId917" ref="D372"/>
    <hyperlink r:id="rId918" ref="F372"/>
    <hyperlink r:id="rId919" ref="D373"/>
    <hyperlink r:id="rId920" ref="E373"/>
    <hyperlink r:id="rId921" ref="F373"/>
    <hyperlink r:id="rId922" ref="D374"/>
    <hyperlink r:id="rId923" ref="E374"/>
    <hyperlink r:id="rId924" ref="F374"/>
    <hyperlink r:id="rId925" ref="D375"/>
    <hyperlink r:id="rId926" ref="E375"/>
    <hyperlink r:id="rId927" ref="F375"/>
    <hyperlink r:id="rId928" ref="D376"/>
    <hyperlink r:id="rId929" ref="E376"/>
    <hyperlink r:id="rId930" ref="F376"/>
    <hyperlink r:id="rId931" ref="D377"/>
    <hyperlink r:id="rId932" ref="E377"/>
    <hyperlink r:id="rId933" ref="F377"/>
    <hyperlink r:id="rId934" ref="D378"/>
    <hyperlink r:id="rId935" ref="E378"/>
    <hyperlink r:id="rId936" ref="F378"/>
    <hyperlink r:id="rId937" ref="D379"/>
    <hyperlink r:id="rId938" ref="E379"/>
    <hyperlink r:id="rId939" ref="F379"/>
    <hyperlink r:id="rId940" ref="D380"/>
    <hyperlink r:id="rId941" ref="E380"/>
    <hyperlink r:id="rId942" ref="F380"/>
    <hyperlink r:id="rId943" ref="D381"/>
    <hyperlink r:id="rId944" ref="F381"/>
    <hyperlink r:id="rId945" ref="D382"/>
    <hyperlink r:id="rId946" ref="E382"/>
    <hyperlink r:id="rId947" ref="F382"/>
    <hyperlink r:id="rId948" ref="D385"/>
    <hyperlink r:id="rId949" ref="E385"/>
    <hyperlink r:id="rId950" ref="F385"/>
    <hyperlink r:id="rId951" ref="D386"/>
    <hyperlink r:id="rId952" ref="E386"/>
    <hyperlink r:id="rId953" ref="F386"/>
    <hyperlink r:id="rId954" ref="D387"/>
    <hyperlink r:id="rId955" ref="E387"/>
    <hyperlink r:id="rId956" ref="F387"/>
    <hyperlink r:id="rId957" ref="D388"/>
    <hyperlink r:id="rId958" ref="E388"/>
    <hyperlink r:id="rId959" ref="F388"/>
    <hyperlink r:id="rId960" ref="D389"/>
    <hyperlink r:id="rId961" ref="E389"/>
    <hyperlink r:id="rId962" ref="F389"/>
    <hyperlink r:id="rId963" ref="D390"/>
    <hyperlink r:id="rId964" ref="E390"/>
    <hyperlink r:id="rId965" ref="F390"/>
    <hyperlink r:id="rId966" ref="D391"/>
    <hyperlink r:id="rId967" ref="E391"/>
    <hyperlink r:id="rId968" ref="F391"/>
    <hyperlink r:id="rId969" ref="D392"/>
    <hyperlink r:id="rId970" ref="F392"/>
    <hyperlink r:id="rId971" ref="D393"/>
    <hyperlink r:id="rId972" ref="E393"/>
    <hyperlink r:id="rId973" ref="F393"/>
    <hyperlink r:id="rId974" ref="D394"/>
    <hyperlink r:id="rId975" ref="E394"/>
    <hyperlink r:id="rId976" ref="F394"/>
    <hyperlink r:id="rId977" ref="D395"/>
    <hyperlink r:id="rId978" ref="E395"/>
    <hyperlink r:id="rId979" ref="F395"/>
    <hyperlink r:id="rId980" ref="D396"/>
    <hyperlink r:id="rId981" ref="E396"/>
    <hyperlink r:id="rId982" ref="F396"/>
    <hyperlink r:id="rId983" ref="D397"/>
    <hyperlink r:id="rId984" ref="E397"/>
    <hyperlink r:id="rId985" ref="F397"/>
    <hyperlink r:id="rId986" ref="D398"/>
    <hyperlink r:id="rId987" ref="F398"/>
    <hyperlink r:id="rId988" ref="D399"/>
    <hyperlink r:id="rId989" ref="F399"/>
    <hyperlink r:id="rId990" ref="D400"/>
    <hyperlink r:id="rId991" ref="E400"/>
    <hyperlink r:id="rId992" ref="F400"/>
    <hyperlink r:id="rId993" ref="D401"/>
    <hyperlink r:id="rId994" ref="E401"/>
    <hyperlink r:id="rId995" ref="F401"/>
    <hyperlink r:id="rId996" ref="D402"/>
    <hyperlink r:id="rId997" ref="E402"/>
    <hyperlink r:id="rId998" ref="F402"/>
    <hyperlink r:id="rId999" ref="D404"/>
    <hyperlink r:id="rId1000" ref="E404"/>
    <hyperlink r:id="rId1001" ref="F404"/>
    <hyperlink r:id="rId1002" ref="D405"/>
    <hyperlink r:id="rId1003" ref="E405"/>
    <hyperlink r:id="rId1004" ref="F405"/>
    <hyperlink r:id="rId1005" ref="D406"/>
    <hyperlink r:id="rId1006" ref="E406"/>
    <hyperlink r:id="rId1007" ref="F406"/>
    <hyperlink r:id="rId1008" ref="D407"/>
    <hyperlink r:id="rId1009" ref="E407"/>
    <hyperlink r:id="rId1010" ref="F407"/>
    <hyperlink r:id="rId1011" ref="D408"/>
    <hyperlink r:id="rId1012" ref="E408"/>
    <hyperlink r:id="rId1013" ref="F408"/>
    <hyperlink r:id="rId1014" ref="D409"/>
    <hyperlink r:id="rId1015" ref="E409"/>
    <hyperlink r:id="rId1016" ref="F409"/>
    <hyperlink r:id="rId1017" ref="D410"/>
    <hyperlink r:id="rId1018" ref="E410"/>
    <hyperlink r:id="rId1019" ref="F410"/>
    <hyperlink r:id="rId1020" ref="D411"/>
    <hyperlink r:id="rId1021" ref="E411"/>
    <hyperlink r:id="rId1022" ref="F411"/>
    <hyperlink r:id="rId1023" ref="D412"/>
    <hyperlink r:id="rId1024" ref="E412"/>
    <hyperlink r:id="rId1025" ref="F412"/>
    <hyperlink r:id="rId1026" ref="D413"/>
    <hyperlink r:id="rId1027" ref="E413"/>
    <hyperlink r:id="rId1028" ref="F413"/>
    <hyperlink r:id="rId1029" ref="D414"/>
    <hyperlink r:id="rId1030" ref="E414"/>
    <hyperlink r:id="rId1031" ref="F414"/>
    <hyperlink r:id="rId1032" ref="D415"/>
    <hyperlink r:id="rId1033" ref="E415"/>
    <hyperlink r:id="rId1034" ref="F415"/>
    <hyperlink r:id="rId1035" ref="D416"/>
    <hyperlink r:id="rId1036" ref="E416"/>
    <hyperlink r:id="rId1037" ref="F416"/>
    <hyperlink r:id="rId1038" ref="D417"/>
    <hyperlink r:id="rId1039" ref="E417"/>
    <hyperlink r:id="rId1040" ref="F417"/>
    <hyperlink r:id="rId1041" ref="D418"/>
    <hyperlink r:id="rId1042" ref="E418"/>
    <hyperlink r:id="rId1043" ref="F418"/>
    <hyperlink r:id="rId1044" ref="D420"/>
    <hyperlink r:id="rId1045" ref="E420"/>
    <hyperlink r:id="rId1046" ref="F420"/>
    <hyperlink r:id="rId1047" ref="D421"/>
    <hyperlink r:id="rId1048" ref="E421"/>
    <hyperlink r:id="rId1049" ref="F421"/>
    <hyperlink r:id="rId1050" ref="D422"/>
    <hyperlink r:id="rId1051" ref="E422"/>
    <hyperlink r:id="rId1052" ref="F422"/>
    <hyperlink r:id="rId1053" ref="D423"/>
    <hyperlink r:id="rId1054" ref="E423"/>
    <hyperlink r:id="rId1055" ref="F423"/>
    <hyperlink r:id="rId1056" ref="F424"/>
    <hyperlink r:id="rId1057" ref="D425"/>
    <hyperlink r:id="rId1058" ref="E425"/>
    <hyperlink r:id="rId1059" ref="F425"/>
    <hyperlink r:id="rId1060" ref="D426"/>
    <hyperlink r:id="rId1061" ref="E426"/>
    <hyperlink r:id="rId1062" ref="F426"/>
    <hyperlink r:id="rId1063" ref="D427"/>
    <hyperlink r:id="rId1064" ref="E427"/>
    <hyperlink r:id="rId1065" ref="F427"/>
    <hyperlink r:id="rId1066" ref="D431"/>
    <hyperlink r:id="rId1067" ref="E431"/>
    <hyperlink r:id="rId1068" ref="F431"/>
    <hyperlink r:id="rId1069" ref="D433"/>
    <hyperlink r:id="rId1070" ref="E433"/>
    <hyperlink r:id="rId1071" ref="F433"/>
    <hyperlink r:id="rId1072" ref="D434"/>
    <hyperlink r:id="rId1073" ref="E434"/>
    <hyperlink r:id="rId1074" ref="F434"/>
    <hyperlink r:id="rId1075" ref="D435"/>
    <hyperlink r:id="rId1076" ref="E435"/>
    <hyperlink r:id="rId1077" ref="F435"/>
    <hyperlink r:id="rId1078" ref="D436"/>
    <hyperlink r:id="rId1079" ref="E436"/>
    <hyperlink r:id="rId1080" ref="F436"/>
    <hyperlink r:id="rId1081" ref="D437"/>
    <hyperlink r:id="rId1082" ref="E437"/>
    <hyperlink r:id="rId1083" ref="F437"/>
    <hyperlink r:id="rId1084" ref="D439"/>
    <hyperlink r:id="rId1085" ref="E439"/>
    <hyperlink r:id="rId1086" ref="F439"/>
    <hyperlink r:id="rId1087" ref="D440"/>
    <hyperlink r:id="rId1088" ref="E440"/>
    <hyperlink r:id="rId1089" ref="F440"/>
    <hyperlink r:id="rId1090" ref="D441"/>
    <hyperlink r:id="rId1091" ref="E441"/>
    <hyperlink r:id="rId1092" ref="F441"/>
    <hyperlink r:id="rId1093" ref="D442"/>
    <hyperlink r:id="rId1094" ref="E442"/>
    <hyperlink r:id="rId1095" ref="F442"/>
    <hyperlink r:id="rId1096" ref="D443"/>
    <hyperlink r:id="rId1097" ref="E443"/>
    <hyperlink r:id="rId1098" ref="F443"/>
    <hyperlink r:id="rId1099" ref="D444"/>
    <hyperlink r:id="rId1100" ref="E444"/>
    <hyperlink r:id="rId1101" ref="F444"/>
    <hyperlink r:id="rId1102" ref="D445"/>
    <hyperlink r:id="rId1103" ref="E445"/>
    <hyperlink r:id="rId1104" ref="F445"/>
    <hyperlink r:id="rId1105" ref="D446"/>
    <hyperlink r:id="rId1106" ref="E446"/>
    <hyperlink r:id="rId1107" ref="F446"/>
    <hyperlink r:id="rId1108" ref="D447"/>
    <hyperlink r:id="rId1109" ref="E447"/>
    <hyperlink r:id="rId1110" ref="F447"/>
    <hyperlink r:id="rId1111" ref="D448"/>
    <hyperlink r:id="rId1112" ref="E448"/>
    <hyperlink r:id="rId1113" ref="F448"/>
    <hyperlink r:id="rId1114" ref="D449"/>
    <hyperlink r:id="rId1115" ref="E449"/>
    <hyperlink r:id="rId1116" ref="F449"/>
    <hyperlink r:id="rId1117" ref="D450"/>
    <hyperlink r:id="rId1118" ref="E450"/>
    <hyperlink r:id="rId1119" ref="F450"/>
    <hyperlink r:id="rId1120" ref="D451"/>
    <hyperlink r:id="rId1121" ref="E451"/>
    <hyperlink r:id="rId1122" ref="F451"/>
    <hyperlink r:id="rId1123" ref="D452"/>
    <hyperlink r:id="rId1124" ref="E452"/>
    <hyperlink r:id="rId1125" ref="F452"/>
    <hyperlink r:id="rId1126" ref="D453"/>
    <hyperlink r:id="rId1127" ref="E453"/>
    <hyperlink r:id="rId1128" ref="F453"/>
    <hyperlink r:id="rId1129" ref="D456"/>
    <hyperlink r:id="rId1130" ref="E456"/>
    <hyperlink r:id="rId1131" ref="F456"/>
    <hyperlink r:id="rId1132" ref="D457"/>
    <hyperlink r:id="rId1133" ref="E457"/>
    <hyperlink r:id="rId1134" ref="F457"/>
    <hyperlink r:id="rId1135" ref="D458"/>
    <hyperlink r:id="rId1136" ref="E458"/>
    <hyperlink r:id="rId1137" ref="F458"/>
    <hyperlink r:id="rId1138" ref="D460"/>
    <hyperlink r:id="rId1139" ref="E460"/>
    <hyperlink r:id="rId1140" ref="F460"/>
    <hyperlink r:id="rId1141" ref="D465"/>
    <hyperlink r:id="rId1142" ref="E465"/>
    <hyperlink r:id="rId1143" ref="F465"/>
    <hyperlink r:id="rId1144" ref="D466"/>
    <hyperlink r:id="rId1145" ref="E466"/>
    <hyperlink r:id="rId1146" ref="F466"/>
    <hyperlink r:id="rId1147" ref="D467"/>
    <hyperlink r:id="rId1148" ref="E467"/>
    <hyperlink r:id="rId1149" ref="F467"/>
    <hyperlink r:id="rId1150" ref="D468"/>
    <hyperlink r:id="rId1151" ref="E468"/>
    <hyperlink r:id="rId1152" ref="F468"/>
    <hyperlink r:id="rId1153" ref="D470"/>
    <hyperlink r:id="rId1154" ref="E470"/>
    <hyperlink r:id="rId1155" ref="F470"/>
    <hyperlink r:id="rId1156" ref="D471"/>
    <hyperlink r:id="rId1157" ref="E471"/>
    <hyperlink r:id="rId1158" ref="F471"/>
    <hyperlink r:id="rId1159" ref="D472"/>
    <hyperlink r:id="rId1160" ref="E472"/>
    <hyperlink r:id="rId1161" ref="F472"/>
    <hyperlink r:id="rId1162" ref="D473"/>
    <hyperlink r:id="rId1163" ref="E473"/>
    <hyperlink r:id="rId1164" ref="F473"/>
    <hyperlink r:id="rId1165" ref="D474"/>
    <hyperlink r:id="rId1166" ref="E474"/>
    <hyperlink r:id="rId1167" ref="F474"/>
    <hyperlink r:id="rId1168" ref="D476"/>
    <hyperlink r:id="rId1169" ref="E476"/>
    <hyperlink r:id="rId1170" ref="F476"/>
    <hyperlink r:id="rId1171" ref="D477"/>
    <hyperlink r:id="rId1172" ref="E477"/>
    <hyperlink r:id="rId1173" ref="F477"/>
    <hyperlink r:id="rId1174" ref="D478"/>
    <hyperlink r:id="rId1175" ref="F478"/>
    <hyperlink r:id="rId1176" ref="D479"/>
    <hyperlink r:id="rId1177" ref="E479"/>
    <hyperlink r:id="rId1178" ref="F479"/>
    <hyperlink r:id="rId1179" ref="D480"/>
    <hyperlink r:id="rId1180" ref="E480"/>
    <hyperlink r:id="rId1181" ref="F480"/>
    <hyperlink r:id="rId1182" ref="D481"/>
    <hyperlink r:id="rId1183" ref="D482"/>
    <hyperlink r:id="rId1184" ref="E482"/>
    <hyperlink r:id="rId1185" ref="F482"/>
    <hyperlink r:id="rId1186" ref="D483"/>
    <hyperlink r:id="rId1187" ref="E483"/>
    <hyperlink r:id="rId1188" ref="F483"/>
    <hyperlink r:id="rId1189" ref="D484"/>
    <hyperlink r:id="rId1190" ref="E484"/>
    <hyperlink r:id="rId1191" ref="F484"/>
    <hyperlink r:id="rId1192" ref="D485"/>
    <hyperlink r:id="rId1193" ref="E485"/>
    <hyperlink r:id="rId1194" ref="F485"/>
    <hyperlink r:id="rId1195" ref="D487"/>
    <hyperlink r:id="rId1196" ref="E487"/>
    <hyperlink r:id="rId1197" ref="F487"/>
    <hyperlink r:id="rId1198" ref="D488"/>
    <hyperlink r:id="rId1199" ref="E488"/>
    <hyperlink r:id="rId1200" ref="F488"/>
    <hyperlink r:id="rId1201" ref="D489"/>
    <hyperlink r:id="rId1202" ref="E489"/>
    <hyperlink r:id="rId1203" ref="F489"/>
    <hyperlink r:id="rId1204" ref="D490"/>
    <hyperlink r:id="rId1205" ref="E490"/>
    <hyperlink r:id="rId1206" ref="F490"/>
    <hyperlink r:id="rId1207" ref="D491"/>
    <hyperlink r:id="rId1208" ref="E491"/>
    <hyperlink r:id="rId1209" ref="F491"/>
    <hyperlink r:id="rId1210" ref="D493"/>
    <hyperlink r:id="rId1211" ref="E493"/>
    <hyperlink r:id="rId1212" ref="F493"/>
    <hyperlink r:id="rId1213" ref="D497"/>
    <hyperlink r:id="rId1214" ref="E497"/>
    <hyperlink r:id="rId1215" ref="F497"/>
    <hyperlink r:id="rId1216" ref="D498"/>
    <hyperlink r:id="rId1217" ref="E498"/>
    <hyperlink r:id="rId1218" ref="F498"/>
    <hyperlink r:id="rId1219" ref="D499"/>
    <hyperlink r:id="rId1220" ref="E499"/>
    <hyperlink r:id="rId1221" ref="F499"/>
    <hyperlink r:id="rId1222" ref="D500"/>
    <hyperlink r:id="rId1223" ref="E500"/>
    <hyperlink r:id="rId1224" ref="F500"/>
    <hyperlink r:id="rId1225" ref="D503"/>
    <hyperlink r:id="rId1226" ref="E503"/>
    <hyperlink r:id="rId1227" ref="F503"/>
    <hyperlink r:id="rId1228" ref="D504"/>
    <hyperlink r:id="rId1229" ref="E504"/>
    <hyperlink r:id="rId1230" ref="F504"/>
    <hyperlink r:id="rId1231" ref="D505"/>
    <hyperlink r:id="rId1232" ref="E505"/>
    <hyperlink r:id="rId1233" ref="F505"/>
    <hyperlink r:id="rId1234" ref="D506"/>
    <hyperlink r:id="rId1235" ref="E506"/>
    <hyperlink r:id="rId1236" ref="F506"/>
    <hyperlink r:id="rId1237" ref="D507"/>
    <hyperlink r:id="rId1238" ref="E507"/>
    <hyperlink r:id="rId1239" ref="F507"/>
    <hyperlink r:id="rId1240" ref="D508"/>
    <hyperlink r:id="rId1241" ref="E508"/>
    <hyperlink r:id="rId1242" ref="F508"/>
    <hyperlink r:id="rId1243" ref="D509"/>
    <hyperlink r:id="rId1244" ref="E509"/>
    <hyperlink r:id="rId1245" ref="F509"/>
    <hyperlink r:id="rId1246" ref="D511"/>
    <hyperlink r:id="rId1247" ref="E511"/>
    <hyperlink r:id="rId1248" ref="F511"/>
    <hyperlink r:id="rId1249" ref="D512"/>
    <hyperlink r:id="rId1250" ref="E512"/>
    <hyperlink r:id="rId1251" ref="F512"/>
    <hyperlink r:id="rId1252" ref="D513"/>
    <hyperlink r:id="rId1253" ref="E513"/>
    <hyperlink r:id="rId1254" ref="F513"/>
    <hyperlink r:id="rId1255" ref="D514"/>
    <hyperlink r:id="rId1256" ref="E514"/>
    <hyperlink r:id="rId1257" ref="F514"/>
    <hyperlink r:id="rId1258" ref="D515"/>
    <hyperlink r:id="rId1259" ref="E515"/>
    <hyperlink r:id="rId1260" ref="F515"/>
    <hyperlink r:id="rId1261" ref="D516"/>
    <hyperlink r:id="rId1262" ref="E516"/>
    <hyperlink r:id="rId1263" ref="F516"/>
    <hyperlink r:id="rId1264" ref="D517"/>
    <hyperlink r:id="rId1265" ref="E517"/>
    <hyperlink r:id="rId1266" ref="F517"/>
    <hyperlink r:id="rId1267" ref="D518"/>
    <hyperlink r:id="rId1268" ref="E518"/>
    <hyperlink r:id="rId1269" ref="F518"/>
    <hyperlink r:id="rId1270" ref="D519"/>
    <hyperlink r:id="rId1271" ref="E519"/>
    <hyperlink r:id="rId1272" ref="F519"/>
    <hyperlink r:id="rId1273" ref="D520"/>
    <hyperlink r:id="rId1274" ref="E520"/>
    <hyperlink r:id="rId1275" ref="F520"/>
    <hyperlink r:id="rId1276" ref="D521"/>
    <hyperlink r:id="rId1277" ref="E521"/>
    <hyperlink r:id="rId1278" ref="F521"/>
    <hyperlink r:id="rId1279" ref="D522"/>
    <hyperlink r:id="rId1280" ref="E522"/>
    <hyperlink r:id="rId1281" ref="F522"/>
    <hyperlink r:id="rId1282" ref="D523"/>
    <hyperlink r:id="rId1283" ref="E523"/>
    <hyperlink r:id="rId1284" ref="F523"/>
    <hyperlink r:id="rId1285" ref="D524"/>
    <hyperlink r:id="rId1286" ref="E524"/>
    <hyperlink r:id="rId1287" ref="F524"/>
    <hyperlink r:id="rId1288" ref="D525"/>
    <hyperlink r:id="rId1289" ref="E525"/>
    <hyperlink r:id="rId1290" ref="F525"/>
    <hyperlink r:id="rId1291" ref="D526"/>
    <hyperlink r:id="rId1292" ref="E526"/>
    <hyperlink r:id="rId1293" ref="F526"/>
    <hyperlink r:id="rId1294" ref="D528"/>
    <hyperlink r:id="rId1295" ref="E528"/>
    <hyperlink r:id="rId1296" ref="F528"/>
    <hyperlink r:id="rId1297" ref="D529"/>
    <hyperlink r:id="rId1298" ref="E529"/>
    <hyperlink r:id="rId1299" ref="F529"/>
    <hyperlink r:id="rId1300" ref="D531"/>
    <hyperlink r:id="rId1301" ref="E531"/>
    <hyperlink r:id="rId1302" ref="F531"/>
    <hyperlink r:id="rId1303" ref="D532"/>
    <hyperlink r:id="rId1304" ref="E532"/>
    <hyperlink r:id="rId1305" ref="F532"/>
    <hyperlink r:id="rId1306" ref="D533"/>
    <hyperlink r:id="rId1307" ref="E533"/>
    <hyperlink r:id="rId1308" ref="D534"/>
    <hyperlink r:id="rId1309" ref="D535"/>
    <hyperlink r:id="rId1310" ref="E535"/>
    <hyperlink r:id="rId1311" ref="D536"/>
    <hyperlink r:id="rId1312" ref="E536"/>
    <hyperlink r:id="rId1313" ref="F536"/>
    <hyperlink r:id="rId1314" ref="D538"/>
    <hyperlink r:id="rId1315" ref="E538"/>
    <hyperlink r:id="rId1316" ref="F538"/>
    <hyperlink r:id="rId1317" ref="D539"/>
    <hyperlink r:id="rId1318" ref="E539"/>
    <hyperlink r:id="rId1319" ref="F539"/>
    <hyperlink r:id="rId1320" ref="D540"/>
    <hyperlink r:id="rId1321" ref="E540"/>
    <hyperlink r:id="rId1322" ref="F540"/>
    <hyperlink r:id="rId1323" ref="D541"/>
    <hyperlink r:id="rId1324" ref="E541"/>
    <hyperlink r:id="rId1325" ref="F541"/>
    <hyperlink r:id="rId1326" ref="D542"/>
    <hyperlink r:id="rId1327" ref="E542"/>
    <hyperlink r:id="rId1328" ref="F542"/>
    <hyperlink r:id="rId1329" ref="D543"/>
    <hyperlink r:id="rId1330" ref="E543"/>
    <hyperlink r:id="rId1331" ref="F543"/>
    <hyperlink r:id="rId1332" ref="D545"/>
    <hyperlink r:id="rId1333" ref="E545"/>
    <hyperlink r:id="rId1334" ref="F545"/>
    <hyperlink r:id="rId1335" ref="D546"/>
    <hyperlink r:id="rId1336" ref="E546"/>
    <hyperlink r:id="rId1337" ref="F546"/>
    <hyperlink r:id="rId1338" ref="D547"/>
    <hyperlink r:id="rId1339" ref="E547"/>
    <hyperlink r:id="rId1340" ref="F547"/>
    <hyperlink r:id="rId1341" ref="D548"/>
    <hyperlink r:id="rId1342" ref="E548"/>
    <hyperlink r:id="rId1343" ref="F548"/>
    <hyperlink r:id="rId1344" ref="D549"/>
    <hyperlink r:id="rId1345" ref="E549"/>
    <hyperlink r:id="rId1346" ref="F549"/>
    <hyperlink r:id="rId1347" ref="D551"/>
    <hyperlink r:id="rId1348" ref="E551"/>
    <hyperlink r:id="rId1349" ref="F551"/>
    <hyperlink r:id="rId1350" ref="D552"/>
    <hyperlink r:id="rId1351" ref="E552"/>
    <hyperlink r:id="rId1352" ref="F552"/>
    <hyperlink r:id="rId1353" ref="D553"/>
    <hyperlink r:id="rId1354" ref="E553"/>
    <hyperlink r:id="rId1355" ref="F553"/>
    <hyperlink r:id="rId1356" ref="D554"/>
    <hyperlink r:id="rId1357" ref="E554"/>
    <hyperlink r:id="rId1358" ref="F554"/>
    <hyperlink r:id="rId1359" ref="D555"/>
    <hyperlink r:id="rId1360" ref="E555"/>
    <hyperlink r:id="rId1361" ref="F555"/>
    <hyperlink r:id="rId1362" ref="D557"/>
    <hyperlink r:id="rId1363" ref="E557"/>
    <hyperlink r:id="rId1364" ref="F557"/>
    <hyperlink r:id="rId1365" ref="D558"/>
    <hyperlink r:id="rId1366" ref="E558"/>
    <hyperlink r:id="rId1367" ref="F558"/>
    <hyperlink r:id="rId1368" ref="D559"/>
    <hyperlink r:id="rId1369" ref="E559"/>
    <hyperlink r:id="rId1370" ref="F559"/>
    <hyperlink r:id="rId1371" ref="D561"/>
    <hyperlink r:id="rId1372" ref="E561"/>
    <hyperlink r:id="rId1373" ref="F561"/>
    <hyperlink r:id="rId1374" ref="D562"/>
    <hyperlink r:id="rId1375" ref="E562"/>
    <hyperlink r:id="rId1376" ref="F562"/>
    <hyperlink r:id="rId1377" ref="D563"/>
    <hyperlink r:id="rId1378" ref="E563"/>
    <hyperlink r:id="rId1379" ref="F563"/>
    <hyperlink r:id="rId1380" ref="D564"/>
    <hyperlink r:id="rId1381" ref="E564"/>
    <hyperlink r:id="rId1382" ref="F564"/>
    <hyperlink r:id="rId1383" ref="D565"/>
    <hyperlink r:id="rId1384" ref="E565"/>
    <hyperlink r:id="rId1385" ref="F565"/>
    <hyperlink r:id="rId1386" ref="D566"/>
    <hyperlink r:id="rId1387" ref="E566"/>
    <hyperlink r:id="rId1388" ref="F566"/>
    <hyperlink r:id="rId1389" ref="D567"/>
    <hyperlink r:id="rId1390" ref="E567"/>
    <hyperlink r:id="rId1391" ref="F567"/>
    <hyperlink r:id="rId1392" ref="D568"/>
    <hyperlink r:id="rId1393" ref="E568"/>
    <hyperlink r:id="rId1394" ref="F568"/>
    <hyperlink r:id="rId1395" ref="D569"/>
    <hyperlink r:id="rId1396" ref="E569"/>
    <hyperlink r:id="rId1397" ref="F569"/>
    <hyperlink r:id="rId1398" ref="D570"/>
    <hyperlink r:id="rId1399" ref="E570"/>
    <hyperlink r:id="rId1400" ref="F570"/>
    <hyperlink r:id="rId1401" ref="D571"/>
    <hyperlink r:id="rId1402" ref="E571"/>
    <hyperlink r:id="rId1403" ref="F571"/>
    <hyperlink r:id="rId1404" ref="D572"/>
    <hyperlink r:id="rId1405" ref="E572"/>
    <hyperlink r:id="rId1406" ref="F572"/>
    <hyperlink r:id="rId1407" ref="D573"/>
    <hyperlink r:id="rId1408" ref="E573"/>
    <hyperlink r:id="rId1409" ref="F573"/>
    <hyperlink r:id="rId1410" ref="D574"/>
    <hyperlink r:id="rId1411" ref="E574"/>
    <hyperlink r:id="rId1412" ref="F574"/>
  </hyperlinks>
  <printOptions/>
  <pageMargins bottom="1.0" footer="0.0" header="0.0" left="0.75" right="0.75" top="1.0"/>
  <pageSetup orientation="landscape"/>
  <drawing r:id="rId1413"/>
  <tableParts count="1">
    <tablePart r:id="rId1415"/>
  </tableParts>
</worksheet>
</file>